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Ralph\Desktop\RALPH\DASHBOARD\"/>
    </mc:Choice>
  </mc:AlternateContent>
  <xr:revisionPtr revIDLastSave="0" documentId="13_ncr:1_{D95E9BFE-847A-460F-827D-197ADD184954}" xr6:coauthVersionLast="47" xr6:coauthVersionMax="47" xr10:uidLastSave="{00000000-0000-0000-0000-000000000000}"/>
  <bookViews>
    <workbookView xWindow="-120" yWindow="-120" windowWidth="20730" windowHeight="11760" activeTab="2" xr2:uid="{00000000-000D-0000-FFFF-FFFF00000000}"/>
  </bookViews>
  <sheets>
    <sheet name="Furniture_data" sheetId="1" r:id="rId1"/>
    <sheet name="ANALYSIS" sheetId="2" r:id="rId2"/>
    <sheet name="DASHBOARD" sheetId="3" r:id="rId3"/>
  </sheets>
  <externalReferences>
    <externalReference r:id="rId4"/>
  </externalReferences>
  <definedNames>
    <definedName name="_xlnm._FilterDatabase" localSheetId="0" hidden="1">Furniture_data!$A$1:$T$2122</definedName>
    <definedName name="_xlchart.v5.0" hidden="1">ANALYSIS!$C$34</definedName>
    <definedName name="_xlchart.v5.1" hidden="1">ANALYSIS!$C$35:$C$82</definedName>
    <definedName name="_xlchart.v5.2" hidden="1">ANALYSIS!$D$34</definedName>
    <definedName name="_xlchart.v5.3" hidden="1">ANALYSIS!$D$35:$D$82</definedName>
    <definedName name="highestcategory">[1]CALCULATIONS!$H$49</definedName>
    <definedName name="Lookup">ANALYSIS!$A$7:$D$11</definedName>
    <definedName name="LookupTable">ANALYSIS!$Y$3:$AE$7</definedName>
    <definedName name="Ltable">ANALYSIS!$S$7:$V$11</definedName>
    <definedName name="ordersbyduration">[1]CALCULATIONS!$H$26</definedName>
    <definedName name="quantityyoy">[1]CALCULATIONS!$M$7</definedName>
    <definedName name="sales">[1]CALCULATIONS!$I$6</definedName>
    <definedName name="salestrend">[1]CALCULATIONS!$B$16</definedName>
    <definedName name="shipmode">[1]CALCULATIONS!$H$39</definedName>
    <definedName name="Slicer_Region">#N/A</definedName>
    <definedName name="Slicer_Segment">#N/A</definedName>
    <definedName name="Slicer_Years__Order_Date">#N/A</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6" i="2" l="1"/>
  <c r="F6" i="2"/>
  <c r="F38" i="2"/>
  <c r="F16" i="2"/>
  <c r="F29" i="2"/>
  <c r="I19" i="2"/>
  <c r="J19" i="2"/>
  <c r="I20" i="2"/>
  <c r="J20" i="2"/>
  <c r="I21" i="2"/>
  <c r="J21" i="2"/>
  <c r="I22" i="2"/>
  <c r="J22" i="2"/>
  <c r="I23" i="2"/>
  <c r="J23" i="2"/>
  <c r="I24" i="2"/>
  <c r="J24" i="2"/>
  <c r="I25" i="2"/>
  <c r="J25" i="2"/>
  <c r="J18" i="2"/>
  <c r="I18" i="2"/>
  <c r="I9" i="2" l="1"/>
  <c r="I10" i="2"/>
  <c r="I11" i="2"/>
  <c r="I12" i="2"/>
  <c r="I8" i="2"/>
  <c r="I41" i="2"/>
  <c r="I42" i="2"/>
  <c r="I43" i="2"/>
  <c r="I40"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35" i="2"/>
  <c r="H41" i="2"/>
  <c r="H42" i="2"/>
  <c r="H43" i="2"/>
  <c r="H40" i="2"/>
  <c r="H9" i="2"/>
  <c r="H10" i="2"/>
  <c r="H11" i="2"/>
  <c r="H12" i="2"/>
  <c r="H8" i="2"/>
  <c r="C5" i="2"/>
  <c r="B5" i="2"/>
  <c r="A5" i="2"/>
  <c r="J39" i="2" l="1"/>
  <c r="J40" i="2" s="1"/>
  <c r="J7" i="2" a="1"/>
  <c r="J7" i="2" s="1"/>
  <c r="J9" i="2" s="1"/>
  <c r="J41" i="2" l="1"/>
  <c r="J8" i="2"/>
  <c r="J11" i="2"/>
  <c r="J10" i="2"/>
  <c r="J12" i="2"/>
  <c r="J43" i="2"/>
  <c r="J42" i="2"/>
  <c r="C36" i="2" l="1"/>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35" i="2"/>
  <c r="M9" i="2" l="1"/>
  <c r="N9" i="2" s="1"/>
  <c r="M21" i="2"/>
  <c r="N21" i="2" s="1"/>
  <c r="M15" i="2"/>
  <c r="N15" i="2" s="1"/>
  <c r="M2" i="2"/>
  <c r="M8" i="2" s="1"/>
  <c r="N8" i="2" s="1"/>
  <c r="O8" i="2" l="1"/>
  <c r="M20" i="2"/>
  <c r="M14" i="2"/>
  <c r="N20" i="2" l="1"/>
  <c r="O20" i="2" s="1"/>
  <c r="N14" i="2"/>
  <c r="O14" i="2" s="1"/>
  <c r="O9" i="2"/>
  <c r="O11" i="2" l="1"/>
  <c r="P11" i="2" s="1"/>
  <c r="O15" i="2"/>
  <c r="O17" i="2" s="1"/>
  <c r="P17" i="2" s="1"/>
  <c r="O21" i="2"/>
  <c r="O23" i="2" s="1"/>
  <c r="P2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<sst xmlns="http://schemas.openxmlformats.org/spreadsheetml/2006/main" count="31982" uniqueCount="3351">
  <si>
    <t>Order ID</t>
  </si>
  <si>
    <t>Order Date</t>
  </si>
  <si>
    <t>Ship Date</t>
  </si>
  <si>
    <t>Ship Mode</t>
  </si>
  <si>
    <t>Customer ID</t>
  </si>
  <si>
    <t>Customer Name</t>
  </si>
  <si>
    <t>Segment</t>
  </si>
  <si>
    <t>Country</t>
  </si>
  <si>
    <t>City</t>
  </si>
  <si>
    <t>State</t>
  </si>
  <si>
    <t>Region</t>
  </si>
  <si>
    <t>Product ID</t>
  </si>
  <si>
    <t>Category</t>
  </si>
  <si>
    <t>Sub-Category</t>
  </si>
  <si>
    <t>Product Name</t>
  </si>
  <si>
    <t>Sales</t>
  </si>
  <si>
    <t>Quantity</t>
  </si>
  <si>
    <t>Profit</t>
  </si>
  <si>
    <t>Duration</t>
  </si>
  <si>
    <t>Month</t>
  </si>
  <si>
    <t>CA-2017-100001</t>
  </si>
  <si>
    <t>Second Class</t>
  </si>
  <si>
    <t>JF-14557</t>
  </si>
  <si>
    <t>James Ferrell</t>
  </si>
  <si>
    <t>Home Office</t>
  </si>
  <si>
    <t>United States</t>
  </si>
  <si>
    <t>Charleston</t>
  </si>
  <si>
    <t>West Virginia</t>
  </si>
  <si>
    <t>East</t>
  </si>
  <si>
    <t>FUR-FU-105733</t>
  </si>
  <si>
    <t>Furniture</t>
  </si>
  <si>
    <t>Furnishings</t>
  </si>
  <si>
    <t>Sable Halogen Replacement Bulb, 2-Pack</t>
  </si>
  <si>
    <t>1- days</t>
  </si>
  <si>
    <t>Aug</t>
  </si>
  <si>
    <t>US-2015-100002</t>
  </si>
  <si>
    <t>TR-17749</t>
  </si>
  <si>
    <t>Timothy Romero</t>
  </si>
  <si>
    <t>Corporate</t>
  </si>
  <si>
    <t>Columbus</t>
  </si>
  <si>
    <t>Ohio</t>
  </si>
  <si>
    <t>FUR-CH-105507</t>
  </si>
  <si>
    <t>Chairs</t>
  </si>
  <si>
    <t>Kingsley Mesh-Back Task Chair</t>
  </si>
  <si>
    <t>Mar</t>
  </si>
  <si>
    <t>FUR-FU-100317</t>
  </si>
  <si>
    <t>Nomad Floor Lamp, Telescoping Adjustable</t>
  </si>
  <si>
    <t>CA-2016-100003</t>
  </si>
  <si>
    <t>First Class</t>
  </si>
  <si>
    <t>MY-12664</t>
  </si>
  <si>
    <t>Megan Young</t>
  </si>
  <si>
    <t>Dover</t>
  </si>
  <si>
    <t>Delaware</t>
  </si>
  <si>
    <t>2- days</t>
  </si>
  <si>
    <t>US-2014-100004</t>
  </si>
  <si>
    <t>Standard Class</t>
  </si>
  <si>
    <t>CG-15967</t>
  </si>
  <si>
    <t>Cindy Gomez</t>
  </si>
  <si>
    <t>Consumer</t>
  </si>
  <si>
    <t>Fayetteville</t>
  </si>
  <si>
    <t>Arkansas</t>
  </si>
  <si>
    <t>South</t>
  </si>
  <si>
    <t>FUR-BO-107999</t>
  </si>
  <si>
    <t>Bookcases</t>
  </si>
  <si>
    <t>Braxton Barrister Bookcase, Mahogany</t>
  </si>
  <si>
    <t>6- days</t>
  </si>
  <si>
    <t>FUR-FU-108837</t>
  </si>
  <si>
    <t>Ivanhoe Poster Frame, Aluminum</t>
  </si>
  <si>
    <t>CA-2017-100005</t>
  </si>
  <si>
    <t>TM-17007</t>
  </si>
  <si>
    <t>Tracy Montoya</t>
  </si>
  <si>
    <t>Franklin</t>
  </si>
  <si>
    <t>Tennessee</t>
  </si>
  <si>
    <t>FUR-CH-106624</t>
  </si>
  <si>
    <t>Adler Fabric Manager's Chair, Slate Gray</t>
  </si>
  <si>
    <t>4- days</t>
  </si>
  <si>
    <t>Dec</t>
  </si>
  <si>
    <t>US-2015-100006</t>
  </si>
  <si>
    <t>KG-18423</t>
  </si>
  <si>
    <t>Kimberly Gutierrez</t>
  </si>
  <si>
    <t>Las Vegas</t>
  </si>
  <si>
    <t>Nevada</t>
  </si>
  <si>
    <t>West</t>
  </si>
  <si>
    <t>FUR-CH-102091</t>
  </si>
  <si>
    <t>Vantage Swivel Task Chair, Blue</t>
  </si>
  <si>
    <t>5- days</t>
  </si>
  <si>
    <t>Jul</t>
  </si>
  <si>
    <t>US-2015-100007</t>
  </si>
  <si>
    <t>SR-10757</t>
  </si>
  <si>
    <t>Samantha Robertson</t>
  </si>
  <si>
    <t>Columbia</t>
  </si>
  <si>
    <t>South Carolina</t>
  </si>
  <si>
    <t>3- days</t>
  </si>
  <si>
    <t>Nov</t>
  </si>
  <si>
    <t>CA-2017-100008</t>
  </si>
  <si>
    <t>SG-21489</t>
  </si>
  <si>
    <t>Samantha Gardner</t>
  </si>
  <si>
    <t>Portland</t>
  </si>
  <si>
    <t>Oregon</t>
  </si>
  <si>
    <t>FUR-CH-100444</t>
  </si>
  <si>
    <t>Harborview Mesh Task Chair, Adjustable Arms</t>
  </si>
  <si>
    <t>Feb</t>
  </si>
  <si>
    <t>US-2017-100009</t>
  </si>
  <si>
    <t>JB-14065</t>
  </si>
  <si>
    <t>Jasmine Beltran</t>
  </si>
  <si>
    <t>Gulfport</t>
  </si>
  <si>
    <t>Mississippi</t>
  </si>
  <si>
    <t>7- days</t>
  </si>
  <si>
    <t>Apr</t>
  </si>
  <si>
    <t>US-2015-100010</t>
  </si>
  <si>
    <t>AF-12287</t>
  </si>
  <si>
    <t>April Frost</t>
  </si>
  <si>
    <t>Maine</t>
  </si>
  <si>
    <t>FUR-FU-100853</t>
  </si>
  <si>
    <t>Blaine Cubicle Wall Clock, Black</t>
  </si>
  <si>
    <t>Jan</t>
  </si>
  <si>
    <t>US-2017-100011</t>
  </si>
  <si>
    <t>RV-15313</t>
  </si>
  <si>
    <t>Rebecca Valencia</t>
  </si>
  <si>
    <t>Savannah</t>
  </si>
  <si>
    <t>Georgia</t>
  </si>
  <si>
    <t>0- days</t>
  </si>
  <si>
    <t>May</t>
  </si>
  <si>
    <t>US-2014-100012</t>
  </si>
  <si>
    <t>MO-19560</t>
  </si>
  <si>
    <t>Megan Orr</t>
  </si>
  <si>
    <t>Los Angeles</t>
  </si>
  <si>
    <t>California</t>
  </si>
  <si>
    <t>US-2015-100013</t>
  </si>
  <si>
    <t>WH-18179</t>
  </si>
  <si>
    <t>William Herrera</t>
  </si>
  <si>
    <t>FUR-FU-101341</t>
  </si>
  <si>
    <t>Griswold Chairmats for Medium Pile Carpet</t>
  </si>
  <si>
    <t>Jun</t>
  </si>
  <si>
    <t>CA-2014-100014</t>
  </si>
  <si>
    <t>KS-14339</t>
  </si>
  <si>
    <t>Kenneth Scott</t>
  </si>
  <si>
    <t>Tacoma</t>
  </si>
  <si>
    <t>Washington</t>
  </si>
  <si>
    <t>FUR-CH-106455</t>
  </si>
  <si>
    <t>Nolan Leather Highback Chair, Pneumatic Adjustment</t>
  </si>
  <si>
    <t>US-2015-100015</t>
  </si>
  <si>
    <t>Same Day</t>
  </si>
  <si>
    <t>SR-12697</t>
  </si>
  <si>
    <t>Shannon Ramsey</t>
  </si>
  <si>
    <t>Sioux Falls</t>
  </si>
  <si>
    <t>South Dakota</t>
  </si>
  <si>
    <t>Central</t>
  </si>
  <si>
    <t>Sep</t>
  </si>
  <si>
    <t>CA-2014-100016</t>
  </si>
  <si>
    <t>DL-11104</t>
  </si>
  <si>
    <t>Donna Landry</t>
  </si>
  <si>
    <t>Des Moines</t>
  </si>
  <si>
    <t>Iowa</t>
  </si>
  <si>
    <t>FUR-CH-101375</t>
  </si>
  <si>
    <t>Sutton Push-Button Manager's Chair, Indigo</t>
  </si>
  <si>
    <t>US-2015-100017</t>
  </si>
  <si>
    <t>BP-16227</t>
  </si>
  <si>
    <t>Brittney Phillips</t>
  </si>
  <si>
    <t>Norfolk</t>
  </si>
  <si>
    <t>Virginia</t>
  </si>
  <si>
    <t>FUR-TA-105355</t>
  </si>
  <si>
    <t>Tables</t>
  </si>
  <si>
    <t>Wexford Racetrack Conference Table</t>
  </si>
  <si>
    <t>US-2014-100018</t>
  </si>
  <si>
    <t>JS-11040</t>
  </si>
  <si>
    <t>Joyce Solis</t>
  </si>
  <si>
    <t>Montpelier</t>
  </si>
  <si>
    <t>Vermont</t>
  </si>
  <si>
    <t>FUR-TA-100823</t>
  </si>
  <si>
    <t>Redstone Wood Tables, Set of 2</t>
  </si>
  <si>
    <t>US-2017-100019</t>
  </si>
  <si>
    <t>SJ-11612</t>
  </si>
  <si>
    <t>Shannon James</t>
  </si>
  <si>
    <t>FUR-FU-106211</t>
  </si>
  <si>
    <t>Aurora Brushed Chrome Wall Clock, 14in</t>
  </si>
  <si>
    <t>CA-2014-100020</t>
  </si>
  <si>
    <t>RL-18890</t>
  </si>
  <si>
    <t>Ryan Landry</t>
  </si>
  <si>
    <t>Dallas</t>
  </si>
  <si>
    <t>Texas</t>
  </si>
  <si>
    <t>US-2015-100021</t>
  </si>
  <si>
    <t>AH-20037</t>
  </si>
  <si>
    <t>Andrew Harper</t>
  </si>
  <si>
    <t>Lincoln</t>
  </si>
  <si>
    <t>Nebraska</t>
  </si>
  <si>
    <t>FUR-FU-107705</t>
  </si>
  <si>
    <t>Hawthorne Desk Accessory Set, Oak</t>
  </si>
  <si>
    <t>US-2016-100022</t>
  </si>
  <si>
    <t>JY-11235</t>
  </si>
  <si>
    <t>John Young</t>
  </si>
  <si>
    <t>Salt Lake City</t>
  </si>
  <si>
    <t>Utah</t>
  </si>
  <si>
    <t>FUR-CH-100441</t>
  </si>
  <si>
    <t>Dalton Folding Chair, 4/Carton</t>
  </si>
  <si>
    <t>CA-2016-100023</t>
  </si>
  <si>
    <t>TH-14451</t>
  </si>
  <si>
    <t>Timothy Hayden</t>
  </si>
  <si>
    <t>Albuquerque</t>
  </si>
  <si>
    <t>New Mexico</t>
  </si>
  <si>
    <t>FUR-TA-105363</t>
  </si>
  <si>
    <t>Ashcombe Rectangular Table Top</t>
  </si>
  <si>
    <t>CA-2014-100024</t>
  </si>
  <si>
    <t>SA-21945</t>
  </si>
  <si>
    <t>Shelly Alexander</t>
  </si>
  <si>
    <t>Durham</t>
  </si>
  <si>
    <t>North Carolina</t>
  </si>
  <si>
    <t>FUR-FU-104133</t>
  </si>
  <si>
    <t>Preston Wood Photo Frame, Mahogany</t>
  </si>
  <si>
    <t>CA-2016-100025</t>
  </si>
  <si>
    <t>JS-13681</t>
  </si>
  <si>
    <t>Jessica Stephens</t>
  </si>
  <si>
    <t>Omaha</t>
  </si>
  <si>
    <t>US-2017-100026</t>
  </si>
  <si>
    <t>GP-20391</t>
  </si>
  <si>
    <t>Gregory Ponce</t>
  </si>
  <si>
    <t>Meridian</t>
  </si>
  <si>
    <t>Idaho</t>
  </si>
  <si>
    <t>FUR-FU-101124</t>
  </si>
  <si>
    <t>Rutledge Desk Organizer Tray, Letter Size</t>
  </si>
  <si>
    <t>CA-2014-100027</t>
  </si>
  <si>
    <t>JG-15559</t>
  </si>
  <si>
    <t>Jessica Garcia</t>
  </si>
  <si>
    <t>Reno</t>
  </si>
  <si>
    <t>Oct</t>
  </si>
  <si>
    <t>US-2017-100028</t>
  </si>
  <si>
    <t>DJ-19064</t>
  </si>
  <si>
    <t>Denise Jones</t>
  </si>
  <si>
    <t>FUR-CH-107657</t>
  </si>
  <si>
    <t>Hollis Stacking Chair, Rounded Back</t>
  </si>
  <si>
    <t>CA-2017-100029</t>
  </si>
  <si>
    <t>TB-15279</t>
  </si>
  <si>
    <t>Tina Ballard</t>
  </si>
  <si>
    <t>Tucson</t>
  </si>
  <si>
    <t>Arizona</t>
  </si>
  <si>
    <t>FUR-FU-103673</t>
  </si>
  <si>
    <t>Corcoran Document Holder, Wood</t>
  </si>
  <si>
    <t>US-2014-100030</t>
  </si>
  <si>
    <t>CG-14552</t>
  </si>
  <si>
    <t>Cassandra Gaines</t>
  </si>
  <si>
    <t>CA-2014-100031</t>
  </si>
  <si>
    <t>DM-12938</t>
  </si>
  <si>
    <t>Dawn Mullins</t>
  </si>
  <si>
    <t>Shreveport</t>
  </si>
  <si>
    <t>Louisiana</t>
  </si>
  <si>
    <t>FUR-CH-108751</t>
  </si>
  <si>
    <t>Prescott Ergonomic Chair with Lumbar Support</t>
  </si>
  <si>
    <t>US-2017-100032</t>
  </si>
  <si>
    <t>RM-21792</t>
  </si>
  <si>
    <t>Robert Morgan</t>
  </si>
  <si>
    <t>Topeka</t>
  </si>
  <si>
    <t>Kansas</t>
  </si>
  <si>
    <t>FUR-FU-104558</t>
  </si>
  <si>
    <t>Lambert Swing Arm Desk Lamp</t>
  </si>
  <si>
    <t>FUR-TA-105529</t>
  </si>
  <si>
    <t>Fenwick Compact Office Desk</t>
  </si>
  <si>
    <t>CA-2015-100033</t>
  </si>
  <si>
    <t>SH-19891</t>
  </si>
  <si>
    <t>Shane Henderson</t>
  </si>
  <si>
    <t>Grand Rapids</t>
  </si>
  <si>
    <t>Michigan</t>
  </si>
  <si>
    <t>CA-2015-100034</t>
  </si>
  <si>
    <t>RO-19977</t>
  </si>
  <si>
    <t>Robert Oconnell</t>
  </si>
  <si>
    <t>CA-2015-100035</t>
  </si>
  <si>
    <t>RB-12662</t>
  </si>
  <si>
    <t>Robin Brown</t>
  </si>
  <si>
    <t>US-2016-100036</t>
  </si>
  <si>
    <t>SC-11084</t>
  </si>
  <si>
    <t>Sharon Cochran</t>
  </si>
  <si>
    <t>Knoxville</t>
  </si>
  <si>
    <t>US-2016-100037</t>
  </si>
  <si>
    <t>GD-21087</t>
  </si>
  <si>
    <t>Gabrielle Davis</t>
  </si>
  <si>
    <t>Rapid City</t>
  </si>
  <si>
    <t>CA-2015-100038</t>
  </si>
  <si>
    <t>ZM-18486</t>
  </si>
  <si>
    <t>Zachary Michael</t>
  </si>
  <si>
    <t>Philadelphia</t>
  </si>
  <si>
    <t>Pennsylvania</t>
  </si>
  <si>
    <t>US-2017-100039</t>
  </si>
  <si>
    <t>RJ-18348</t>
  </si>
  <si>
    <t>Rebecca Jackson</t>
  </si>
  <si>
    <t>FUR-TA-104262</t>
  </si>
  <si>
    <t>Thorne End Table, 20-1/2H x 24W x 20D</t>
  </si>
  <si>
    <t>US-2016-100040</t>
  </si>
  <si>
    <t>JW-21830</t>
  </si>
  <si>
    <t>Joel Williams</t>
  </si>
  <si>
    <t>Missoula</t>
  </si>
  <si>
    <t>Montana</t>
  </si>
  <si>
    <t>US-2017-100041</t>
  </si>
  <si>
    <t>DJ-14010</t>
  </si>
  <si>
    <t>Denise Jacobs</t>
  </si>
  <si>
    <t>Ann Arbor</t>
  </si>
  <si>
    <t>US-2016-100042</t>
  </si>
  <si>
    <t>RR-13456</t>
  </si>
  <si>
    <t>Richard Rodriguez</t>
  </si>
  <si>
    <t>Mesa</t>
  </si>
  <si>
    <t>US-2014-100043</t>
  </si>
  <si>
    <t>DS-13502</t>
  </si>
  <si>
    <t>Dawn Summers</t>
  </si>
  <si>
    <t>FUR-TA-102223</t>
  </si>
  <si>
    <t>Marchetti Round Conference Table, X-Base</t>
  </si>
  <si>
    <t>CA-2015-100044</t>
  </si>
  <si>
    <t>GJ-12584</t>
  </si>
  <si>
    <t>Gary Jackson</t>
  </si>
  <si>
    <t>US-2016-100045</t>
  </si>
  <si>
    <t>NM-12615</t>
  </si>
  <si>
    <t>Nathan Maldonado</t>
  </si>
  <si>
    <t>Jersey City</t>
  </si>
  <si>
    <t>New Jersey</t>
  </si>
  <si>
    <t>FUR-BO-100475</t>
  </si>
  <si>
    <t>Overton 3-Shelf Corner Bookcase</t>
  </si>
  <si>
    <t>CA-2016-100046</t>
  </si>
  <si>
    <t>JT-19086</t>
  </si>
  <si>
    <t>Jeremy Turner</t>
  </si>
  <si>
    <t>FUR-CH-102704</t>
  </si>
  <si>
    <t>Brookline High-Back Executive Chair, Black Leather</t>
  </si>
  <si>
    <t>CA-2014-100047</t>
  </si>
  <si>
    <t>CG-20145</t>
  </si>
  <si>
    <t>Casey Gillespie</t>
  </si>
  <si>
    <t>Boston</t>
  </si>
  <si>
    <t>Massachusetts</t>
  </si>
  <si>
    <t>FUR-FU-106906</t>
  </si>
  <si>
    <t>Cobalt LED Magnifier Lamp with Clamp Base</t>
  </si>
  <si>
    <t>US-2014-100048</t>
  </si>
  <si>
    <t>LA-18317</t>
  </si>
  <si>
    <t>Lawrence Adkins</t>
  </si>
  <si>
    <t>FUR-BO-103613</t>
  </si>
  <si>
    <t>Winslow Corner Bookcase, White</t>
  </si>
  <si>
    <t>CA-2014-100049</t>
  </si>
  <si>
    <t>JW-11512</t>
  </si>
  <si>
    <t>Jack White</t>
  </si>
  <si>
    <t>FUR-TA-102977</t>
  </si>
  <si>
    <t>Caldwell 44 x 96 Conference Table</t>
  </si>
  <si>
    <t>CA-2017-100050</t>
  </si>
  <si>
    <t>ZM-15502</t>
  </si>
  <si>
    <t>Zachary Mendoza</t>
  </si>
  <si>
    <t>Cheyenne</t>
  </si>
  <si>
    <t>Wyoming</t>
  </si>
  <si>
    <t>CA-2014-100051</t>
  </si>
  <si>
    <t>AJ-13566</t>
  </si>
  <si>
    <t>Ariana Jennings</t>
  </si>
  <si>
    <t>Cedar Rapids</t>
  </si>
  <si>
    <t>FUR-CH-109246</t>
  </si>
  <si>
    <t>Beckett Steno Chair, Gray</t>
  </si>
  <si>
    <t>US-2016-100052</t>
  </si>
  <si>
    <t>JA-15862</t>
  </si>
  <si>
    <t>Jose Allen</t>
  </si>
  <si>
    <t>US-2016-100053</t>
  </si>
  <si>
    <t>Saint Paul</t>
  </si>
  <si>
    <t>Minnesota</t>
  </si>
  <si>
    <t>CA-2014-100054</t>
  </si>
  <si>
    <t>CB-19980</t>
  </si>
  <si>
    <t>Christopher Bass</t>
  </si>
  <si>
    <t>Green Bay</t>
  </si>
  <si>
    <t>Wisconsin</t>
  </si>
  <si>
    <t>US-2017-100055</t>
  </si>
  <si>
    <t>MH-11052</t>
  </si>
  <si>
    <t>Maria Henry</t>
  </si>
  <si>
    <t>Virginia Beach</t>
  </si>
  <si>
    <t>CA-2015-100056</t>
  </si>
  <si>
    <t>KL-18375</t>
  </si>
  <si>
    <t>Kiara Little</t>
  </si>
  <si>
    <t>Pittsburgh</t>
  </si>
  <si>
    <t>CA-2015-100057</t>
  </si>
  <si>
    <t>JR-20438</t>
  </si>
  <si>
    <t>Jason Rhodes</t>
  </si>
  <si>
    <t>CA-2015-100058</t>
  </si>
  <si>
    <t>DP-18689</t>
  </si>
  <si>
    <t>Dr. Hannah Patterson</t>
  </si>
  <si>
    <t>San Francisco</t>
  </si>
  <si>
    <t>FUR-TA-106211</t>
  </si>
  <si>
    <t>Grantham Half-Moon Meeting Table</t>
  </si>
  <si>
    <t>US-2016-100059</t>
  </si>
  <si>
    <t>TJ-21062</t>
  </si>
  <si>
    <t>Theodore Jones Jr.</t>
  </si>
  <si>
    <t>CA-2017-100060</t>
  </si>
  <si>
    <t>Salem</t>
  </si>
  <si>
    <t>CA-2016-100061</t>
  </si>
  <si>
    <t>DS-16912</t>
  </si>
  <si>
    <t>David Smith</t>
  </si>
  <si>
    <t>Orem</t>
  </si>
  <si>
    <t>US-2015-100062</t>
  </si>
  <si>
    <t>RM-21959</t>
  </si>
  <si>
    <t>Rodney Morales</t>
  </si>
  <si>
    <t>Lexington</t>
  </si>
  <si>
    <t>Kentucky</t>
  </si>
  <si>
    <t>CA-2016-100063</t>
  </si>
  <si>
    <t>AS-18785</t>
  </si>
  <si>
    <t>Allison Spencer</t>
  </si>
  <si>
    <t>US-2015-100064</t>
  </si>
  <si>
    <t>JS-17238</t>
  </si>
  <si>
    <t>Jeremy Scott</t>
  </si>
  <si>
    <t>Billings</t>
  </si>
  <si>
    <t>US-2017-100065</t>
  </si>
  <si>
    <t>MM-18751</t>
  </si>
  <si>
    <t>Matthew Mcmillan</t>
  </si>
  <si>
    <t>Overland Park</t>
  </si>
  <si>
    <t>US-2015-100066</t>
  </si>
  <si>
    <t>JC-12927</t>
  </si>
  <si>
    <t>Joshua Cooke</t>
  </si>
  <si>
    <t>Oklahoma City</t>
  </si>
  <si>
    <t>Oklahoma</t>
  </si>
  <si>
    <t>CA-2014-100067</t>
  </si>
  <si>
    <t>MM-10525</t>
  </si>
  <si>
    <t>Marc Moore</t>
  </si>
  <si>
    <t>District of Columbia</t>
  </si>
  <si>
    <t>US-2016-100068</t>
  </si>
  <si>
    <t>AL-19569</t>
  </si>
  <si>
    <t>Alicia Li</t>
  </si>
  <si>
    <t>CA-2017-100069</t>
  </si>
  <si>
    <t>PC-16868</t>
  </si>
  <si>
    <t>Parker Cain</t>
  </si>
  <si>
    <t>Raleigh</t>
  </si>
  <si>
    <t>FUR-BO-108818</t>
  </si>
  <si>
    <t>Meridian Glass-Door Bookcase, Espresso Finish</t>
  </si>
  <si>
    <t>US-2016-100070</t>
  </si>
  <si>
    <t>TR-20794</t>
  </si>
  <si>
    <t>Tanya Russell</t>
  </si>
  <si>
    <t>US-2014-100071</t>
  </si>
  <si>
    <t>SS-11169</t>
  </si>
  <si>
    <t>Shirley Suarez</t>
  </si>
  <si>
    <t>Hartford</t>
  </si>
  <si>
    <t>Connecticut</t>
  </si>
  <si>
    <t>US-2016-100072</t>
  </si>
  <si>
    <t>JC-14669</t>
  </si>
  <si>
    <t>Jennifer Collins</t>
  </si>
  <si>
    <t>US-2016-100073</t>
  </si>
  <si>
    <t>DD-19355</t>
  </si>
  <si>
    <t>Denise Davenport</t>
  </si>
  <si>
    <t>CA-2014-100074</t>
  </si>
  <si>
    <t>AH-17454</t>
  </si>
  <si>
    <t>Ashley Hall</t>
  </si>
  <si>
    <t>Miami</t>
  </si>
  <si>
    <t>Florida</t>
  </si>
  <si>
    <t>CA-2015-100075</t>
  </si>
  <si>
    <t>Boise</t>
  </si>
  <si>
    <t>CA-2016-100076</t>
  </si>
  <si>
    <t>JH-11320</t>
  </si>
  <si>
    <t>Joseph Howard</t>
  </si>
  <si>
    <t>Toledo</t>
  </si>
  <si>
    <t>US-2016-100077</t>
  </si>
  <si>
    <t>CM-16812</t>
  </si>
  <si>
    <t>Crystal Mann</t>
  </si>
  <si>
    <t>Spokane</t>
  </si>
  <si>
    <t>US-2015-100078</t>
  </si>
  <si>
    <t>MJ-13388</t>
  </si>
  <si>
    <t>Mary Jensen</t>
  </si>
  <si>
    <t>Eugene</t>
  </si>
  <si>
    <t>CA-2017-100079</t>
  </si>
  <si>
    <t>SM-12167</t>
  </si>
  <si>
    <t>Susan Murray MD</t>
  </si>
  <si>
    <t>FUR-CH-109697</t>
  </si>
  <si>
    <t>Rowan Mid-Back Tilter Chair</t>
  </si>
  <si>
    <t>US-2014-100080</t>
  </si>
  <si>
    <t>CW-12677</t>
  </si>
  <si>
    <t>Christina Walters</t>
  </si>
  <si>
    <t>Huntington</t>
  </si>
  <si>
    <t>US-2015-100081</t>
  </si>
  <si>
    <t>PJ-21498</t>
  </si>
  <si>
    <t>Paul Jones</t>
  </si>
  <si>
    <t>Minneapolis</t>
  </si>
  <si>
    <t>US-2015-100082</t>
  </si>
  <si>
    <t>PR-21149</t>
  </si>
  <si>
    <t>Patricia Rodriguez</t>
  </si>
  <si>
    <t>US-2017-100083</t>
  </si>
  <si>
    <t>CJ-15155</t>
  </si>
  <si>
    <t>Crystal Johnson</t>
  </si>
  <si>
    <t>Baltimore</t>
  </si>
  <si>
    <t>Maryland</t>
  </si>
  <si>
    <t>US-2014-100084</t>
  </si>
  <si>
    <t>ML-14011</t>
  </si>
  <si>
    <t>Michael Lopez</t>
  </si>
  <si>
    <t>Providence</t>
  </si>
  <si>
    <t>Rhode Island</t>
  </si>
  <si>
    <t>CA-2015-100085</t>
  </si>
  <si>
    <t>MV-21612</t>
  </si>
  <si>
    <t>Morgan Valencia</t>
  </si>
  <si>
    <t>CA-2015-100086</t>
  </si>
  <si>
    <t>KL-15183</t>
  </si>
  <si>
    <t>Kenneth Lewis</t>
  </si>
  <si>
    <t>Augusta</t>
  </si>
  <si>
    <t>CA-2014-100087</t>
  </si>
  <si>
    <t>US-2014-100088</t>
  </si>
  <si>
    <t>Wichita</t>
  </si>
  <si>
    <t>US-2016-100089</t>
  </si>
  <si>
    <t>Annapolis</t>
  </si>
  <si>
    <t>US-2016-100090</t>
  </si>
  <si>
    <t>DC-16054</t>
  </si>
  <si>
    <t>Dana Chapman</t>
  </si>
  <si>
    <t>Trenton</t>
  </si>
  <si>
    <t>CA-2016-100091</t>
  </si>
  <si>
    <t>LR-20926</t>
  </si>
  <si>
    <t>Larry Robertson</t>
  </si>
  <si>
    <t>Fort Wayne</t>
  </si>
  <si>
    <t>Indiana</t>
  </si>
  <si>
    <t>US-2017-100092</t>
  </si>
  <si>
    <t>RD-11343</t>
  </si>
  <si>
    <t>Ronald Davis</t>
  </si>
  <si>
    <t>CA-2016-100093</t>
  </si>
  <si>
    <t>Phoenix</t>
  </si>
  <si>
    <t>CA-2017-100094</t>
  </si>
  <si>
    <t>MA-16883</t>
  </si>
  <si>
    <t>Mr. Aaron Arnold</t>
  </si>
  <si>
    <t>Baton Rouge</t>
  </si>
  <si>
    <t>US-2017-100095</t>
  </si>
  <si>
    <t>KD-18834</t>
  </si>
  <si>
    <t>Kristen Davis</t>
  </si>
  <si>
    <t>Milwaukee</t>
  </si>
  <si>
    <t>US-2017-100096</t>
  </si>
  <si>
    <t>MI-16528</t>
  </si>
  <si>
    <t>Mr. Justin Green III</t>
  </si>
  <si>
    <t>FUR-BO-107140</t>
  </si>
  <si>
    <t>Delacroix Lawyers Bookcase, Cherry Finish</t>
  </si>
  <si>
    <t>CA-2014-100097</t>
  </si>
  <si>
    <t>AH-15147</t>
  </si>
  <si>
    <t>Allison Hickman</t>
  </si>
  <si>
    <t>CA-2016-100098</t>
  </si>
  <si>
    <t>AK-12417</t>
  </si>
  <si>
    <t>Amy Kelley</t>
  </si>
  <si>
    <t>CA-2017-100099</t>
  </si>
  <si>
    <t>CF-17019</t>
  </si>
  <si>
    <t>Cameron Fisher</t>
  </si>
  <si>
    <t>CA-2017-100100</t>
  </si>
  <si>
    <t>MM-13593</t>
  </si>
  <si>
    <t>Mary Marshall</t>
  </si>
  <si>
    <t>Evansville</t>
  </si>
  <si>
    <t>US-2015-100101</t>
  </si>
  <si>
    <t>KD-13432</t>
  </si>
  <si>
    <t>Kelly Donovan</t>
  </si>
  <si>
    <t>Tampa</t>
  </si>
  <si>
    <t>CA-2014-100102</t>
  </si>
  <si>
    <t>Nashville</t>
  </si>
  <si>
    <t>CA-2015-100103</t>
  </si>
  <si>
    <t>US-2016-100104</t>
  </si>
  <si>
    <t>US-2015-100105</t>
  </si>
  <si>
    <t>AR-14905</t>
  </si>
  <si>
    <t>Anthony Romero</t>
  </si>
  <si>
    <t>Greenville</t>
  </si>
  <si>
    <t>CA-2014-100106</t>
  </si>
  <si>
    <t>DM-17527</t>
  </si>
  <si>
    <t>Danny Morgan</t>
  </si>
  <si>
    <t>CA-2015-100107</t>
  </si>
  <si>
    <t>JJ-14808</t>
  </si>
  <si>
    <t>Jeffrey Johnson</t>
  </si>
  <si>
    <t>CA-2014-100108</t>
  </si>
  <si>
    <t>LA-17350</t>
  </si>
  <si>
    <t>Lisa Allen</t>
  </si>
  <si>
    <t>US-2016-100109</t>
  </si>
  <si>
    <t>JP-15635</t>
  </si>
  <si>
    <t>John Pierce</t>
  </si>
  <si>
    <t>Cambridge</t>
  </si>
  <si>
    <t>CA-2017-100110</t>
  </si>
  <si>
    <t>DJ-15930</t>
  </si>
  <si>
    <t>Dustin Jordan</t>
  </si>
  <si>
    <t>CA-2016-100111</t>
  </si>
  <si>
    <t>US-2016-100112</t>
  </si>
  <si>
    <t>DL-13262</t>
  </si>
  <si>
    <t>David Lopez</t>
  </si>
  <si>
    <t>US-2017-100113</t>
  </si>
  <si>
    <t>SM-15763</t>
  </si>
  <si>
    <t>Shannon Malone</t>
  </si>
  <si>
    <t>US-2017-100114</t>
  </si>
  <si>
    <t>PB-14119</t>
  </si>
  <si>
    <t>Pamela Boyd</t>
  </si>
  <si>
    <t>Stamford</t>
  </si>
  <si>
    <t>CA-2016-100115</t>
  </si>
  <si>
    <t>MM-15617</t>
  </si>
  <si>
    <t>Michael Mitchell</t>
  </si>
  <si>
    <t>US-2015-100116</t>
  </si>
  <si>
    <t>JC-12267</t>
  </si>
  <si>
    <t>Jose Crawford</t>
  </si>
  <si>
    <t>US-2017-100117</t>
  </si>
  <si>
    <t>SM-16547</t>
  </si>
  <si>
    <t>Shelley Miller</t>
  </si>
  <si>
    <t>Rockville</t>
  </si>
  <si>
    <t>US-2017-100118</t>
  </si>
  <si>
    <t>NB-21770</t>
  </si>
  <si>
    <t>Natalie Bautista</t>
  </si>
  <si>
    <t>Louisville</t>
  </si>
  <si>
    <t>CA-2015-100119</t>
  </si>
  <si>
    <t>RG-14092</t>
  </si>
  <si>
    <t>Ryan Gonzalez</t>
  </si>
  <si>
    <t>US-2017-100120</t>
  </si>
  <si>
    <t>CH-20280</t>
  </si>
  <si>
    <t>Cheyenne Horton</t>
  </si>
  <si>
    <t>US-2016-100121</t>
  </si>
  <si>
    <t>SP-20975</t>
  </si>
  <si>
    <t>Steve Paul</t>
  </si>
  <si>
    <t>CA-2016-100122</t>
  </si>
  <si>
    <t>US-2016-100123</t>
  </si>
  <si>
    <t>DM-10319</t>
  </si>
  <si>
    <t>Debra Morton</t>
  </si>
  <si>
    <t>Birmingham</t>
  </si>
  <si>
    <t>Alabama</t>
  </si>
  <si>
    <t>US-2016-100124</t>
  </si>
  <si>
    <t>CG-10771</t>
  </si>
  <si>
    <t>Courtney Gonzalez</t>
  </si>
  <si>
    <t>CA-2015-100125</t>
  </si>
  <si>
    <t>TW-13044</t>
  </si>
  <si>
    <t>Theresa Williams</t>
  </si>
  <si>
    <t>CA-2015-100126</t>
  </si>
  <si>
    <t>BG-11771</t>
  </si>
  <si>
    <t>Bobby Guerrero</t>
  </si>
  <si>
    <t>New Haven</t>
  </si>
  <si>
    <t>CA-2017-100127</t>
  </si>
  <si>
    <t>CT-20796</t>
  </si>
  <si>
    <t>Colin Terry</t>
  </si>
  <si>
    <t>CA-2015-100128</t>
  </si>
  <si>
    <t>RD-18976</t>
  </si>
  <si>
    <t>Robert Dennis</t>
  </si>
  <si>
    <t>FUR-TA-107449</t>
  </si>
  <si>
    <t>Pembroke 36 x 72 Conference Table</t>
  </si>
  <si>
    <t>US-2016-100129</t>
  </si>
  <si>
    <t>RR-21423</t>
  </si>
  <si>
    <t>Robert Richardson</t>
  </si>
  <si>
    <t>Burlington</t>
  </si>
  <si>
    <t>FUR-BO-104471</t>
  </si>
  <si>
    <t>Camden Modular Bookcase, Custom Colors</t>
  </si>
  <si>
    <t>CA-2014-100130</t>
  </si>
  <si>
    <t>DW-21543</t>
  </si>
  <si>
    <t>Donald Wright</t>
  </si>
  <si>
    <t>Cleveland</t>
  </si>
  <si>
    <t>CA-2016-100131</t>
  </si>
  <si>
    <t>HE-19774</t>
  </si>
  <si>
    <t>Hannah Everett</t>
  </si>
  <si>
    <t>CA-2015-100132</t>
  </si>
  <si>
    <t>MW-10128</t>
  </si>
  <si>
    <t>Madison Weber</t>
  </si>
  <si>
    <t>CA-2014-100133</t>
  </si>
  <si>
    <t>Colorado Springs</t>
  </si>
  <si>
    <t>Colorado</t>
  </si>
  <si>
    <t>US-2016-100134</t>
  </si>
  <si>
    <t>ME-14374</t>
  </si>
  <si>
    <t>Michael Evans</t>
  </si>
  <si>
    <t>CA-2014-100135</t>
  </si>
  <si>
    <t>KO-12724</t>
  </si>
  <si>
    <t>Kevin Oconnor</t>
  </si>
  <si>
    <t>Provo</t>
  </si>
  <si>
    <t>CA-2014-100136</t>
  </si>
  <si>
    <t>KR-18849</t>
  </si>
  <si>
    <t>Kristen Rowe</t>
  </si>
  <si>
    <t>CA-2015-100137</t>
  </si>
  <si>
    <t>LH-12200</t>
  </si>
  <si>
    <t>Lisa Hunter</t>
  </si>
  <si>
    <t>US-2015-100138</t>
  </si>
  <si>
    <t>KW-20339</t>
  </si>
  <si>
    <t>Kevin Walters</t>
  </si>
  <si>
    <t>Allentown</t>
  </si>
  <si>
    <t>US-2014-100139</t>
  </si>
  <si>
    <t>MJ-16211</t>
  </si>
  <si>
    <t>Michael Johnson</t>
  </si>
  <si>
    <t>CA-2016-100140</t>
  </si>
  <si>
    <t>KL-20209</t>
  </si>
  <si>
    <t>Kelly Lee</t>
  </si>
  <si>
    <t>CA-2016-100141</t>
  </si>
  <si>
    <t>DT-13981</t>
  </si>
  <si>
    <t>Desiree Tyler</t>
  </si>
  <si>
    <t>CA-2017-100142</t>
  </si>
  <si>
    <t>AS-17428</t>
  </si>
  <si>
    <t>Amy Silva</t>
  </si>
  <si>
    <t>Newark</t>
  </si>
  <si>
    <t>CA-2015-100143</t>
  </si>
  <si>
    <t>HW-10634</t>
  </si>
  <si>
    <t>Heather Williams</t>
  </si>
  <si>
    <t>Manchester</t>
  </si>
  <si>
    <t>New Hampshire</t>
  </si>
  <si>
    <t>US-2015-100144</t>
  </si>
  <si>
    <t>RB-20972</t>
  </si>
  <si>
    <t>Renee Bruce</t>
  </si>
  <si>
    <t>US-2016-100145</t>
  </si>
  <si>
    <t>ME-13335</t>
  </si>
  <si>
    <t>Mary Escobar</t>
  </si>
  <si>
    <t>CA-2016-100146</t>
  </si>
  <si>
    <t>CT-21133</t>
  </si>
  <si>
    <t>Curtis Taylor</t>
  </si>
  <si>
    <t>FUR-TA-107564</t>
  </si>
  <si>
    <t>Bellwood Slim Training Table, Light Gray</t>
  </si>
  <si>
    <t>CA-2015-100147</t>
  </si>
  <si>
    <t>CR-16916</t>
  </si>
  <si>
    <t>Christopher Rubio</t>
  </si>
  <si>
    <t>Denver</t>
  </si>
  <si>
    <t>CA-2015-100148</t>
  </si>
  <si>
    <t>BH-21145</t>
  </si>
  <si>
    <t>Brenda Hall</t>
  </si>
  <si>
    <t>CA-2016-100149</t>
  </si>
  <si>
    <t>DZ-13811</t>
  </si>
  <si>
    <t>Derek Zuniga</t>
  </si>
  <si>
    <t>CA-2014-100150</t>
  </si>
  <si>
    <t>KG-10514</t>
  </si>
  <si>
    <t>Krista Gibson</t>
  </si>
  <si>
    <t>CA-2015-100151</t>
  </si>
  <si>
    <t>CR-17956</t>
  </si>
  <si>
    <t>Carlos Ryan</t>
  </si>
  <si>
    <t>Houston</t>
  </si>
  <si>
    <t>CA-2014-100152</t>
  </si>
  <si>
    <t>ZF-21199</t>
  </si>
  <si>
    <t>Zachary Ferrell</t>
  </si>
  <si>
    <t>Casper</t>
  </si>
  <si>
    <t>US-2017-100153</t>
  </si>
  <si>
    <t>MC-20587</t>
  </si>
  <si>
    <t>Marie Christian</t>
  </si>
  <si>
    <t>CA-2014-100154</t>
  </si>
  <si>
    <t>JD-15491</t>
  </si>
  <si>
    <t>Jennifer Simpson DVM</t>
  </si>
  <si>
    <t>San Diego</t>
  </si>
  <si>
    <t>US-2017-100155</t>
  </si>
  <si>
    <t>RM-11127</t>
  </si>
  <si>
    <t>Robert Montgomery</t>
  </si>
  <si>
    <t>US-2015-100156</t>
  </si>
  <si>
    <t>DM-15138</t>
  </si>
  <si>
    <t>Dana Martinez</t>
  </si>
  <si>
    <t>CA-2016-100157</t>
  </si>
  <si>
    <t>RR-12881</t>
  </si>
  <si>
    <t>Robert Reese</t>
  </si>
  <si>
    <t>US-2016-100158</t>
  </si>
  <si>
    <t>SA-21734</t>
  </si>
  <si>
    <t>Sabrina Austin</t>
  </si>
  <si>
    <t>FUR-BO-103595</t>
  </si>
  <si>
    <t>Pinehurst 6-Shelf Industrial Bookcase</t>
  </si>
  <si>
    <t>US-2016-100159</t>
  </si>
  <si>
    <t>CA-2017-100160</t>
  </si>
  <si>
    <t>US-2015-100161</t>
  </si>
  <si>
    <t>EB-16658</t>
  </si>
  <si>
    <t>Edward Burgess</t>
  </si>
  <si>
    <t>US-2015-100162</t>
  </si>
  <si>
    <t>Saint Louis</t>
  </si>
  <si>
    <t>Missouri</t>
  </si>
  <si>
    <t>CA-2016-100163</t>
  </si>
  <si>
    <t>US-2016-100164</t>
  </si>
  <si>
    <t>MT-20021</t>
  </si>
  <si>
    <t>Mary Thompson</t>
  </si>
  <si>
    <t>US-2015-100165</t>
  </si>
  <si>
    <t>KJ-11604</t>
  </si>
  <si>
    <t>Keith Jennings</t>
  </si>
  <si>
    <t>Springfield</t>
  </si>
  <si>
    <t>US-2016-100166</t>
  </si>
  <si>
    <t>SM-20415</t>
  </si>
  <si>
    <t>Sarah Moore</t>
  </si>
  <si>
    <t>CA-2017-100167</t>
  </si>
  <si>
    <t>SW-19292</t>
  </si>
  <si>
    <t>Shannon Walker</t>
  </si>
  <si>
    <t>CA-2016-100168</t>
  </si>
  <si>
    <t>DG-19052</t>
  </si>
  <si>
    <t>Dustin Gallegos</t>
  </si>
  <si>
    <t>CA-2014-100169</t>
  </si>
  <si>
    <t>JP-19740</t>
  </si>
  <si>
    <t>Jesse Perry</t>
  </si>
  <si>
    <t>US-2014-100170</t>
  </si>
  <si>
    <t>PC-15881</t>
  </si>
  <si>
    <t>Philip Cannon</t>
  </si>
  <si>
    <t>Naperville</t>
  </si>
  <si>
    <t>Illinois</t>
  </si>
  <si>
    <t>US-2015-100171</t>
  </si>
  <si>
    <t>EW-20168</t>
  </si>
  <si>
    <t>Evelyn Williams</t>
  </si>
  <si>
    <t>US-2016-100172</t>
  </si>
  <si>
    <t>AH-17179</t>
  </si>
  <si>
    <t>Ashley Hicks</t>
  </si>
  <si>
    <t>Bangor</t>
  </si>
  <si>
    <t>US-2015-100173</t>
  </si>
  <si>
    <t>LS-10998</t>
  </si>
  <si>
    <t>Linda Smith</t>
  </si>
  <si>
    <t>CA-2016-100174</t>
  </si>
  <si>
    <t>MB-15421</t>
  </si>
  <si>
    <t>Maria Brown</t>
  </si>
  <si>
    <t>CA-2016-100175</t>
  </si>
  <si>
    <t>SK-17119</t>
  </si>
  <si>
    <t>Sarah King</t>
  </si>
  <si>
    <t>CA-2014-100176</t>
  </si>
  <si>
    <t>BF-13164</t>
  </si>
  <si>
    <t>Brian Fitzgerald</t>
  </si>
  <si>
    <t>Worcester</t>
  </si>
  <si>
    <t>US-2016-100177</t>
  </si>
  <si>
    <t>CA-2015-100178</t>
  </si>
  <si>
    <t>US-2015-100179</t>
  </si>
  <si>
    <t>NG-14920</t>
  </si>
  <si>
    <t>Nicole Gonzalez</t>
  </si>
  <si>
    <t>Madison</t>
  </si>
  <si>
    <t>CA-2015-100180</t>
  </si>
  <si>
    <t>KR-10685</t>
  </si>
  <si>
    <t>Kelsey Rodriguez</t>
  </si>
  <si>
    <t>US-2015-100181</t>
  </si>
  <si>
    <t>DM-21791</t>
  </si>
  <si>
    <t>Daniel Murphy</t>
  </si>
  <si>
    <t>US-2014-100182</t>
  </si>
  <si>
    <t>AO-10828</t>
  </si>
  <si>
    <t>Amber Obrien</t>
  </si>
  <si>
    <t>CA-2015-100183</t>
  </si>
  <si>
    <t>CA-2017-100184</t>
  </si>
  <si>
    <t>JC-14333</t>
  </si>
  <si>
    <t>Julian Conner</t>
  </si>
  <si>
    <t>FUR-BO-106371</t>
  </si>
  <si>
    <t>Fairmont Ladder Shelf, Black Metal Frame</t>
  </si>
  <si>
    <t>US-2014-100185</t>
  </si>
  <si>
    <t>CA-2017-100186</t>
  </si>
  <si>
    <t>DG-14700</t>
  </si>
  <si>
    <t>David Grant</t>
  </si>
  <si>
    <t>Richmond</t>
  </si>
  <si>
    <t>US-2016-100187</t>
  </si>
  <si>
    <t>AH-20476</t>
  </si>
  <si>
    <t>Allison Hill</t>
  </si>
  <si>
    <t>US-2014-100188</t>
  </si>
  <si>
    <t>CA-2014-100189</t>
  </si>
  <si>
    <t>Rochester</t>
  </si>
  <si>
    <t>New York</t>
  </si>
  <si>
    <t>CA-2017-100190</t>
  </si>
  <si>
    <t>LS-16267</t>
  </si>
  <si>
    <t>Lance Simmons</t>
  </si>
  <si>
    <t>CA-2014-100191</t>
  </si>
  <si>
    <t>KR-20987</t>
  </si>
  <si>
    <t>Kathleen Robertson</t>
  </si>
  <si>
    <t>CA-2014-100192</t>
  </si>
  <si>
    <t>ME-14304</t>
  </si>
  <si>
    <t>Michelle Evans</t>
  </si>
  <si>
    <t>US-2017-100193</t>
  </si>
  <si>
    <t>SR-16873</t>
  </si>
  <si>
    <t>Stephanie Ross</t>
  </si>
  <si>
    <t>US-2015-100194</t>
  </si>
  <si>
    <t>FUR-TA-103467</t>
  </si>
  <si>
    <t>Kessler Round Bullnose High Table</t>
  </si>
  <si>
    <t>CA-2017-100195</t>
  </si>
  <si>
    <t>EM-16745</t>
  </si>
  <si>
    <t>Evelyn Martinez</t>
  </si>
  <si>
    <t>Chicago</t>
  </si>
  <si>
    <t>US-2016-100196</t>
  </si>
  <si>
    <t>CS-17612</t>
  </si>
  <si>
    <t>Courtney Smith</t>
  </si>
  <si>
    <t>Santa Fe</t>
  </si>
  <si>
    <t>CA-2015-100197</t>
  </si>
  <si>
    <t>PD-15409</t>
  </si>
  <si>
    <t>Pamela Diaz</t>
  </si>
  <si>
    <t>US-2014-100198</t>
  </si>
  <si>
    <t>CA-2014-100199</t>
  </si>
  <si>
    <t>JV-20510</t>
  </si>
  <si>
    <t>Joshua Vance</t>
  </si>
  <si>
    <t>US-2015-100200</t>
  </si>
  <si>
    <t>CA-2016-100201</t>
  </si>
  <si>
    <t>FUR-BO-106865</t>
  </si>
  <si>
    <t>Hartwell Oak 5-Shelf Bookcase</t>
  </si>
  <si>
    <t>CA-2014-100202</t>
  </si>
  <si>
    <t>SB-15574</t>
  </si>
  <si>
    <t>Sherri Baker</t>
  </si>
  <si>
    <t>CA-2014-100203</t>
  </si>
  <si>
    <t>AB-12646</t>
  </si>
  <si>
    <t>Ashley Barton</t>
  </si>
  <si>
    <t>Kansas City</t>
  </si>
  <si>
    <t>US-2017-100204</t>
  </si>
  <si>
    <t>CA-2015-100205</t>
  </si>
  <si>
    <t>CA-2015-100206</t>
  </si>
  <si>
    <t>NJ-14114</t>
  </si>
  <si>
    <t>Nancy Jennings</t>
  </si>
  <si>
    <t>CA-2014-100207</t>
  </si>
  <si>
    <t>MC-12925</t>
  </si>
  <si>
    <t>Michael Cooper</t>
  </si>
  <si>
    <t>Oakland</t>
  </si>
  <si>
    <t>US-2015-100208</t>
  </si>
  <si>
    <t>US-2014-100209</t>
  </si>
  <si>
    <t>JC-12900</t>
  </si>
  <si>
    <t>Judith Carter</t>
  </si>
  <si>
    <t>Tulsa</t>
  </si>
  <si>
    <t>CA-2014-100210</t>
  </si>
  <si>
    <t>JA-15573</t>
  </si>
  <si>
    <t>Jennifer Adkins</t>
  </si>
  <si>
    <t>CA-2016-100211</t>
  </si>
  <si>
    <t>JB-11020</t>
  </si>
  <si>
    <t>Jonathan Brooks</t>
  </si>
  <si>
    <t>CA-2014-100212</t>
  </si>
  <si>
    <t>HJ-19197</t>
  </si>
  <si>
    <t>Helen Jones</t>
  </si>
  <si>
    <t>US-2017-100213</t>
  </si>
  <si>
    <t>AL-15977</t>
  </si>
  <si>
    <t>Angela Lopez</t>
  </si>
  <si>
    <t>CA-2014-100214</t>
  </si>
  <si>
    <t>LI-16658</t>
  </si>
  <si>
    <t>Lori Ingram</t>
  </si>
  <si>
    <t>US-2015-100215</t>
  </si>
  <si>
    <t>US-2014-100216</t>
  </si>
  <si>
    <t>BS-15718</t>
  </si>
  <si>
    <t>Brian Smith</t>
  </si>
  <si>
    <t>US-2016-100217</t>
  </si>
  <si>
    <t>CA-2016-100218</t>
  </si>
  <si>
    <t>US-2017-100219</t>
  </si>
  <si>
    <t>NP-19260</t>
  </si>
  <si>
    <t>Nicole Parrish</t>
  </si>
  <si>
    <t>CA-2017-100220</t>
  </si>
  <si>
    <t>TP-18977</t>
  </si>
  <si>
    <t>Thomas Peterson</t>
  </si>
  <si>
    <t>US-2014-100221</t>
  </si>
  <si>
    <t>FUR-BO-108947</t>
  </si>
  <si>
    <t>Concord Ladder Bookcase, Walnut</t>
  </si>
  <si>
    <t>CA-2017-100222</t>
  </si>
  <si>
    <t>CA-2014-100223</t>
  </si>
  <si>
    <t>SS-10158</t>
  </si>
  <si>
    <t>Shelly Spencer</t>
  </si>
  <si>
    <t>US-2016-100224</t>
  </si>
  <si>
    <t>JT-14892</t>
  </si>
  <si>
    <t>James Tran</t>
  </si>
  <si>
    <t>FUR-BO-107956</t>
  </si>
  <si>
    <t>Sterling Wide Bookcase, Charcoal Gray</t>
  </si>
  <si>
    <t>CA-2015-100225</t>
  </si>
  <si>
    <t>Aurora</t>
  </si>
  <si>
    <t>US-2014-100226</t>
  </si>
  <si>
    <t>BT-12426</t>
  </si>
  <si>
    <t>Brenda Thornton</t>
  </si>
  <si>
    <t>CA-2016-100227</t>
  </si>
  <si>
    <t>CA-2015-100228</t>
  </si>
  <si>
    <t>RB-15974</t>
  </si>
  <si>
    <t>Riley Bryant</t>
  </si>
  <si>
    <t>Detroit</t>
  </si>
  <si>
    <t>CA-2014-100229</t>
  </si>
  <si>
    <t>NM-15344</t>
  </si>
  <si>
    <t>Nancy Evans MD</t>
  </si>
  <si>
    <t>US-2017-100230</t>
  </si>
  <si>
    <t>PC-20501</t>
  </si>
  <si>
    <t>Paul Castaneda</t>
  </si>
  <si>
    <t>Atlanta</t>
  </si>
  <si>
    <t>US-2014-100231</t>
  </si>
  <si>
    <t>US-2017-100232</t>
  </si>
  <si>
    <t>EW-12060</t>
  </si>
  <si>
    <t>Erin Warner</t>
  </si>
  <si>
    <t>US-2016-100233</t>
  </si>
  <si>
    <t>US-2016-100234</t>
  </si>
  <si>
    <t>SS-11049</t>
  </si>
  <si>
    <t>Susan Serrano</t>
  </si>
  <si>
    <t>CA-2015-100235</t>
  </si>
  <si>
    <t>US-2014-100236</t>
  </si>
  <si>
    <t>JC-16924</t>
  </si>
  <si>
    <t>Jeffrey Chavez</t>
  </si>
  <si>
    <t>CA-2015-100237</t>
  </si>
  <si>
    <t>CC-10400</t>
  </si>
  <si>
    <t>Casey Chase</t>
  </si>
  <si>
    <t>FUR-TA-107022</t>
  </si>
  <si>
    <t>Alden Rectangular Conference Table</t>
  </si>
  <si>
    <t>US-2017-100238</t>
  </si>
  <si>
    <t>DM-20738</t>
  </si>
  <si>
    <t>Diana May</t>
  </si>
  <si>
    <t>US-2015-100239</t>
  </si>
  <si>
    <t>JA-16939</t>
  </si>
  <si>
    <t>Jasmin Alvarado</t>
  </si>
  <si>
    <t>US-2017-100240</t>
  </si>
  <si>
    <t>BF-13527</t>
  </si>
  <si>
    <t>Brittany Farmer</t>
  </si>
  <si>
    <t>CA-2017-100241</t>
  </si>
  <si>
    <t>LR-10344</t>
  </si>
  <si>
    <t>Laura Roberts</t>
  </si>
  <si>
    <t>US-2016-100242</t>
  </si>
  <si>
    <t>KB-19932</t>
  </si>
  <si>
    <t>Kristy Bryan</t>
  </si>
  <si>
    <t>CA-2014-100243</t>
  </si>
  <si>
    <t>SH-19295</t>
  </si>
  <si>
    <t>Spencer Haynes</t>
  </si>
  <si>
    <t>US-2015-100244</t>
  </si>
  <si>
    <t>JD-13878</t>
  </si>
  <si>
    <t>Julie Dominguez</t>
  </si>
  <si>
    <t>US-2017-100245</t>
  </si>
  <si>
    <t>KD-11964</t>
  </si>
  <si>
    <t>Kerry Chavez DDS</t>
  </si>
  <si>
    <t>CA-2015-100246</t>
  </si>
  <si>
    <t>CA-2014-100247</t>
  </si>
  <si>
    <t>LG-14061</t>
  </si>
  <si>
    <t>Lori Guerrero</t>
  </si>
  <si>
    <t>US-2016-100248</t>
  </si>
  <si>
    <t>KS-20876</t>
  </si>
  <si>
    <t>Kimberly Sharp</t>
  </si>
  <si>
    <t>US-2015-100249</t>
  </si>
  <si>
    <t>KC-17305</t>
  </si>
  <si>
    <t>Kyle Chambers</t>
  </si>
  <si>
    <t>Henderson</t>
  </si>
  <si>
    <t>US-2014-100250</t>
  </si>
  <si>
    <t>CA-2014-100251</t>
  </si>
  <si>
    <t>KN-16615</t>
  </si>
  <si>
    <t>Kimberly Nguyen</t>
  </si>
  <si>
    <t>CA-2017-100252</t>
  </si>
  <si>
    <t>TD-20684</t>
  </si>
  <si>
    <t>Tanner Mitchell DDS</t>
  </si>
  <si>
    <t>Warwick</t>
  </si>
  <si>
    <t>CA-2015-100253</t>
  </si>
  <si>
    <t>MW-17397</t>
  </si>
  <si>
    <t>Michael Warner</t>
  </si>
  <si>
    <t>CA-2017-100254</t>
  </si>
  <si>
    <t>Austin</t>
  </si>
  <si>
    <t>US-2015-100255</t>
  </si>
  <si>
    <t>JC-19909</t>
  </si>
  <si>
    <t>Jake Campbell</t>
  </si>
  <si>
    <t>US-2014-100256</t>
  </si>
  <si>
    <t>AH-17251</t>
  </si>
  <si>
    <t>Alexis Harris</t>
  </si>
  <si>
    <t>US-2014-100257</t>
  </si>
  <si>
    <t>JM-15198</t>
  </si>
  <si>
    <t>Jennifer Miranda</t>
  </si>
  <si>
    <t>CA-2016-100258</t>
  </si>
  <si>
    <t>LJ-18279</t>
  </si>
  <si>
    <t>Lisa Jackson</t>
  </si>
  <si>
    <t>CA-2014-100259</t>
  </si>
  <si>
    <t>CA-2016-100260</t>
  </si>
  <si>
    <t>CA-2014-100261</t>
  </si>
  <si>
    <t>PL-21004</t>
  </si>
  <si>
    <t>Paul Lewis</t>
  </si>
  <si>
    <t>CA-2017-100262</t>
  </si>
  <si>
    <t>EC-10711</t>
  </si>
  <si>
    <t>Eric Carney</t>
  </si>
  <si>
    <t>CA-2017-100263</t>
  </si>
  <si>
    <t>KM-17886</t>
  </si>
  <si>
    <t>Kiara Mcintyre</t>
  </si>
  <si>
    <t>Fort Worth</t>
  </si>
  <si>
    <t>CA-2017-100264</t>
  </si>
  <si>
    <t>BM-12296</t>
  </si>
  <si>
    <t>Briana Murray</t>
  </si>
  <si>
    <t>CA-2014-100265</t>
  </si>
  <si>
    <t>KE-16592</t>
  </si>
  <si>
    <t>Kim Erickson</t>
  </si>
  <si>
    <t>US-2017-100266</t>
  </si>
  <si>
    <t>US-2015-100267</t>
  </si>
  <si>
    <t>CA-2014-100268</t>
  </si>
  <si>
    <t>US-2016-100269</t>
  </si>
  <si>
    <t>SG-19813</t>
  </si>
  <si>
    <t>Samantha Garcia</t>
  </si>
  <si>
    <t>CA-2014-100270</t>
  </si>
  <si>
    <t>VG-15925</t>
  </si>
  <si>
    <t>Victoria Garcia</t>
  </si>
  <si>
    <t>US-2017-100271</t>
  </si>
  <si>
    <t>HF-13346</t>
  </si>
  <si>
    <t>Holly Farmer</t>
  </si>
  <si>
    <t>CA-2015-100272</t>
  </si>
  <si>
    <t>US-2015-100273</t>
  </si>
  <si>
    <t>US-2015-100274</t>
  </si>
  <si>
    <t>SW-14073</t>
  </si>
  <si>
    <t>Stephanie Williams</t>
  </si>
  <si>
    <t>CA-2016-100275</t>
  </si>
  <si>
    <t>RH-16548</t>
  </si>
  <si>
    <t>Rebecca Hicks</t>
  </si>
  <si>
    <t>US-2017-100276</t>
  </si>
  <si>
    <t>AM-10626</t>
  </si>
  <si>
    <t>Amy Martinez</t>
  </si>
  <si>
    <t>US-2017-100277</t>
  </si>
  <si>
    <t>TC-10653</t>
  </si>
  <si>
    <t>Taylor Carlson</t>
  </si>
  <si>
    <t>CA-2014-100278</t>
  </si>
  <si>
    <t>KM-14564</t>
  </si>
  <si>
    <t>Katherine Martinez</t>
  </si>
  <si>
    <t>CA-2016-100279</t>
  </si>
  <si>
    <t>SB-11122</t>
  </si>
  <si>
    <t>Sharon Boyd</t>
  </si>
  <si>
    <t>CA-2017-100280</t>
  </si>
  <si>
    <t>CA-2014-100281</t>
  </si>
  <si>
    <t>CA-2016-100282</t>
  </si>
  <si>
    <t>DJ-12621</t>
  </si>
  <si>
    <t>David Douglas Jr.</t>
  </si>
  <si>
    <t>US-2015-100283</t>
  </si>
  <si>
    <t>KS-16678</t>
  </si>
  <si>
    <t>Katherine Stark</t>
  </si>
  <si>
    <t>Albany</t>
  </si>
  <si>
    <t>US-2017-100284</t>
  </si>
  <si>
    <t>Jackson</t>
  </si>
  <si>
    <t>US-2015-100285</t>
  </si>
  <si>
    <t>MP-17123</t>
  </si>
  <si>
    <t>Michael Powell</t>
  </si>
  <si>
    <t>CA-2016-100286</t>
  </si>
  <si>
    <t>RC-11746</t>
  </si>
  <si>
    <t>Rhonda Chavez</t>
  </si>
  <si>
    <t>US-2016-100287</t>
  </si>
  <si>
    <t>JW-16232</t>
  </si>
  <si>
    <t>James Watson</t>
  </si>
  <si>
    <t>CA-2017-100288</t>
  </si>
  <si>
    <t>AV-11290</t>
  </si>
  <si>
    <t>Adam Vaughan</t>
  </si>
  <si>
    <t>US-2016-100289</t>
  </si>
  <si>
    <t>Cincinnati</t>
  </si>
  <si>
    <t>CA-2015-100290</t>
  </si>
  <si>
    <t>MS-11988</t>
  </si>
  <si>
    <t>Michael Stanley</t>
  </si>
  <si>
    <t>CA-2015-100291</t>
  </si>
  <si>
    <t>US-2015-100292</t>
  </si>
  <si>
    <t>DN-14930</t>
  </si>
  <si>
    <t>Daniel Nguyen</t>
  </si>
  <si>
    <t>US-2017-100293</t>
  </si>
  <si>
    <t>TA-14345</t>
  </si>
  <si>
    <t>Thomas Atkins</t>
  </si>
  <si>
    <t>US-2016-100294</t>
  </si>
  <si>
    <t>MR-13652</t>
  </si>
  <si>
    <t>Meghan Rush</t>
  </si>
  <si>
    <t>CA-2016-100295</t>
  </si>
  <si>
    <t>MB-17478</t>
  </si>
  <si>
    <t>Martha Bailey</t>
  </si>
  <si>
    <t>CA-2016-100296</t>
  </si>
  <si>
    <t>KB-17814</t>
  </si>
  <si>
    <t>Karl Branch</t>
  </si>
  <si>
    <t>CA-2017-100297</t>
  </si>
  <si>
    <t>YB-13119</t>
  </si>
  <si>
    <t>Yvonne Burns</t>
  </si>
  <si>
    <t>CA-2017-100298</t>
  </si>
  <si>
    <t>ST-20370</t>
  </si>
  <si>
    <t>Susan Thompson</t>
  </si>
  <si>
    <t>US-2016-100299</t>
  </si>
  <si>
    <t>Buffalo</t>
  </si>
  <si>
    <t>CA-2017-100300</t>
  </si>
  <si>
    <t>Mobile</t>
  </si>
  <si>
    <t>CA-2016-100301</t>
  </si>
  <si>
    <t>CA-2015-100302</t>
  </si>
  <si>
    <t>AW-16482</t>
  </si>
  <si>
    <t>Ashley Waller</t>
  </si>
  <si>
    <t>US-2015-100303</t>
  </si>
  <si>
    <t>ST-17811</t>
  </si>
  <si>
    <t>Scott Thomas</t>
  </si>
  <si>
    <t>US-2017-100304</t>
  </si>
  <si>
    <t>US-2017-100305</t>
  </si>
  <si>
    <t>SW-11790</t>
  </si>
  <si>
    <t>Shelia Wallace</t>
  </si>
  <si>
    <t>CA-2016-100306</t>
  </si>
  <si>
    <t>CA-2014-100307</t>
  </si>
  <si>
    <t>VR-14349</t>
  </si>
  <si>
    <t>Vincent Reynolds</t>
  </si>
  <si>
    <t>Seattle</t>
  </si>
  <si>
    <t>CA-2016-100308</t>
  </si>
  <si>
    <t>CS-12144</t>
  </si>
  <si>
    <t>Charles Schultz</t>
  </si>
  <si>
    <t>Jacksonville</t>
  </si>
  <si>
    <t>CA-2015-100309</t>
  </si>
  <si>
    <t>TM-15139</t>
  </si>
  <si>
    <t>Todd Moore</t>
  </si>
  <si>
    <t>CA-2016-100310</t>
  </si>
  <si>
    <t>AH-16224</t>
  </si>
  <si>
    <t>Anthony Humphrey</t>
  </si>
  <si>
    <t>US-2017-100311</t>
  </si>
  <si>
    <t>PT-15804</t>
  </si>
  <si>
    <t>Patrick Thornton</t>
  </si>
  <si>
    <t>Nashua</t>
  </si>
  <si>
    <t>US-2016-100312</t>
  </si>
  <si>
    <t>LH-20770</t>
  </si>
  <si>
    <t>Laurie Hoffman</t>
  </si>
  <si>
    <t>CA-2015-100313</t>
  </si>
  <si>
    <t>US-2014-100314</t>
  </si>
  <si>
    <t>PG-17633</t>
  </si>
  <si>
    <t>Pamela Gutierrez</t>
  </si>
  <si>
    <t>CA-2017-100315</t>
  </si>
  <si>
    <t>CA-2017-100316</t>
  </si>
  <si>
    <t>US-2015-100317</t>
  </si>
  <si>
    <t>DM-18201</t>
  </si>
  <si>
    <t>Darlene Miller</t>
  </si>
  <si>
    <t>US-2015-100318</t>
  </si>
  <si>
    <t>DF-10188</t>
  </si>
  <si>
    <t>Devon Flores</t>
  </si>
  <si>
    <t>CA-2017-100319</t>
  </si>
  <si>
    <t>CA-2015-100320</t>
  </si>
  <si>
    <t>SJ-10722</t>
  </si>
  <si>
    <t>Sophia Johnson</t>
  </si>
  <si>
    <t>CA-2014-100321</t>
  </si>
  <si>
    <t>DF-19446</t>
  </si>
  <si>
    <t>Donna Frye</t>
  </si>
  <si>
    <t>US-2015-100322</t>
  </si>
  <si>
    <t>MB-14978</t>
  </si>
  <si>
    <t>Melissa Bishop</t>
  </si>
  <si>
    <t>US-2016-100323</t>
  </si>
  <si>
    <t>MR-19440</t>
  </si>
  <si>
    <t>Mrs. Kristen Reyes</t>
  </si>
  <si>
    <t>CA-2014-100324</t>
  </si>
  <si>
    <t>BD-21680</t>
  </si>
  <si>
    <t>Bailey Duran DDS</t>
  </si>
  <si>
    <t>CA-2014-100325</t>
  </si>
  <si>
    <t>US-2016-100326</t>
  </si>
  <si>
    <t>CA-2017-100327</t>
  </si>
  <si>
    <t>KD-10090</t>
  </si>
  <si>
    <t>Kevin Davis</t>
  </si>
  <si>
    <t>US-2015-100328</t>
  </si>
  <si>
    <t>AG-19064</t>
  </si>
  <si>
    <t>Antonio Garcia</t>
  </si>
  <si>
    <t>US-2017-100329</t>
  </si>
  <si>
    <t>JP-19485</t>
  </si>
  <si>
    <t>Jesse Perez</t>
  </si>
  <si>
    <t>CA-2015-100330</t>
  </si>
  <si>
    <t>GK-12546</t>
  </si>
  <si>
    <t>Gwendolyn Klein</t>
  </si>
  <si>
    <t>US-2017-100331</t>
  </si>
  <si>
    <t>CV-10590</t>
  </si>
  <si>
    <t>Cynthia Vang</t>
  </si>
  <si>
    <t>US-2014-100332</t>
  </si>
  <si>
    <t>JC-17517</t>
  </si>
  <si>
    <t>Jeffrey Chandler</t>
  </si>
  <si>
    <t>CA-2016-100333</t>
  </si>
  <si>
    <t>US-2015-100334</t>
  </si>
  <si>
    <t>TC-20647</t>
  </si>
  <si>
    <t>Theresa Clark</t>
  </si>
  <si>
    <t>Orlando</t>
  </si>
  <si>
    <t>CA-2015-100335</t>
  </si>
  <si>
    <t>CR-17787</t>
  </si>
  <si>
    <t>Cathy Robinson</t>
  </si>
  <si>
    <t>CA-2014-100336</t>
  </si>
  <si>
    <t>MC-13269</t>
  </si>
  <si>
    <t>Mark Cox</t>
  </si>
  <si>
    <t>US-2015-100337</t>
  </si>
  <si>
    <t>US-2014-100338</t>
  </si>
  <si>
    <t>MH-14040</t>
  </si>
  <si>
    <t>Michelle Harmon</t>
  </si>
  <si>
    <t>US-2017-100339</t>
  </si>
  <si>
    <t>KG-11832</t>
  </si>
  <si>
    <t>Karen Graham</t>
  </si>
  <si>
    <t>US-2015-100340</t>
  </si>
  <si>
    <t>PW-10152</t>
  </si>
  <si>
    <t>Paul Wilson</t>
  </si>
  <si>
    <t>CA-2015-100341</t>
  </si>
  <si>
    <t>CA-2017-100342</t>
  </si>
  <si>
    <t>US-2016-100343</t>
  </si>
  <si>
    <t>CA-2017-100344</t>
  </si>
  <si>
    <t>SB-13006</t>
  </si>
  <si>
    <t>Stephanie Byrd</t>
  </si>
  <si>
    <t>US-2017-100345</t>
  </si>
  <si>
    <t>US-2015-100346</t>
  </si>
  <si>
    <t>CA-2017-100347</t>
  </si>
  <si>
    <t>AE-18835</t>
  </si>
  <si>
    <t>Anthony Everett</t>
  </si>
  <si>
    <t>Indianapolis</t>
  </si>
  <si>
    <t>CA-2016-100348</t>
  </si>
  <si>
    <t>SC-15168</t>
  </si>
  <si>
    <t>Sharon Cherry</t>
  </si>
  <si>
    <t>CA-2014-100349</t>
  </si>
  <si>
    <t>AR-17359</t>
  </si>
  <si>
    <t>Anthony Rodriguez</t>
  </si>
  <si>
    <t>CA-2017-100350</t>
  </si>
  <si>
    <t>TM-15085</t>
  </si>
  <si>
    <t>Todd Rosales MD</t>
  </si>
  <si>
    <t>US-2015-100351</t>
  </si>
  <si>
    <t>US-2017-100352</t>
  </si>
  <si>
    <t>US-2016-100353</t>
  </si>
  <si>
    <t>US-2017-100354</t>
  </si>
  <si>
    <t>US-2017-100355</t>
  </si>
  <si>
    <t>CA-2014-100356</t>
  </si>
  <si>
    <t>CA-2015-100357</t>
  </si>
  <si>
    <t>CA-2016-100358</t>
  </si>
  <si>
    <t>DE-13114</t>
  </si>
  <si>
    <t>Dr. Michael Evans</t>
  </si>
  <si>
    <t>CA-2016-100359</t>
  </si>
  <si>
    <t>US-2016-100360</t>
  </si>
  <si>
    <t>BR-11535</t>
  </si>
  <si>
    <t>Brian Ramirez</t>
  </si>
  <si>
    <t>CA-2016-100361</t>
  </si>
  <si>
    <t>KR-11188</t>
  </si>
  <si>
    <t>Karla Ramos</t>
  </si>
  <si>
    <t>CA-2017-100362</t>
  </si>
  <si>
    <t>US-2014-100363</t>
  </si>
  <si>
    <t>CR-14272</t>
  </si>
  <si>
    <t>Courtney Rodriguez</t>
  </si>
  <si>
    <t>Montgomery</t>
  </si>
  <si>
    <t>CA-2017-100364</t>
  </si>
  <si>
    <t>KW-18308</t>
  </si>
  <si>
    <t>Kathryn Williams</t>
  </si>
  <si>
    <t>US-2016-100365</t>
  </si>
  <si>
    <t>US-2014-100366</t>
  </si>
  <si>
    <t>JB-13923</t>
  </si>
  <si>
    <t>John Bishop</t>
  </si>
  <si>
    <t>CA-2016-100367</t>
  </si>
  <si>
    <t>AT-11584</t>
  </si>
  <si>
    <t>Angelica Tucker</t>
  </si>
  <si>
    <t>US-2016-100368</t>
  </si>
  <si>
    <t>EO-10027</t>
  </si>
  <si>
    <t>Emma Owens</t>
  </si>
  <si>
    <t>CA-2016-100369</t>
  </si>
  <si>
    <t>KH-10406</t>
  </si>
  <si>
    <t>Kaylee Hays</t>
  </si>
  <si>
    <t>CA-2016-100370</t>
  </si>
  <si>
    <t>CA-2017-100371</t>
  </si>
  <si>
    <t>DM-19939</t>
  </si>
  <si>
    <t>Denise Martinez</t>
  </si>
  <si>
    <t>CA-2016-100372</t>
  </si>
  <si>
    <t>JW-14315</t>
  </si>
  <si>
    <t>Jamie Walton</t>
  </si>
  <si>
    <t>US-2017-100373</t>
  </si>
  <si>
    <t>CM-19489</t>
  </si>
  <si>
    <t>Colton Martinez</t>
  </si>
  <si>
    <t>US-2014-100374</t>
  </si>
  <si>
    <t>CA-2015-100375</t>
  </si>
  <si>
    <t>AW-14422</t>
  </si>
  <si>
    <t>Aaron Wise</t>
  </si>
  <si>
    <t>US-2017-100376</t>
  </si>
  <si>
    <t>GP-19502</t>
  </si>
  <si>
    <t>Gregory Peck</t>
  </si>
  <si>
    <t>CA-2017-100377</t>
  </si>
  <si>
    <t>CA-2015-100378</t>
  </si>
  <si>
    <t>CA-2017-100379</t>
  </si>
  <si>
    <t>JP-11876</t>
  </si>
  <si>
    <t>Joshua Perry</t>
  </si>
  <si>
    <t>CA-2014-100380</t>
  </si>
  <si>
    <t>KR-11312</t>
  </si>
  <si>
    <t>Kayla Rodriguez</t>
  </si>
  <si>
    <t>US-2014-100381</t>
  </si>
  <si>
    <t>RK-20084</t>
  </si>
  <si>
    <t>Reginald Knapp</t>
  </si>
  <si>
    <t>CA-2015-100382</t>
  </si>
  <si>
    <t>US-2014-100383</t>
  </si>
  <si>
    <t>JB-16965</t>
  </si>
  <si>
    <t>Joyce Brown</t>
  </si>
  <si>
    <t>CA-2014-100384</t>
  </si>
  <si>
    <t>ML-11291</t>
  </si>
  <si>
    <t>Michael Lewis</t>
  </si>
  <si>
    <t>CA-2015-100385</t>
  </si>
  <si>
    <t>DW-19007</t>
  </si>
  <si>
    <t>Dr. William Warren</t>
  </si>
  <si>
    <t>CA-2017-100386</t>
  </si>
  <si>
    <t>US-2016-100387</t>
  </si>
  <si>
    <t>Little Rock</t>
  </si>
  <si>
    <t>US-2014-100388</t>
  </si>
  <si>
    <t>AO-15000</t>
  </si>
  <si>
    <t>Austin Osborne</t>
  </si>
  <si>
    <t>US-2015-100389</t>
  </si>
  <si>
    <t>CM-12579</t>
  </si>
  <si>
    <t>Cynthia Morris</t>
  </si>
  <si>
    <t>CA-2015-100390</t>
  </si>
  <si>
    <t>CA-2017-100391</t>
  </si>
  <si>
    <t>AM-12803</t>
  </si>
  <si>
    <t>Aimee Montoya</t>
  </si>
  <si>
    <t>CA-2017-100392</t>
  </si>
  <si>
    <t>CA-2014-100393</t>
  </si>
  <si>
    <t>PM-17973</t>
  </si>
  <si>
    <t>Patrick Moore</t>
  </si>
  <si>
    <t>CA-2014-100394</t>
  </si>
  <si>
    <t>US-2014-100395</t>
  </si>
  <si>
    <t>MA-20980</t>
  </si>
  <si>
    <t>Mike Allen</t>
  </si>
  <si>
    <t>Boulder</t>
  </si>
  <si>
    <t>CA-2014-100396</t>
  </si>
  <si>
    <t>CA-2015-100397</t>
  </si>
  <si>
    <t>TS-12504</t>
  </si>
  <si>
    <t>Tina Sanders</t>
  </si>
  <si>
    <t>US-2015-100398</t>
  </si>
  <si>
    <t>US-2014-100399</t>
  </si>
  <si>
    <t>US-2016-100400</t>
  </si>
  <si>
    <t>LH-20748</t>
  </si>
  <si>
    <t>Laura Hernandez</t>
  </si>
  <si>
    <t>CA-2017-100401</t>
  </si>
  <si>
    <t>CA-2014-100402</t>
  </si>
  <si>
    <t>US-2014-100403</t>
  </si>
  <si>
    <t>VS-14844</t>
  </si>
  <si>
    <t>Veronica Silva</t>
  </si>
  <si>
    <t>US-2014-100404</t>
  </si>
  <si>
    <t>JC-16396</t>
  </si>
  <si>
    <t>Jordan Chambers</t>
  </si>
  <si>
    <t>US-2014-100405</t>
  </si>
  <si>
    <t>BM-10964</t>
  </si>
  <si>
    <t>Brandon Bailey MD</t>
  </si>
  <si>
    <t>CA-2017-100406</t>
  </si>
  <si>
    <t>JH-21955</t>
  </si>
  <si>
    <t>Jessica Holmes</t>
  </si>
  <si>
    <t>CA-2015-100407</t>
  </si>
  <si>
    <t>US-2017-100408</t>
  </si>
  <si>
    <t>US-2015-100409</t>
  </si>
  <si>
    <t>CA-2017-100410</t>
  </si>
  <si>
    <t>LH-15728</t>
  </si>
  <si>
    <t>Lawrence Harrington</t>
  </si>
  <si>
    <t>US-2016-100411</t>
  </si>
  <si>
    <t>LM-18837</t>
  </si>
  <si>
    <t>Lindsay Martinez</t>
  </si>
  <si>
    <t>CA-2014-100412</t>
  </si>
  <si>
    <t>CA-2015-100413</t>
  </si>
  <si>
    <t>CA-2014-100414</t>
  </si>
  <si>
    <t>US-2015-100415</t>
  </si>
  <si>
    <t>US-2017-100416</t>
  </si>
  <si>
    <t>BG-19562</t>
  </si>
  <si>
    <t>Bryan Gomez</t>
  </si>
  <si>
    <t>US-2017-100417</t>
  </si>
  <si>
    <t>US-2016-100418</t>
  </si>
  <si>
    <t>JD-16537</t>
  </si>
  <si>
    <t>Jeremy Dalton</t>
  </si>
  <si>
    <t>CA-2014-100419</t>
  </si>
  <si>
    <t>JP-11113</t>
  </si>
  <si>
    <t>James Parks</t>
  </si>
  <si>
    <t>New Orleans</t>
  </si>
  <si>
    <t>US-2014-100420</t>
  </si>
  <si>
    <t>US-2014-100421</t>
  </si>
  <si>
    <t>TW-21731</t>
  </si>
  <si>
    <t>Tommy Walter</t>
  </si>
  <si>
    <t>CA-2017-100422</t>
  </si>
  <si>
    <t>NM-10993</t>
  </si>
  <si>
    <t>Nathan Malone</t>
  </si>
  <si>
    <t>US-2015-100423</t>
  </si>
  <si>
    <t>Memphis</t>
  </si>
  <si>
    <t>CA-2014-100424</t>
  </si>
  <si>
    <t>US-2017-100425</t>
  </si>
  <si>
    <t>CA-2017-100426</t>
  </si>
  <si>
    <t>AH-16216</t>
  </si>
  <si>
    <t>Anna Henderson</t>
  </si>
  <si>
    <t>Sacramento</t>
  </si>
  <si>
    <t>US-2017-100427</t>
  </si>
  <si>
    <t>EM-14351</t>
  </si>
  <si>
    <t>Ellen Morgan</t>
  </si>
  <si>
    <t>US-2014-100428</t>
  </si>
  <si>
    <t>New York City</t>
  </si>
  <si>
    <t>US-2016-100429</t>
  </si>
  <si>
    <t>AL-11697</t>
  </si>
  <si>
    <t>Angela Lin</t>
  </si>
  <si>
    <t>US-2017-100430</t>
  </si>
  <si>
    <t>US-2014-100431</t>
  </si>
  <si>
    <t>US-2016-100432</t>
  </si>
  <si>
    <t>BF-14573</t>
  </si>
  <si>
    <t>Brandon Fleming</t>
  </si>
  <si>
    <t>US-2014-100433</t>
  </si>
  <si>
    <t>MM-13228</t>
  </si>
  <si>
    <t>Mr. Alexander Landry MD</t>
  </si>
  <si>
    <t>US-2015-100434</t>
  </si>
  <si>
    <t>US-2014-100435</t>
  </si>
  <si>
    <t>JT-21762</t>
  </si>
  <si>
    <t>Julia Torres</t>
  </si>
  <si>
    <t>US-2016-100436</t>
  </si>
  <si>
    <t>CA-2014-100437</t>
  </si>
  <si>
    <t>JA-19674</t>
  </si>
  <si>
    <t>Jamie Arnold</t>
  </si>
  <si>
    <t>US-2016-100438</t>
  </si>
  <si>
    <t>MF-19132</t>
  </si>
  <si>
    <t>Maria Fisher</t>
  </si>
  <si>
    <t>CA-2016-100439</t>
  </si>
  <si>
    <t>RA-15425</t>
  </si>
  <si>
    <t>Robert Arnold</t>
  </si>
  <si>
    <t>CA-2014-100440</t>
  </si>
  <si>
    <t>DD-18518</t>
  </si>
  <si>
    <t>David Davis</t>
  </si>
  <si>
    <t>CA-2017-100441</t>
  </si>
  <si>
    <t>JO-19432</t>
  </si>
  <si>
    <t>Joseph Ochoa</t>
  </si>
  <si>
    <t>US-2016-100442</t>
  </si>
  <si>
    <t>US-2017-100443</t>
  </si>
  <si>
    <t>JL-17752</t>
  </si>
  <si>
    <t>Jason Love</t>
  </si>
  <si>
    <t>CA-2016-100444</t>
  </si>
  <si>
    <t>US-2014-100445</t>
  </si>
  <si>
    <t>AM-17491</t>
  </si>
  <si>
    <t>Anthony Moore</t>
  </si>
  <si>
    <t>CA-2017-100446</t>
  </si>
  <si>
    <t>ER-15753</t>
  </si>
  <si>
    <t>Emma Reed</t>
  </si>
  <si>
    <t>US-2014-100447</t>
  </si>
  <si>
    <t>VB-20532</t>
  </si>
  <si>
    <t>Victor Baker</t>
  </si>
  <si>
    <t>CA-2015-100448</t>
  </si>
  <si>
    <t>US-2017-100449</t>
  </si>
  <si>
    <t>NA-18320</t>
  </si>
  <si>
    <t>Nichole Alvarez</t>
  </si>
  <si>
    <t>CA-2017-100450</t>
  </si>
  <si>
    <t>US-2016-100451</t>
  </si>
  <si>
    <t>MM-16118</t>
  </si>
  <si>
    <t>Matthew Moore</t>
  </si>
  <si>
    <t>CA-2017-100452</t>
  </si>
  <si>
    <t>US-2014-100453</t>
  </si>
  <si>
    <t>US-2014-100454</t>
  </si>
  <si>
    <t>VS-16735</t>
  </si>
  <si>
    <t>Veronica Simpson</t>
  </si>
  <si>
    <t>CA-2016-100455</t>
  </si>
  <si>
    <t>JW-21266</t>
  </si>
  <si>
    <t>Joseph Wilson</t>
  </si>
  <si>
    <t>US-2014-100456</t>
  </si>
  <si>
    <t>Peoria</t>
  </si>
  <si>
    <t>US-2016-100457</t>
  </si>
  <si>
    <t>JP-11891</t>
  </si>
  <si>
    <t>Joanna Pacheco</t>
  </si>
  <si>
    <t>US-2015-100458</t>
  </si>
  <si>
    <t>CA-2017-100459</t>
  </si>
  <si>
    <t>AC-13258</t>
  </si>
  <si>
    <t>Alexander Collins</t>
  </si>
  <si>
    <t>CA-2016-100460</t>
  </si>
  <si>
    <t>US-2016-100461</t>
  </si>
  <si>
    <t>HW-13582</t>
  </si>
  <si>
    <t>Holly Wood</t>
  </si>
  <si>
    <t>CA-2016-100462</t>
  </si>
  <si>
    <t>RS-12780</t>
  </si>
  <si>
    <t>Randy Smith</t>
  </si>
  <si>
    <t>CA-2015-100463</t>
  </si>
  <si>
    <t>DM-10488</t>
  </si>
  <si>
    <t>Dylan Miller</t>
  </si>
  <si>
    <t>CA-2017-100464</t>
  </si>
  <si>
    <t>JC-11139</t>
  </si>
  <si>
    <t>Jessica Callahan</t>
  </si>
  <si>
    <t>CA-2014-100465</t>
  </si>
  <si>
    <t>CA-2014-100466</t>
  </si>
  <si>
    <t>US-2017-100467</t>
  </si>
  <si>
    <t>JL-14325</t>
  </si>
  <si>
    <t>Jenna Larson</t>
  </si>
  <si>
    <t>CA-2017-100468</t>
  </si>
  <si>
    <t>FUR-BO-109883</t>
  </si>
  <si>
    <t>Ashford Mobile 4-Shelf Bookcase</t>
  </si>
  <si>
    <t>CA-2015-100469</t>
  </si>
  <si>
    <t>KE-21787</t>
  </si>
  <si>
    <t>Kenneth Edwards</t>
  </si>
  <si>
    <t>US-2017-100470</t>
  </si>
  <si>
    <t>MH-18346</t>
  </si>
  <si>
    <t>Michelle Ho</t>
  </si>
  <si>
    <t>CA-2014-100471</t>
  </si>
  <si>
    <t>MP-12045</t>
  </si>
  <si>
    <t>Mark Perez</t>
  </si>
  <si>
    <t>US-2017-100472</t>
  </si>
  <si>
    <t>CA-2016-100473</t>
  </si>
  <si>
    <t>US-2015-100474</t>
  </si>
  <si>
    <t>WM-20706</t>
  </si>
  <si>
    <t>Wayne Morgan</t>
  </si>
  <si>
    <t>CA-2016-100475</t>
  </si>
  <si>
    <t>US-2016-100476</t>
  </si>
  <si>
    <t>CA-2017-100477</t>
  </si>
  <si>
    <t>US-2016-100478</t>
  </si>
  <si>
    <t>US-2014-100479</t>
  </si>
  <si>
    <t>ML-10241</t>
  </si>
  <si>
    <t>Megan Le</t>
  </si>
  <si>
    <t>CA-2017-100480</t>
  </si>
  <si>
    <t>JM-13441</t>
  </si>
  <si>
    <t>Jeffrey Mendez</t>
  </si>
  <si>
    <t>CA-2017-100481</t>
  </si>
  <si>
    <t>TD-14002</t>
  </si>
  <si>
    <t>Tamara Davis</t>
  </si>
  <si>
    <t>CA-2015-100482</t>
  </si>
  <si>
    <t>US-2016-100483</t>
  </si>
  <si>
    <t>CA-2017-100484</t>
  </si>
  <si>
    <t>CA-2016-100485</t>
  </si>
  <si>
    <t>HN-15442</t>
  </si>
  <si>
    <t>Howard Norman</t>
  </si>
  <si>
    <t>US-2014-100486</t>
  </si>
  <si>
    <t>CA-2017-100487</t>
  </si>
  <si>
    <t>US-2016-100488</t>
  </si>
  <si>
    <t>MJ-21757</t>
  </si>
  <si>
    <t>Maria Jones</t>
  </si>
  <si>
    <t>US-2014-100489</t>
  </si>
  <si>
    <t>CP-15539</t>
  </si>
  <si>
    <t>Christopher Parker</t>
  </si>
  <si>
    <t>CA-2017-100490</t>
  </si>
  <si>
    <t>JA-12591</t>
  </si>
  <si>
    <t>John Anderson</t>
  </si>
  <si>
    <t>US-2014-100491</t>
  </si>
  <si>
    <t>CA-2015-100492</t>
  </si>
  <si>
    <t>CS-14012</t>
  </si>
  <si>
    <t>Cristian Santos</t>
  </si>
  <si>
    <t>CA-2015-100493</t>
  </si>
  <si>
    <t>CA-2016-100494</t>
  </si>
  <si>
    <t>CA-2017-100495</t>
  </si>
  <si>
    <t>KM-15663</t>
  </si>
  <si>
    <t>Krista Martinez</t>
  </si>
  <si>
    <t>US-2016-100496</t>
  </si>
  <si>
    <t>US-2016-100497</t>
  </si>
  <si>
    <t>US-2016-100498</t>
  </si>
  <si>
    <t>CT-13733</t>
  </si>
  <si>
    <t>Carol Tucker</t>
  </si>
  <si>
    <t>CA-2017-100499</t>
  </si>
  <si>
    <t>CA-2014-100500</t>
  </si>
  <si>
    <t>JS-21169</t>
  </si>
  <si>
    <t>Jason Stein</t>
  </si>
  <si>
    <t>CA-2016-100501</t>
  </si>
  <si>
    <t>DM-20015</t>
  </si>
  <si>
    <t>David Molina</t>
  </si>
  <si>
    <t>CA-2016-100502</t>
  </si>
  <si>
    <t>JR-11545</t>
  </si>
  <si>
    <t>Joshua Reed</t>
  </si>
  <si>
    <t>US-2016-100503</t>
  </si>
  <si>
    <t>US-2017-100504</t>
  </si>
  <si>
    <t>BC-20844</t>
  </si>
  <si>
    <t>Brandy Chavez</t>
  </si>
  <si>
    <t>CA-2014-100505</t>
  </si>
  <si>
    <t>MW-11894</t>
  </si>
  <si>
    <t>Marilyn Wang</t>
  </si>
  <si>
    <t>CA-2015-100506</t>
  </si>
  <si>
    <t>EB-18280</t>
  </si>
  <si>
    <t>Emily Bennett</t>
  </si>
  <si>
    <t>US-2016-100507</t>
  </si>
  <si>
    <t>ME-14889</t>
  </si>
  <si>
    <t>Michael Elliott</t>
  </si>
  <si>
    <t>CA-2014-100508</t>
  </si>
  <si>
    <t>CA-2016-100509</t>
  </si>
  <si>
    <t>CA-2015-100510</t>
  </si>
  <si>
    <t>JG-18005</t>
  </si>
  <si>
    <t>Jessica Gross</t>
  </si>
  <si>
    <t>CA-2017-100511</t>
  </si>
  <si>
    <t>US-2016-100512</t>
  </si>
  <si>
    <t>CA-2016-100513</t>
  </si>
  <si>
    <t>CA-2017-100514</t>
  </si>
  <si>
    <t>US-2017-100515</t>
  </si>
  <si>
    <t>WB-19016</t>
  </si>
  <si>
    <t>William Barrett</t>
  </si>
  <si>
    <t>CA-2017-100516</t>
  </si>
  <si>
    <t>US-2014-100517</t>
  </si>
  <si>
    <t>JC-18727</t>
  </si>
  <si>
    <t>Joseph Coleman</t>
  </si>
  <si>
    <t>US-2017-100518</t>
  </si>
  <si>
    <t>LS-14246</t>
  </si>
  <si>
    <t>Lori Simmons</t>
  </si>
  <si>
    <t>CA-2016-100519</t>
  </si>
  <si>
    <t>US-2016-100520</t>
  </si>
  <si>
    <t>US-2016-100521</t>
  </si>
  <si>
    <t>WD-14279</t>
  </si>
  <si>
    <t>William Day</t>
  </si>
  <si>
    <t>US-2014-100522</t>
  </si>
  <si>
    <t>US-2017-100523</t>
  </si>
  <si>
    <t>US-2015-100524</t>
  </si>
  <si>
    <t>JS-14861</t>
  </si>
  <si>
    <t>Jeremy Sampson</t>
  </si>
  <si>
    <t>US-2014-100525</t>
  </si>
  <si>
    <t>MF-19333</t>
  </si>
  <si>
    <t>Michael Farrell</t>
  </si>
  <si>
    <t>CA-2017-100526</t>
  </si>
  <si>
    <t>US-2016-100527</t>
  </si>
  <si>
    <t>MD-10434</t>
  </si>
  <si>
    <t>Margaret Hawkins DDS</t>
  </si>
  <si>
    <t>CA-2017-100528</t>
  </si>
  <si>
    <t>CA-2017-100529</t>
  </si>
  <si>
    <t>US-2014-100530</t>
  </si>
  <si>
    <t>US-2016-100531</t>
  </si>
  <si>
    <t>CA-2016-100532</t>
  </si>
  <si>
    <t>LS-13501</t>
  </si>
  <si>
    <t>Laurie Sanchez</t>
  </si>
  <si>
    <t>CA-2016-100533</t>
  </si>
  <si>
    <t>CA-2015-100534</t>
  </si>
  <si>
    <t>US-2016-100535</t>
  </si>
  <si>
    <t>NB-19324</t>
  </si>
  <si>
    <t>Nancy Brown</t>
  </si>
  <si>
    <t>CA-2017-100536</t>
  </si>
  <si>
    <t>US-2016-100537</t>
  </si>
  <si>
    <t>RJ-16797</t>
  </si>
  <si>
    <t>Robert Jackson</t>
  </si>
  <si>
    <t>US-2016-100538</t>
  </si>
  <si>
    <t>US-2015-100539</t>
  </si>
  <si>
    <t>US-2015-100540</t>
  </si>
  <si>
    <t>MM-12608</t>
  </si>
  <si>
    <t>Monica Miller</t>
  </si>
  <si>
    <t>CA-2017-100541</t>
  </si>
  <si>
    <t>CA-2016-100542</t>
  </si>
  <si>
    <t>US-2016-100543</t>
  </si>
  <si>
    <t>CA-2016-100544</t>
  </si>
  <si>
    <t>CA-2014-100545</t>
  </si>
  <si>
    <t>KM-18702</t>
  </si>
  <si>
    <t>Kim Morrow</t>
  </si>
  <si>
    <t>CA-2015-100546</t>
  </si>
  <si>
    <t>RB-12414</t>
  </si>
  <si>
    <t>Rachel Bradley</t>
  </si>
  <si>
    <t>CA-2015-100547</t>
  </si>
  <si>
    <t>CA-2017-100548</t>
  </si>
  <si>
    <t>BR-21946</t>
  </si>
  <si>
    <t>Brian Rodriguez</t>
  </si>
  <si>
    <t>CA-2014-100549</t>
  </si>
  <si>
    <t>GW-20575</t>
  </si>
  <si>
    <t>Glen Wood</t>
  </si>
  <si>
    <t>US-2015-100550</t>
  </si>
  <si>
    <t>US-2015-100551</t>
  </si>
  <si>
    <t>SM-17668</t>
  </si>
  <si>
    <t>Stephanie Manning</t>
  </si>
  <si>
    <t>CA-2014-100552</t>
  </si>
  <si>
    <t>CA-2017-100553</t>
  </si>
  <si>
    <t>US-2014-100554</t>
  </si>
  <si>
    <t>US-2016-100555</t>
  </si>
  <si>
    <t>US-2015-100556</t>
  </si>
  <si>
    <t>JM-14291</t>
  </si>
  <si>
    <t>Jeremy Mitchell</t>
  </si>
  <si>
    <t>US-2017-100557</t>
  </si>
  <si>
    <t>SJ-16201</t>
  </si>
  <si>
    <t>Shannon Jones</t>
  </si>
  <si>
    <t>CA-2016-100558</t>
  </si>
  <si>
    <t>AB-18938</t>
  </si>
  <si>
    <t>Alexander Brown</t>
  </si>
  <si>
    <t>CA-2015-100559</t>
  </si>
  <si>
    <t>CA-2017-100560</t>
  </si>
  <si>
    <t>DK-10821</t>
  </si>
  <si>
    <t>Daniel Kane</t>
  </si>
  <si>
    <t>US-2017-100561</t>
  </si>
  <si>
    <t>CA-2017-100562</t>
  </si>
  <si>
    <t>CA-2014-100563</t>
  </si>
  <si>
    <t>KS-16932</t>
  </si>
  <si>
    <t>Katherine Salas</t>
  </si>
  <si>
    <t>CA-2017-100564</t>
  </si>
  <si>
    <t>US-2014-100565</t>
  </si>
  <si>
    <t>PB-14915</t>
  </si>
  <si>
    <t>Paula Bradley</t>
  </si>
  <si>
    <t>CA-2017-100566</t>
  </si>
  <si>
    <t>US-2016-100567</t>
  </si>
  <si>
    <t>US-2015-100568</t>
  </si>
  <si>
    <t>KS-17744</t>
  </si>
  <si>
    <t>Katie Suarez</t>
  </si>
  <si>
    <t>US-2014-100569</t>
  </si>
  <si>
    <t>MP-13872</t>
  </si>
  <si>
    <t>Maria Parker</t>
  </si>
  <si>
    <t>CA-2015-100570</t>
  </si>
  <si>
    <t>US-2017-100571</t>
  </si>
  <si>
    <t>RC-19173</t>
  </si>
  <si>
    <t>Richard Cooper</t>
  </si>
  <si>
    <t>CA-2014-100572</t>
  </si>
  <si>
    <t>GL-13483</t>
  </si>
  <si>
    <t>Garrett Lin</t>
  </si>
  <si>
    <t>CA-2017-100573</t>
  </si>
  <si>
    <t>LA-20403</t>
  </si>
  <si>
    <t>Lisa Archer</t>
  </si>
  <si>
    <t>US-2016-100574</t>
  </si>
  <si>
    <t>US-2017-100575</t>
  </si>
  <si>
    <t>US-2016-100576</t>
  </si>
  <si>
    <t>PL-13143</t>
  </si>
  <si>
    <t>Paula Lane</t>
  </si>
  <si>
    <t>CA-2015-100577</t>
  </si>
  <si>
    <t>US-2015-100578</t>
  </si>
  <si>
    <t>Charlotte</t>
  </si>
  <si>
    <t>CA-2014-100579</t>
  </si>
  <si>
    <t>CA-2014-100580</t>
  </si>
  <si>
    <t>CA-2017-100581</t>
  </si>
  <si>
    <t>CA-2017-100582</t>
  </si>
  <si>
    <t>CA-2017-100583</t>
  </si>
  <si>
    <t>CA-2014-100584</t>
  </si>
  <si>
    <t>JW-14543</t>
  </si>
  <si>
    <t>James Webster</t>
  </si>
  <si>
    <t>Wilmington</t>
  </si>
  <si>
    <t>US-2015-100585</t>
  </si>
  <si>
    <t>CA-2016-100586</t>
  </si>
  <si>
    <t>CA-2016-100587</t>
  </si>
  <si>
    <t>MH-11424</t>
  </si>
  <si>
    <t>Monica Herrera</t>
  </si>
  <si>
    <t>CA-2017-100588</t>
  </si>
  <si>
    <t>DR-17244</t>
  </si>
  <si>
    <t>Dale Ryan</t>
  </si>
  <si>
    <t>US-2015-100589</t>
  </si>
  <si>
    <t>US-2015-100590</t>
  </si>
  <si>
    <t>EP-11133</t>
  </si>
  <si>
    <t>Elizabeth Perkins</t>
  </si>
  <si>
    <t>US-2014-100591</t>
  </si>
  <si>
    <t>CA-2016-100592</t>
  </si>
  <si>
    <t>GH-19459</t>
  </si>
  <si>
    <t>Gerald Hensley</t>
  </si>
  <si>
    <t>CA-2015-100593</t>
  </si>
  <si>
    <t>CA-2017-100594</t>
  </si>
  <si>
    <t>AB-11200</t>
  </si>
  <si>
    <t>Adam Burgess</t>
  </si>
  <si>
    <t>CA-2016-100595</t>
  </si>
  <si>
    <t>JW-17573</t>
  </si>
  <si>
    <t>John Whitehead</t>
  </si>
  <si>
    <t>US-2016-100596</t>
  </si>
  <si>
    <t>CA-2014-100597</t>
  </si>
  <si>
    <t>CA-2016-100598</t>
  </si>
  <si>
    <t>BP-16790</t>
  </si>
  <si>
    <t>Bryan Parker</t>
  </si>
  <si>
    <t>US-2016-100599</t>
  </si>
  <si>
    <t>HF-18856</t>
  </si>
  <si>
    <t>Heather Fields</t>
  </si>
  <si>
    <t>US-2017-100600</t>
  </si>
  <si>
    <t>WB-11307</t>
  </si>
  <si>
    <t>William Baker</t>
  </si>
  <si>
    <t>CA-2014-100601</t>
  </si>
  <si>
    <t>US-2016-100602</t>
  </si>
  <si>
    <t>SJ-13608</t>
  </si>
  <si>
    <t>Sara Johnston</t>
  </si>
  <si>
    <t>CA-2017-100603</t>
  </si>
  <si>
    <t>CA-2014-100604</t>
  </si>
  <si>
    <t>CA-2016-100605</t>
  </si>
  <si>
    <t>JK-17066</t>
  </si>
  <si>
    <t>Johnny Khan</t>
  </si>
  <si>
    <t>US-2016-100606</t>
  </si>
  <si>
    <t>LM-12170</t>
  </si>
  <si>
    <t>Laura Mckinney</t>
  </si>
  <si>
    <t>US-2015-100607</t>
  </si>
  <si>
    <t>US-2015-100608</t>
  </si>
  <si>
    <t>AT-19224</t>
  </si>
  <si>
    <t>Aimee Turner</t>
  </si>
  <si>
    <t>US-2014-100609</t>
  </si>
  <si>
    <t>CW-13150</t>
  </si>
  <si>
    <t>Connor West</t>
  </si>
  <si>
    <t>CA-2014-100610</t>
  </si>
  <si>
    <t>LR-20894</t>
  </si>
  <si>
    <t>Lisa Randall</t>
  </si>
  <si>
    <t>US-2015-100611</t>
  </si>
  <si>
    <t>US-2015-100612</t>
  </si>
  <si>
    <t>JH-16381</t>
  </si>
  <si>
    <t>Joseph Hill</t>
  </si>
  <si>
    <t>US-2014-100613</t>
  </si>
  <si>
    <t>US-2017-100614</t>
  </si>
  <si>
    <t>CA-2015-100615</t>
  </si>
  <si>
    <t>RP-11489</t>
  </si>
  <si>
    <t>Robert Potter</t>
  </si>
  <si>
    <t>US-2017-100616</t>
  </si>
  <si>
    <t>US-2017-100617</t>
  </si>
  <si>
    <t>US-2015-100618</t>
  </si>
  <si>
    <t>DS-13946</t>
  </si>
  <si>
    <t>Daniel Salinas</t>
  </si>
  <si>
    <t>US-2015-100619</t>
  </si>
  <si>
    <t>CA-2014-100620</t>
  </si>
  <si>
    <t>TH-20834</t>
  </si>
  <si>
    <t>Tracy House</t>
  </si>
  <si>
    <t>CA-2017-100621</t>
  </si>
  <si>
    <t>VH-10958</t>
  </si>
  <si>
    <t>Vanessa Howard</t>
  </si>
  <si>
    <t>CA-2015-100622</t>
  </si>
  <si>
    <t>US-2015-100623</t>
  </si>
  <si>
    <t>US-2017-100624</t>
  </si>
  <si>
    <t>US-2017-100625</t>
  </si>
  <si>
    <t>DF-20485</t>
  </si>
  <si>
    <t>Deborah Figueroa</t>
  </si>
  <si>
    <t>CA-2014-100626</t>
  </si>
  <si>
    <t>US-2014-100627</t>
  </si>
  <si>
    <t>US-2014-100628</t>
  </si>
  <si>
    <t>AM-18379</t>
  </si>
  <si>
    <t>Angel May</t>
  </si>
  <si>
    <t>US-2014-100629</t>
  </si>
  <si>
    <t>US-2016-100630</t>
  </si>
  <si>
    <t>SH-14673</t>
  </si>
  <si>
    <t>Stephen Hoffman</t>
  </si>
  <si>
    <t>CA-2017-100631</t>
  </si>
  <si>
    <t>BJ-20299</t>
  </si>
  <si>
    <t>Brent Jordan</t>
  </si>
  <si>
    <t>CA-2015-100632</t>
  </si>
  <si>
    <t>JH-12503</t>
  </si>
  <si>
    <t>Jennifer Hernandez</t>
  </si>
  <si>
    <t>US-2014-100633</t>
  </si>
  <si>
    <t>San Antonio</t>
  </si>
  <si>
    <t>US-2015-100634</t>
  </si>
  <si>
    <t>CS-14342</t>
  </si>
  <si>
    <t>Christopher Smith</t>
  </si>
  <si>
    <t>US-2015-100635</t>
  </si>
  <si>
    <t>CA-2015-100636</t>
  </si>
  <si>
    <t>MB-21991</t>
  </si>
  <si>
    <t>Melissa Brewer</t>
  </si>
  <si>
    <t>CA-2015-100637</t>
  </si>
  <si>
    <t>CA-2015-100638</t>
  </si>
  <si>
    <t>CA-2015-100639</t>
  </si>
  <si>
    <t>AH-10936</t>
  </si>
  <si>
    <t>Andrea Hubbard</t>
  </si>
  <si>
    <t>CA-2014-100640</t>
  </si>
  <si>
    <t>US-2016-100641</t>
  </si>
  <si>
    <t>JB-10887</t>
  </si>
  <si>
    <t>Joyce Bowen</t>
  </si>
  <si>
    <t>CA-2017-100642</t>
  </si>
  <si>
    <t>MF-20177</t>
  </si>
  <si>
    <t>Mr. Andrew Foster</t>
  </si>
  <si>
    <t>US-2017-100643</t>
  </si>
  <si>
    <t>RA-10058</t>
  </si>
  <si>
    <t>Ralph Anderson</t>
  </si>
  <si>
    <t>US-2015-100644</t>
  </si>
  <si>
    <t>WD-14050</t>
  </si>
  <si>
    <t>William David DDS</t>
  </si>
  <si>
    <t>CA-2014-100645</t>
  </si>
  <si>
    <t>CA-2015-100646</t>
  </si>
  <si>
    <t>EW-19431</t>
  </si>
  <si>
    <t>Emily Wilson</t>
  </si>
  <si>
    <t>CA-2017-100647</t>
  </si>
  <si>
    <t>US-2016-100648</t>
  </si>
  <si>
    <t>US-2014-100649</t>
  </si>
  <si>
    <t>US-2016-100650</t>
  </si>
  <si>
    <t>US-2014-100651</t>
  </si>
  <si>
    <t>DC-15947</t>
  </si>
  <si>
    <t>Debra Christian</t>
  </si>
  <si>
    <t>CA-2014-100652</t>
  </si>
  <si>
    <t>CA-2016-100653</t>
  </si>
  <si>
    <t>US-2017-100654</t>
  </si>
  <si>
    <t>US-2014-100655</t>
  </si>
  <si>
    <t>US-2015-100656</t>
  </si>
  <si>
    <t>US-2015-100657</t>
  </si>
  <si>
    <t>RY-21526</t>
  </si>
  <si>
    <t>Robin Young</t>
  </si>
  <si>
    <t>CA-2017-100658</t>
  </si>
  <si>
    <t>US-2015-100659</t>
  </si>
  <si>
    <t>US-2014-100660</t>
  </si>
  <si>
    <t>MM-19938</t>
  </si>
  <si>
    <t>Melissa Martinez</t>
  </si>
  <si>
    <t>CA-2016-100661</t>
  </si>
  <si>
    <t>US-2015-100662</t>
  </si>
  <si>
    <t>CA-2016-100663</t>
  </si>
  <si>
    <t>LB-15820</t>
  </si>
  <si>
    <t>Lisa Barnes</t>
  </si>
  <si>
    <t>CA-2016-100664</t>
  </si>
  <si>
    <t>CA-2015-100665</t>
  </si>
  <si>
    <t>CA-2014-100666</t>
  </si>
  <si>
    <t>JS-21274</t>
  </si>
  <si>
    <t>Jessica Smith</t>
  </si>
  <si>
    <t>CA-2015-100667</t>
  </si>
  <si>
    <t>CA-2015-100668</t>
  </si>
  <si>
    <t>US-2015-100669</t>
  </si>
  <si>
    <t>RH-13752</t>
  </si>
  <si>
    <t>Richard Henson</t>
  </si>
  <si>
    <t>US-2014-100670</t>
  </si>
  <si>
    <t>CA-2016-100671</t>
  </si>
  <si>
    <t>DD-11889</t>
  </si>
  <si>
    <t>Dr. Kelly Hammond DVM</t>
  </si>
  <si>
    <t>CA-2017-100672</t>
  </si>
  <si>
    <t>US-2017-100673</t>
  </si>
  <si>
    <t>US-2015-100674</t>
  </si>
  <si>
    <t>AH-13853</t>
  </si>
  <si>
    <t>Ana Hill</t>
  </si>
  <si>
    <t>US-2016-100675</t>
  </si>
  <si>
    <t>CA-2014-100676</t>
  </si>
  <si>
    <t>MW-20468</t>
  </si>
  <si>
    <t>Michael Wang</t>
  </si>
  <si>
    <t>CA-2016-100677</t>
  </si>
  <si>
    <t>CH-21769</t>
  </si>
  <si>
    <t>Casey Hernandez</t>
  </si>
  <si>
    <t>US-2014-100678</t>
  </si>
  <si>
    <t>US-2014-100679</t>
  </si>
  <si>
    <t>CG-15464</t>
  </si>
  <si>
    <t>Christopher Guerra</t>
  </si>
  <si>
    <t>US-2015-100680</t>
  </si>
  <si>
    <t>KE-16653</t>
  </si>
  <si>
    <t>Kelly Edwards</t>
  </si>
  <si>
    <t>US-2016-100681</t>
  </si>
  <si>
    <t>ZM-15378</t>
  </si>
  <si>
    <t>Zachary Mitchell</t>
  </si>
  <si>
    <t>CA-2014-100682</t>
  </si>
  <si>
    <t>US-2016-100683</t>
  </si>
  <si>
    <t>CA-2017-100684</t>
  </si>
  <si>
    <t>JW-16275</t>
  </si>
  <si>
    <t>Justin Walker</t>
  </si>
  <si>
    <t>CA-2017-100685</t>
  </si>
  <si>
    <t>LH-16912</t>
  </si>
  <si>
    <t>Lisa Hensley</t>
  </si>
  <si>
    <t>US-2014-100686</t>
  </si>
  <si>
    <t>US-2014-100687</t>
  </si>
  <si>
    <t>JA-13470</t>
  </si>
  <si>
    <t>Julie Alexander</t>
  </si>
  <si>
    <t>US-2017-100688</t>
  </si>
  <si>
    <t>BW-17144</t>
  </si>
  <si>
    <t>Bianca Wood</t>
  </si>
  <si>
    <t>CA-2016-100689</t>
  </si>
  <si>
    <t>EW-15050</t>
  </si>
  <si>
    <t>Eric Williams</t>
  </si>
  <si>
    <t>CA-2016-100690</t>
  </si>
  <si>
    <t>AY-21784</t>
  </si>
  <si>
    <t>Amber Yang</t>
  </si>
  <si>
    <t>CA-2016-100691</t>
  </si>
  <si>
    <t>RM-18935</t>
  </si>
  <si>
    <t>Ryan Munoz</t>
  </si>
  <si>
    <t>US-2016-100692</t>
  </si>
  <si>
    <t>JB-13728</t>
  </si>
  <si>
    <t>James Bradley</t>
  </si>
  <si>
    <t>US-2014-100693</t>
  </si>
  <si>
    <t>US-2016-100694</t>
  </si>
  <si>
    <t>CA-2017-100695</t>
  </si>
  <si>
    <t>CA-2017-100696</t>
  </si>
  <si>
    <t>EK-16543</t>
  </si>
  <si>
    <t>Elizabeth Kelley</t>
  </si>
  <si>
    <t>CA-2015-100697</t>
  </si>
  <si>
    <t>NH-11743</t>
  </si>
  <si>
    <t>Nicole Herring</t>
  </si>
  <si>
    <t>US-2016-100698</t>
  </si>
  <si>
    <t>BS-17177</t>
  </si>
  <si>
    <t>Benjamin Smith</t>
  </si>
  <si>
    <t>CA-2015-100699</t>
  </si>
  <si>
    <t>MT-21069</t>
  </si>
  <si>
    <t>Melissa Taylor</t>
  </si>
  <si>
    <t>CA-2015-100700</t>
  </si>
  <si>
    <t>US-2014-100701</t>
  </si>
  <si>
    <t>SW-18288</t>
  </si>
  <si>
    <t>Scott Williams</t>
  </si>
  <si>
    <t>CA-2014-100702</t>
  </si>
  <si>
    <t>CA-2014-100703</t>
  </si>
  <si>
    <t>US-2014-100704</t>
  </si>
  <si>
    <t>CA-2017-100705</t>
  </si>
  <si>
    <t>EA-13257</t>
  </si>
  <si>
    <t>Ethan Adams</t>
  </si>
  <si>
    <t>US-2015-100706</t>
  </si>
  <si>
    <t>NF-11403</t>
  </si>
  <si>
    <t>Nathan Freeman</t>
  </si>
  <si>
    <t>US-2014-100707</t>
  </si>
  <si>
    <t>MC-17541</t>
  </si>
  <si>
    <t>Meghan Cisneros</t>
  </si>
  <si>
    <t>CA-2017-100708</t>
  </si>
  <si>
    <t>US-2014-100709</t>
  </si>
  <si>
    <t>CA-2017-100710</t>
  </si>
  <si>
    <t>NL-17206</t>
  </si>
  <si>
    <t>Nathaniel Lee</t>
  </si>
  <si>
    <t>US-2014-100711</t>
  </si>
  <si>
    <t>ET-12607</t>
  </si>
  <si>
    <t>Eric Thomas</t>
  </si>
  <si>
    <t>US-2015-100712</t>
  </si>
  <si>
    <t>US-2015-100713</t>
  </si>
  <si>
    <t>CA-2015-100714</t>
  </si>
  <si>
    <t>CA-2017-100715</t>
  </si>
  <si>
    <t>US-2015-100716</t>
  </si>
  <si>
    <t>CA-2015-100717</t>
  </si>
  <si>
    <t>US-2017-100718</t>
  </si>
  <si>
    <t>KG-11588</t>
  </si>
  <si>
    <t>Kimberly Gibson</t>
  </si>
  <si>
    <t>CA-2017-100719</t>
  </si>
  <si>
    <t>CA-2017-100720</t>
  </si>
  <si>
    <t>US-2017-100721</t>
  </si>
  <si>
    <t>CA-2016-100722</t>
  </si>
  <si>
    <t>CA-2015-100723</t>
  </si>
  <si>
    <t>CA-2015-100724</t>
  </si>
  <si>
    <t>MA-10096</t>
  </si>
  <si>
    <t>Michael Abbott</t>
  </si>
  <si>
    <t>CA-2017-100725</t>
  </si>
  <si>
    <t>CA-2016-100726</t>
  </si>
  <si>
    <t>CA-2014-100727</t>
  </si>
  <si>
    <t>CA-2017-100728</t>
  </si>
  <si>
    <t>CA-2017-100729</t>
  </si>
  <si>
    <t>LP-21409</t>
  </si>
  <si>
    <t>Lisa Perry</t>
  </si>
  <si>
    <t>CA-2015-100730</t>
  </si>
  <si>
    <t>TT-20392</t>
  </si>
  <si>
    <t>Travis Tucker</t>
  </si>
  <si>
    <t>US-2015-100731</t>
  </si>
  <si>
    <t>JT-13295</t>
  </si>
  <si>
    <t>Justin Torres</t>
  </si>
  <si>
    <t>US-2017-100732</t>
  </si>
  <si>
    <t>CA-2015-100733</t>
  </si>
  <si>
    <t>CW-10916</t>
  </si>
  <si>
    <t>Christine Wright</t>
  </si>
  <si>
    <t>US-2015-100734</t>
  </si>
  <si>
    <t>JG-18666</t>
  </si>
  <si>
    <t>Joann Glass</t>
  </si>
  <si>
    <t>CA-2014-100735</t>
  </si>
  <si>
    <t>CA-2015-100736</t>
  </si>
  <si>
    <t>US-2014-100737</t>
  </si>
  <si>
    <t>JB-20868</t>
  </si>
  <si>
    <t>Jesse Brown</t>
  </si>
  <si>
    <t>CA-2016-100738</t>
  </si>
  <si>
    <t>CA-2015-100739</t>
  </si>
  <si>
    <t>CA-2016-100740</t>
  </si>
  <si>
    <t>AP-10452</t>
  </si>
  <si>
    <t>Angelica Parker</t>
  </si>
  <si>
    <t>US-2014-100741</t>
  </si>
  <si>
    <t>US-2015-100742</t>
  </si>
  <si>
    <t>CA-2016-100743</t>
  </si>
  <si>
    <t>TJ-13111</t>
  </si>
  <si>
    <t>Trevor Johnson</t>
  </si>
  <si>
    <t>US-2014-100744</t>
  </si>
  <si>
    <t>US-2015-100745</t>
  </si>
  <si>
    <t>CA-2017-100746</t>
  </si>
  <si>
    <t>SD-11519</t>
  </si>
  <si>
    <t>Sherry Decker</t>
  </si>
  <si>
    <t>CA-2016-100747</t>
  </si>
  <si>
    <t>US-2014-100748</t>
  </si>
  <si>
    <t>CA-2017-100749</t>
  </si>
  <si>
    <t>CA-2015-100750</t>
  </si>
  <si>
    <t>MP-15310</t>
  </si>
  <si>
    <t>Madison Poole</t>
  </si>
  <si>
    <t>US-2015-100751</t>
  </si>
  <si>
    <t>US-2014-100752</t>
  </si>
  <si>
    <t>US-2015-100753</t>
  </si>
  <si>
    <t>JB-18883</t>
  </si>
  <si>
    <t>Jordan Bates</t>
  </si>
  <si>
    <t>CA-2015-100754</t>
  </si>
  <si>
    <t>JK-13116</t>
  </si>
  <si>
    <t>Joseph Knight</t>
  </si>
  <si>
    <t>US-2015-100755</t>
  </si>
  <si>
    <t>CA-2016-100756</t>
  </si>
  <si>
    <t>US-2014-100757</t>
  </si>
  <si>
    <t>CA-2014-100758</t>
  </si>
  <si>
    <t>CA-2014-100759</t>
  </si>
  <si>
    <t>EG-14386</t>
  </si>
  <si>
    <t>Evelyn Galvan</t>
  </si>
  <si>
    <t>CA-2014-100760</t>
  </si>
  <si>
    <t>RA-14803</t>
  </si>
  <si>
    <t>Richard Aguirre</t>
  </si>
  <si>
    <t>CA-2016-100761</t>
  </si>
  <si>
    <t>NR-11824</t>
  </si>
  <si>
    <t>Noah Rhodes</t>
  </si>
  <si>
    <t>CA-2016-100762</t>
  </si>
  <si>
    <t>US-2014-100763</t>
  </si>
  <si>
    <t>US-2017-100764</t>
  </si>
  <si>
    <t>JD-14082</t>
  </si>
  <si>
    <t>Janet Kane DVM</t>
  </si>
  <si>
    <t>CA-2014-100765</t>
  </si>
  <si>
    <t>CA-2015-100766</t>
  </si>
  <si>
    <t>US-2017-100767</t>
  </si>
  <si>
    <t>US-2014-100768</t>
  </si>
  <si>
    <t>US-2017-100769</t>
  </si>
  <si>
    <t>CA-2016-100770</t>
  </si>
  <si>
    <t>CA-2016-100771</t>
  </si>
  <si>
    <t>US-2017-100772</t>
  </si>
  <si>
    <t>CA-2015-100773</t>
  </si>
  <si>
    <t>JS-14371</t>
  </si>
  <si>
    <t>Jamie Smith</t>
  </si>
  <si>
    <t>US-2017-100774</t>
  </si>
  <si>
    <t>US-2015-100775</t>
  </si>
  <si>
    <t>CA-2016-100776</t>
  </si>
  <si>
    <t>CA-2014-100777</t>
  </si>
  <si>
    <t>US-2015-100778</t>
  </si>
  <si>
    <t>US-2015-100779</t>
  </si>
  <si>
    <t>CA-2014-100780</t>
  </si>
  <si>
    <t>MF-20647</t>
  </si>
  <si>
    <t>Matthew Foster</t>
  </si>
  <si>
    <t>CA-2014-100781</t>
  </si>
  <si>
    <t>DD-19641</t>
  </si>
  <si>
    <t>US-2017-100782</t>
  </si>
  <si>
    <t>AM-17041</t>
  </si>
  <si>
    <t>Aaron Miller</t>
  </si>
  <si>
    <t>CA-2016-100783</t>
  </si>
  <si>
    <t>US-2014-100784</t>
  </si>
  <si>
    <t>US-2016-100785</t>
  </si>
  <si>
    <t>US-2016-100786</t>
  </si>
  <si>
    <t>AC-21401</t>
  </si>
  <si>
    <t>Amber Cooper</t>
  </si>
  <si>
    <t>US-2016-100787</t>
  </si>
  <si>
    <t>RB-21395</t>
  </si>
  <si>
    <t>Renee Browning</t>
  </si>
  <si>
    <t>CA-2016-100788</t>
  </si>
  <si>
    <t>US-2016-100789</t>
  </si>
  <si>
    <t>CA-2016-100790</t>
  </si>
  <si>
    <t>US-2014-100791</t>
  </si>
  <si>
    <t>CA-2017-100792</t>
  </si>
  <si>
    <t>DB-20617</t>
  </si>
  <si>
    <t>Daniel Baker</t>
  </si>
  <si>
    <t>CA-2014-100793</t>
  </si>
  <si>
    <t>RM-12143</t>
  </si>
  <si>
    <t>Rhonda Martin</t>
  </si>
  <si>
    <t>US-2017-100794</t>
  </si>
  <si>
    <t>CA-2017-100795</t>
  </si>
  <si>
    <t>US-2016-100796</t>
  </si>
  <si>
    <t>CA-2016-100797</t>
  </si>
  <si>
    <t>MS-17461</t>
  </si>
  <si>
    <t>Matthew Schwartz</t>
  </si>
  <si>
    <t>US-2014-100798</t>
  </si>
  <si>
    <t>RS-10035</t>
  </si>
  <si>
    <t>Richard Smith</t>
  </si>
  <si>
    <t>US-2016-100799</t>
  </si>
  <si>
    <t>US-2017-100800</t>
  </si>
  <si>
    <t>CA-2017-100801</t>
  </si>
  <si>
    <t>CA-2014-100802</t>
  </si>
  <si>
    <t>CA-2016-100803</t>
  </si>
  <si>
    <t>US-2016-100804</t>
  </si>
  <si>
    <t>CA-2016-100805</t>
  </si>
  <si>
    <t>US-2017-100806</t>
  </si>
  <si>
    <t>CA-2014-100807</t>
  </si>
  <si>
    <t>CA-2015-100808</t>
  </si>
  <si>
    <t>JK-20882</t>
  </si>
  <si>
    <t>Jessica Khan</t>
  </si>
  <si>
    <t>CA-2014-100809</t>
  </si>
  <si>
    <t>VK-15794</t>
  </si>
  <si>
    <t>Veronica King</t>
  </si>
  <si>
    <t>US-2015-100810</t>
  </si>
  <si>
    <t>US-2017-100811</t>
  </si>
  <si>
    <t>CA-2015-100812</t>
  </si>
  <si>
    <t>CA-2017-100813</t>
  </si>
  <si>
    <t>US-2016-100814</t>
  </si>
  <si>
    <t>CA-2015-100815</t>
  </si>
  <si>
    <t>US-2016-100816</t>
  </si>
  <si>
    <t>US-2015-100817</t>
  </si>
  <si>
    <t>RH-19654</t>
  </si>
  <si>
    <t>Rebecca Henderson</t>
  </si>
  <si>
    <t>CA-2015-100818</t>
  </si>
  <si>
    <t>CA-2016-100819</t>
  </si>
  <si>
    <t>US-2014-100820</t>
  </si>
  <si>
    <t>CA-2017-100821</t>
  </si>
  <si>
    <t>US-2014-100822</t>
  </si>
  <si>
    <t>US-2017-100823</t>
  </si>
  <si>
    <t>JR-11137</t>
  </si>
  <si>
    <t>Jodi Roach</t>
  </si>
  <si>
    <t>CA-2014-100824</t>
  </si>
  <si>
    <t>SJ-16572</t>
  </si>
  <si>
    <t>Sierra Johnson</t>
  </si>
  <si>
    <t>CA-2017-100825</t>
  </si>
  <si>
    <t>US-2016-100826</t>
  </si>
  <si>
    <t>US-2017-100827</t>
  </si>
  <si>
    <t>JW-21573</t>
  </si>
  <si>
    <t>James Whitaker</t>
  </si>
  <si>
    <t>US-2014-100828</t>
  </si>
  <si>
    <t>SF-11528</t>
  </si>
  <si>
    <t>Sara Fuller</t>
  </si>
  <si>
    <t>CA-2014-100829</t>
  </si>
  <si>
    <t>MW-10520</t>
  </si>
  <si>
    <t>Michele Williams</t>
  </si>
  <si>
    <t>US-2016-100830</t>
  </si>
  <si>
    <t>CB-16930</t>
  </si>
  <si>
    <t>Connie Brown</t>
  </si>
  <si>
    <t>US-2015-100831</t>
  </si>
  <si>
    <t>CA-2014-100832</t>
  </si>
  <si>
    <t>US-2014-100833</t>
  </si>
  <si>
    <t>JF-12647</t>
  </si>
  <si>
    <t>Joann Ferguson</t>
  </si>
  <si>
    <t>US-2017-100834</t>
  </si>
  <si>
    <t>CA-2017-100835</t>
  </si>
  <si>
    <t>US-2016-100836</t>
  </si>
  <si>
    <t>CA-2015-100837</t>
  </si>
  <si>
    <t>CA-2014-100838</t>
  </si>
  <si>
    <t>DD-21369</t>
  </si>
  <si>
    <t>Dean Donovan</t>
  </si>
  <si>
    <t>CA-2017-100839</t>
  </si>
  <si>
    <t>JB-20813</t>
  </si>
  <si>
    <t>Jennifer Banks</t>
  </si>
  <si>
    <t>CA-2016-100840</t>
  </si>
  <si>
    <t>DW-18669</t>
  </si>
  <si>
    <t>David Wright</t>
  </si>
  <si>
    <t>US-2017-100841</t>
  </si>
  <si>
    <t>CA-2016-100842</t>
  </si>
  <si>
    <t>CA-2014-100843</t>
  </si>
  <si>
    <t>US-2016-100844</t>
  </si>
  <si>
    <t>CA-2015-100845</t>
  </si>
  <si>
    <t>US-2016-100846</t>
  </si>
  <si>
    <t>CA-2015-100847</t>
  </si>
  <si>
    <t>CA-2014-100848</t>
  </si>
  <si>
    <t>RH-17239</t>
  </si>
  <si>
    <t>Robert Harrison</t>
  </si>
  <si>
    <t>US-2016-100849</t>
  </si>
  <si>
    <t>SA-13598</t>
  </si>
  <si>
    <t>Sandra Aguilar</t>
  </si>
  <si>
    <t>CA-2014-100850</t>
  </si>
  <si>
    <t>CA-2014-100851</t>
  </si>
  <si>
    <t>CA-2016-100852</t>
  </si>
  <si>
    <t>US-2014-100853</t>
  </si>
  <si>
    <t>CA-2014-100854</t>
  </si>
  <si>
    <t>TD-19044</t>
  </si>
  <si>
    <t>Timothy Duncan</t>
  </si>
  <si>
    <t>CA-2014-100855</t>
  </si>
  <si>
    <t>BL-12705</t>
  </si>
  <si>
    <t>Brian Lee</t>
  </si>
  <si>
    <t>CA-2016-100856</t>
  </si>
  <si>
    <t>US-2016-100857</t>
  </si>
  <si>
    <t>US-2017-100858</t>
  </si>
  <si>
    <t>US-2015-100859</t>
  </si>
  <si>
    <t>HB-17711</t>
  </si>
  <si>
    <t>Heather Bolton</t>
  </si>
  <si>
    <t>US-2016-100860</t>
  </si>
  <si>
    <t>US-2017-100861</t>
  </si>
  <si>
    <t>CA-2016-100862</t>
  </si>
  <si>
    <t>JO-10651</t>
  </si>
  <si>
    <t>Jeffery Ortega</t>
  </si>
  <si>
    <t>CA-2016-100863</t>
  </si>
  <si>
    <t>EB-13139</t>
  </si>
  <si>
    <t>Elaine Brooks</t>
  </si>
  <si>
    <t>CA-2017-100864</t>
  </si>
  <si>
    <t>CA-2014-100865</t>
  </si>
  <si>
    <t>LW-11827</t>
  </si>
  <si>
    <t>Lindsey Walker</t>
  </si>
  <si>
    <t>US-2016-100866</t>
  </si>
  <si>
    <t>AK-10750</t>
  </si>
  <si>
    <t>Amber Kidd</t>
  </si>
  <si>
    <t>CA-2014-100867</t>
  </si>
  <si>
    <t>US-2016-100868</t>
  </si>
  <si>
    <t>CA-2014-100869</t>
  </si>
  <si>
    <t>DD-21438</t>
  </si>
  <si>
    <t>Debra Davidson</t>
  </si>
  <si>
    <t>US-2017-100870</t>
  </si>
  <si>
    <t>CA-2016-100871</t>
  </si>
  <si>
    <t>US-2015-100872</t>
  </si>
  <si>
    <t>HL-18900</t>
  </si>
  <si>
    <t>Hannah Luna</t>
  </si>
  <si>
    <t>CA-2014-100873</t>
  </si>
  <si>
    <t>VM-14649</t>
  </si>
  <si>
    <t>Victor Morris</t>
  </si>
  <si>
    <t>CA-2014-100874</t>
  </si>
  <si>
    <t>CA-2017-100875</t>
  </si>
  <si>
    <t>PL-14033</t>
  </si>
  <si>
    <t>Patricia Le</t>
  </si>
  <si>
    <t>CA-2014-100876</t>
  </si>
  <si>
    <t>US-2016-100877</t>
  </si>
  <si>
    <t>CA-2017-100878</t>
  </si>
  <si>
    <t>US-2015-100879</t>
  </si>
  <si>
    <t>US-2014-100880</t>
  </si>
  <si>
    <t>CL-20147</t>
  </si>
  <si>
    <t>Christian Leblanc</t>
  </si>
  <si>
    <t>CA-2015-100881</t>
  </si>
  <si>
    <t>US-2015-100882</t>
  </si>
  <si>
    <t>BB-12536</t>
  </si>
  <si>
    <t>Brett Burns</t>
  </si>
  <si>
    <t>US-2015-100883</t>
  </si>
  <si>
    <t>CA-2014-100884</t>
  </si>
  <si>
    <t>CA-2016-100885</t>
  </si>
  <si>
    <t>US-2017-100886</t>
  </si>
  <si>
    <t>JB-18928</t>
  </si>
  <si>
    <t>Justin Baker</t>
  </si>
  <si>
    <t>CA-2016-100887</t>
  </si>
  <si>
    <t>CA-2015-100888</t>
  </si>
  <si>
    <t>US-2015-100889</t>
  </si>
  <si>
    <t>MM-21032</t>
  </si>
  <si>
    <t>US-2014-100890</t>
  </si>
  <si>
    <t>US-2014-100891</t>
  </si>
  <si>
    <t>CA-2015-100892</t>
  </si>
  <si>
    <t>CG-21690</t>
  </si>
  <si>
    <t>Chelsea Gill</t>
  </si>
  <si>
    <t>CA-2015-100893</t>
  </si>
  <si>
    <t>CA-2014-100894</t>
  </si>
  <si>
    <t>US-2015-100895</t>
  </si>
  <si>
    <t>TB-14499</t>
  </si>
  <si>
    <t>Tammy Boone</t>
  </si>
  <si>
    <t>CA-2014-100896</t>
  </si>
  <si>
    <t>CW-18099</t>
  </si>
  <si>
    <t>Colleen Wright</t>
  </si>
  <si>
    <t>CA-2016-100897</t>
  </si>
  <si>
    <t>FK-13841</t>
  </si>
  <si>
    <t>Felicia Krueger</t>
  </si>
  <si>
    <t>CA-2016-100898</t>
  </si>
  <si>
    <t>JG-18821</t>
  </si>
  <si>
    <t>James Gilbert</t>
  </si>
  <si>
    <t>US-2015-100899</t>
  </si>
  <si>
    <t>JD-19105</t>
  </si>
  <si>
    <t>Johnathan Davis</t>
  </si>
  <si>
    <t>US-2014-100900</t>
  </si>
  <si>
    <t>MM-11269</t>
  </si>
  <si>
    <t>Michael Morrison</t>
  </si>
  <si>
    <t>US-2014-100901</t>
  </si>
  <si>
    <t>MC-17579</t>
  </si>
  <si>
    <t>Margaret Coleman</t>
  </si>
  <si>
    <t>US-2015-100902</t>
  </si>
  <si>
    <t>US-2014-100903</t>
  </si>
  <si>
    <t>CA-2017-100904</t>
  </si>
  <si>
    <t>CA-2015-100905</t>
  </si>
  <si>
    <t>MB-21808</t>
  </si>
  <si>
    <t>Michelle Brown</t>
  </si>
  <si>
    <t>CA-2015-100906</t>
  </si>
  <si>
    <t>CA-2014-100907</t>
  </si>
  <si>
    <t>CA-2016-100908</t>
  </si>
  <si>
    <t>MH-18317</t>
  </si>
  <si>
    <t>Matthew Harrington</t>
  </si>
  <si>
    <t>CA-2016-100909</t>
  </si>
  <si>
    <t>ZH-13611</t>
  </si>
  <si>
    <t>Zachary Hicks</t>
  </si>
  <si>
    <t>US-2016-100910</t>
  </si>
  <si>
    <t>CA-2014-100911</t>
  </si>
  <si>
    <t>US-2015-100912</t>
  </si>
  <si>
    <t>CA-2015-100913</t>
  </si>
  <si>
    <t>CV-12851</t>
  </si>
  <si>
    <t>Christian Vaughn</t>
  </si>
  <si>
    <t>CA-2016-100914</t>
  </si>
  <si>
    <t>CA-2017-100915</t>
  </si>
  <si>
    <t>AV-16126</t>
  </si>
  <si>
    <t>Angela Vaughn</t>
  </si>
  <si>
    <t>US-2015-100916</t>
  </si>
  <si>
    <t>US-2014-100917</t>
  </si>
  <si>
    <t>US-2015-100918</t>
  </si>
  <si>
    <t>CA-2016-100919</t>
  </si>
  <si>
    <t>US-2015-100920</t>
  </si>
  <si>
    <t>US-2017-100921</t>
  </si>
  <si>
    <t>CA-2017-100922</t>
  </si>
  <si>
    <t>US-2016-100923</t>
  </si>
  <si>
    <t>CA-2014-100924</t>
  </si>
  <si>
    <t>US-2017-100925</t>
  </si>
  <si>
    <t>CA-2017-100926</t>
  </si>
  <si>
    <t>CA-2016-100927</t>
  </si>
  <si>
    <t>CA-2016-100928</t>
  </si>
  <si>
    <t>US-2016-100929</t>
  </si>
  <si>
    <t>CA-2017-100930</t>
  </si>
  <si>
    <t>US-2015-100931</t>
  </si>
  <si>
    <t>CA-2017-100932</t>
  </si>
  <si>
    <t>US-2014-100933</t>
  </si>
  <si>
    <t>US-2016-100934</t>
  </si>
  <si>
    <t>US-2014-100935</t>
  </si>
  <si>
    <t>ME-10727</t>
  </si>
  <si>
    <t>Mr. Lawrence Edwards</t>
  </si>
  <si>
    <t>CA-2014-100936</t>
  </si>
  <si>
    <t>CA-2015-100937</t>
  </si>
  <si>
    <t>CA-2017-100938</t>
  </si>
  <si>
    <t>US-2016-100939</t>
  </si>
  <si>
    <t>US-2014-100940</t>
  </si>
  <si>
    <t>CA-2017-100941</t>
  </si>
  <si>
    <t>VL-16304</t>
  </si>
  <si>
    <t>Victoria Larson</t>
  </si>
  <si>
    <t>US-2017-100942</t>
  </si>
  <si>
    <t>CA-2015-100943</t>
  </si>
  <si>
    <t>EM-13185</t>
  </si>
  <si>
    <t>Elizabeth Mendez</t>
  </si>
  <si>
    <t>CA-2017-100944</t>
  </si>
  <si>
    <t>CA-2015-100945</t>
  </si>
  <si>
    <t>US-2016-100946</t>
  </si>
  <si>
    <t>US-2015-100947</t>
  </si>
  <si>
    <t>CA-2017-100948</t>
  </si>
  <si>
    <t>US-2014-100949</t>
  </si>
  <si>
    <t>DR-18270</t>
  </si>
  <si>
    <t>David Robinson</t>
  </si>
  <si>
    <t>US-2015-100950</t>
  </si>
  <si>
    <t>CA-2014-100951</t>
  </si>
  <si>
    <t>US-2016-100952</t>
  </si>
  <si>
    <t>US-2014-100953</t>
  </si>
  <si>
    <t>US-2017-100954</t>
  </si>
  <si>
    <t>US-2014-100955</t>
  </si>
  <si>
    <t>US-2015-100956</t>
  </si>
  <si>
    <t>CA-2016-100957</t>
  </si>
  <si>
    <t>US-2015-100958</t>
  </si>
  <si>
    <t>CA-2017-100959</t>
  </si>
  <si>
    <t>US-2016-100960</t>
  </si>
  <si>
    <t>AL-17433</t>
  </si>
  <si>
    <t>Alyssa Long</t>
  </si>
  <si>
    <t>US-2016-100961</t>
  </si>
  <si>
    <t>CA-2016-100962</t>
  </si>
  <si>
    <t>CA-2017-100963</t>
  </si>
  <si>
    <t>DB-17043</t>
  </si>
  <si>
    <t>Daniel Bush</t>
  </si>
  <si>
    <t>CA-2014-100964</t>
  </si>
  <si>
    <t>DM-12103</t>
  </si>
  <si>
    <t>David Martinez</t>
  </si>
  <si>
    <t>US-2017-100965</t>
  </si>
  <si>
    <t>CL-13657</t>
  </si>
  <si>
    <t>Connie Lawrence</t>
  </si>
  <si>
    <t>US-2016-100966</t>
  </si>
  <si>
    <t>JT-11160</t>
  </si>
  <si>
    <t>Jose Travis</t>
  </si>
  <si>
    <t>US-2017-100967</t>
  </si>
  <si>
    <t>US-2015-100968</t>
  </si>
  <si>
    <t>US-2015-100969</t>
  </si>
  <si>
    <t>US-2014-100970</t>
  </si>
  <si>
    <t>CA-2016-100971</t>
  </si>
  <si>
    <t>CA-2015-100972</t>
  </si>
  <si>
    <t>US-2016-100973</t>
  </si>
  <si>
    <t>CA-2016-100974</t>
  </si>
  <si>
    <t>US-2014-100975</t>
  </si>
  <si>
    <t>US-2016-100976</t>
  </si>
  <si>
    <t>CM-13510</t>
  </si>
  <si>
    <t>Cynthia Moore</t>
  </si>
  <si>
    <t>US-2016-100977</t>
  </si>
  <si>
    <t>FS-11674</t>
  </si>
  <si>
    <t>Fred Smith</t>
  </si>
  <si>
    <t>US-2015-100978</t>
  </si>
  <si>
    <t>US-2015-100979</t>
  </si>
  <si>
    <t>CA-2017-100980</t>
  </si>
  <si>
    <t>US-2014-100981</t>
  </si>
  <si>
    <t>US-2017-100982</t>
  </si>
  <si>
    <t>KC-18479</t>
  </si>
  <si>
    <t>Kirk Carter</t>
  </si>
  <si>
    <t>US-2014-100983</t>
  </si>
  <si>
    <t>US-2016-100984</t>
  </si>
  <si>
    <t>US-2016-100985</t>
  </si>
  <si>
    <t>US-2014-100986</t>
  </si>
  <si>
    <t>US-2017-100987</t>
  </si>
  <si>
    <t>CA-2016-100988</t>
  </si>
  <si>
    <t>SW-13788</t>
  </si>
  <si>
    <t>Suzanne Wood</t>
  </si>
  <si>
    <t>CA-2014-100989</t>
  </si>
  <si>
    <t>CA-2016-100990</t>
  </si>
  <si>
    <t>CA-2016-100991</t>
  </si>
  <si>
    <t>MN-15180</t>
  </si>
  <si>
    <t>Megan Nelson</t>
  </si>
  <si>
    <t>US-2014-100992</t>
  </si>
  <si>
    <t>CA-2015-100993</t>
  </si>
  <si>
    <t>CA-2014-100994</t>
  </si>
  <si>
    <t>CA-2016-100995</t>
  </si>
  <si>
    <t>PN-11232</t>
  </si>
  <si>
    <t>Phillip Nelson</t>
  </si>
  <si>
    <t>US-2016-100996</t>
  </si>
  <si>
    <t>US-2016-100997</t>
  </si>
  <si>
    <t>US-2017-100998</t>
  </si>
  <si>
    <t>IA-13899</t>
  </si>
  <si>
    <t>Isaiah Avila</t>
  </si>
  <si>
    <t>CA-2014-100999</t>
  </si>
  <si>
    <t>US-2017-101000</t>
  </si>
  <si>
    <t>US-2017-101001</t>
  </si>
  <si>
    <t>CA-2017-101002</t>
  </si>
  <si>
    <t>US-2014-101003</t>
  </si>
  <si>
    <t>SD-13492</t>
  </si>
  <si>
    <t>Sandra Drake</t>
  </si>
  <si>
    <t>CA-2014-101004</t>
  </si>
  <si>
    <t>CA-2017-101005</t>
  </si>
  <si>
    <t>CL-19571</t>
  </si>
  <si>
    <t>Charles Lester</t>
  </si>
  <si>
    <t>CA-2015-101006</t>
  </si>
  <si>
    <t>US-2017-101007</t>
  </si>
  <si>
    <t>CA-2016-101008</t>
  </si>
  <si>
    <t>CA-2014-101009</t>
  </si>
  <si>
    <t>FW-17784</t>
  </si>
  <si>
    <t>Franklin Wright</t>
  </si>
  <si>
    <t>US-2015-101010</t>
  </si>
  <si>
    <t>US-2017-101011</t>
  </si>
  <si>
    <t>CA-2016-101012</t>
  </si>
  <si>
    <t>CA-2015-101013</t>
  </si>
  <si>
    <t>CA-2015-101014</t>
  </si>
  <si>
    <t>JB-20726</t>
  </si>
  <si>
    <t>Jamie Baird</t>
  </si>
  <si>
    <t>US-2016-101015</t>
  </si>
  <si>
    <t>US-2015-101016</t>
  </si>
  <si>
    <t>US-2014-101017</t>
  </si>
  <si>
    <t>AJ-16596</t>
  </si>
  <si>
    <t>Amanda Jones</t>
  </si>
  <si>
    <t>CA-2015-101018</t>
  </si>
  <si>
    <t>CM-15107</t>
  </si>
  <si>
    <t>Courtney Mills</t>
  </si>
  <si>
    <t>US-2017-101019</t>
  </si>
  <si>
    <t>US-2015-101020</t>
  </si>
  <si>
    <t>RR-11832</t>
  </si>
  <si>
    <t>Ryan Rosales</t>
  </si>
  <si>
    <t>CA-2014-101021</t>
  </si>
  <si>
    <t>KR-13848</t>
  </si>
  <si>
    <t>Keith Rodriguez</t>
  </si>
  <si>
    <t>US-2017-101022</t>
  </si>
  <si>
    <t>AJ-16389</t>
  </si>
  <si>
    <t>Adam Jackson</t>
  </si>
  <si>
    <t>US-2015-101023</t>
  </si>
  <si>
    <t>US-2016-101024</t>
  </si>
  <si>
    <t>CA-2014-101025</t>
  </si>
  <si>
    <t>US-2017-101026</t>
  </si>
  <si>
    <t>CA-2016-101027</t>
  </si>
  <si>
    <t>US-2017-101028</t>
  </si>
  <si>
    <t>CA-2014-101029</t>
  </si>
  <si>
    <t>CA-2017-101030</t>
  </si>
  <si>
    <t>BH-20809</t>
  </si>
  <si>
    <t>Bryan Herrera</t>
  </si>
  <si>
    <t>US-2014-101031</t>
  </si>
  <si>
    <t>CA-2014-101032</t>
  </si>
  <si>
    <t>CA-2016-101033</t>
  </si>
  <si>
    <t>CA-2016-101034</t>
  </si>
  <si>
    <t>US-2014-101035</t>
  </si>
  <si>
    <t>CA-2014-101036</t>
  </si>
  <si>
    <t>CA-2016-101037</t>
  </si>
  <si>
    <t>US-2015-101038</t>
  </si>
  <si>
    <t>US-2014-101039</t>
  </si>
  <si>
    <t>US-2016-101040</t>
  </si>
  <si>
    <t>CA-2017-101041</t>
  </si>
  <si>
    <t>US-2016-101042</t>
  </si>
  <si>
    <t>US-2017-101043</t>
  </si>
  <si>
    <t>CA-2014-101044</t>
  </si>
  <si>
    <t>JP-10009</t>
  </si>
  <si>
    <t>Jonathan Peterson</t>
  </si>
  <si>
    <t>US-2015-101045</t>
  </si>
  <si>
    <t>US-2015-101046</t>
  </si>
  <si>
    <t>CA-2016-101047</t>
  </si>
  <si>
    <t>CA-2016-101048</t>
  </si>
  <si>
    <t>CA-2014-101049</t>
  </si>
  <si>
    <t>CA-2015-101050</t>
  </si>
  <si>
    <t>BH-12041</t>
  </si>
  <si>
    <t>Barbara Hester</t>
  </si>
  <si>
    <t>US-2016-101051</t>
  </si>
  <si>
    <t>CA-2014-101052</t>
  </si>
  <si>
    <t>GH-13450</t>
  </si>
  <si>
    <t>George Harper</t>
  </si>
  <si>
    <t>US-2015-101053</t>
  </si>
  <si>
    <t>CA-2015-101054</t>
  </si>
  <si>
    <t>US-2014-101055</t>
  </si>
  <si>
    <t>US-2014-101056</t>
  </si>
  <si>
    <t>US-2016-101057</t>
  </si>
  <si>
    <t>CA-2014-101058</t>
  </si>
  <si>
    <t>US-2016-101059</t>
  </si>
  <si>
    <t>US-2016-101060</t>
  </si>
  <si>
    <t>KW-20714</t>
  </si>
  <si>
    <t>Kathleen Webster</t>
  </si>
  <si>
    <t>US-2017-101061</t>
  </si>
  <si>
    <t>MP-13505</t>
  </si>
  <si>
    <t>Mr. Michael Scott PhD</t>
  </si>
  <si>
    <t>US-2016-101062</t>
  </si>
  <si>
    <t>CA-2015-101063</t>
  </si>
  <si>
    <t>US-2015-101064</t>
  </si>
  <si>
    <t>TB-16209</t>
  </si>
  <si>
    <t>Tracy Ballard</t>
  </si>
  <si>
    <t>US-2015-101065</t>
  </si>
  <si>
    <t>US-2015-101066</t>
  </si>
  <si>
    <t>US-2016-101067</t>
  </si>
  <si>
    <t>CA-2015-101068</t>
  </si>
  <si>
    <t>CA-2015-101069</t>
  </si>
  <si>
    <t>CA-2017-101070</t>
  </si>
  <si>
    <t>CA-2016-101071</t>
  </si>
  <si>
    <t>US-2016-101072</t>
  </si>
  <si>
    <t>US-2016-101073</t>
  </si>
  <si>
    <t>CA-2015-101074</t>
  </si>
  <si>
    <t>US-2015-101075</t>
  </si>
  <si>
    <t>SS-16252</t>
  </si>
  <si>
    <t>Stephanie Salazar</t>
  </si>
  <si>
    <t>CA-2017-101076</t>
  </si>
  <si>
    <t>CA-2014-101077</t>
  </si>
  <si>
    <t>US-2016-101078</t>
  </si>
  <si>
    <t>CA-2015-101079</t>
  </si>
  <si>
    <t>US-2017-101080</t>
  </si>
  <si>
    <t>WP-11654</t>
  </si>
  <si>
    <t>Whitney Peters</t>
  </si>
  <si>
    <t>CA-2016-101081</t>
  </si>
  <si>
    <t>US-2014-101082</t>
  </si>
  <si>
    <t>BH-10320</t>
  </si>
  <si>
    <t>Brent Hernandez</t>
  </si>
  <si>
    <t>CA-2017-101083</t>
  </si>
  <si>
    <t>CA-2017-101084</t>
  </si>
  <si>
    <t>CA-2015-101085</t>
  </si>
  <si>
    <t>US-2015-101086</t>
  </si>
  <si>
    <t>CA-2017-101087</t>
  </si>
  <si>
    <t>US-2014-101088</t>
  </si>
  <si>
    <t>CA-2015-101089</t>
  </si>
  <si>
    <t>US-2014-101090</t>
  </si>
  <si>
    <t>US-2017-101091</t>
  </si>
  <si>
    <t>US-2016-101092</t>
  </si>
  <si>
    <t>ES-11193</t>
  </si>
  <si>
    <t>Elizabeth Sharp</t>
  </si>
  <si>
    <t>CA-2014-101093</t>
  </si>
  <si>
    <t>US-2016-101094</t>
  </si>
  <si>
    <t>CA-2016-101095</t>
  </si>
  <si>
    <t>US-2014-101096</t>
  </si>
  <si>
    <t>CA-2015-101097</t>
  </si>
  <si>
    <t>US-2015-101098</t>
  </si>
  <si>
    <t>US-2017-101099</t>
  </si>
  <si>
    <t>CA-2014-101100</t>
  </si>
  <si>
    <t>CA-2017-101101</t>
  </si>
  <si>
    <t>RL-10006</t>
  </si>
  <si>
    <t>Raymond Le</t>
  </si>
  <si>
    <t>CA-2016-101102</t>
  </si>
  <si>
    <t>US-2014-101103</t>
  </si>
  <si>
    <t>US-2016-101104</t>
  </si>
  <si>
    <t>US-2016-101105</t>
  </si>
  <si>
    <t>US-2015-101106</t>
  </si>
  <si>
    <t>RT-12532</t>
  </si>
  <si>
    <t>Robin Thompson</t>
  </si>
  <si>
    <t>US-2015-101107</t>
  </si>
  <si>
    <t>CR-18785</t>
  </si>
  <si>
    <t>Crystal Robinson</t>
  </si>
  <si>
    <t>CA-2017-101108</t>
  </si>
  <si>
    <t>US-2014-101109</t>
  </si>
  <si>
    <t>CA-2014-101110</t>
  </si>
  <si>
    <t>US-2016-101111</t>
  </si>
  <si>
    <t>CA-2016-101112</t>
  </si>
  <si>
    <t>CA-2014-101113</t>
  </si>
  <si>
    <t>DA-11796</t>
  </si>
  <si>
    <t>David Alvarez</t>
  </si>
  <si>
    <t>CA-2016-101114</t>
  </si>
  <si>
    <t>CA-2016-101115</t>
  </si>
  <si>
    <t>US-2014-101116</t>
  </si>
  <si>
    <t>CA-2017-101117</t>
  </si>
  <si>
    <t>CA-2014-101118</t>
  </si>
  <si>
    <t>US-2015-101119</t>
  </si>
  <si>
    <t>US-2015-101120</t>
  </si>
  <si>
    <t>CA-2015-101121</t>
  </si>
  <si>
    <t>CA-2017-101122</t>
  </si>
  <si>
    <t>CA-2015-101123</t>
  </si>
  <si>
    <t>CA-2015-101124</t>
  </si>
  <si>
    <t>CA-2016-101125</t>
  </si>
  <si>
    <t>CA-2015-101126</t>
  </si>
  <si>
    <t>CA-2015-101127</t>
  </si>
  <si>
    <t>US-2014-101128</t>
  </si>
  <si>
    <t>US-2015-101129</t>
  </si>
  <si>
    <t>US-2016-101130</t>
  </si>
  <si>
    <t>US-2016-101131</t>
  </si>
  <si>
    <t>US-2015-101132</t>
  </si>
  <si>
    <t>MR-19755</t>
  </si>
  <si>
    <t>Molly Rodriguez</t>
  </si>
  <si>
    <t>US-2016-101133</t>
  </si>
  <si>
    <t>US-2017-101134</t>
  </si>
  <si>
    <t>HV-19038</t>
  </si>
  <si>
    <t>Holly Valentine</t>
  </si>
  <si>
    <t>US-2017-101135</t>
  </si>
  <si>
    <t>AW-19771</t>
  </si>
  <si>
    <t>Amber Wright</t>
  </si>
  <si>
    <t>US-2017-101136</t>
  </si>
  <si>
    <t>US-2017-101137</t>
  </si>
  <si>
    <t>US-2017-101138</t>
  </si>
  <si>
    <t>CM-18786</t>
  </si>
  <si>
    <t>Carolyn Miller</t>
  </si>
  <si>
    <t>CA-2017-101139</t>
  </si>
  <si>
    <t>US-2014-101140</t>
  </si>
  <si>
    <t>CA-2016-101141</t>
  </si>
  <si>
    <t>JM-14371</t>
  </si>
  <si>
    <t>Jonathan Glass MD</t>
  </si>
  <si>
    <t>US-2016-101142</t>
  </si>
  <si>
    <t>CA-2014-101143</t>
  </si>
  <si>
    <t>CA-2014-101144</t>
  </si>
  <si>
    <t>US-2017-101145</t>
  </si>
  <si>
    <t>CS-21968</t>
  </si>
  <si>
    <t>Charles Shah</t>
  </si>
  <si>
    <t>CA-2014-101146</t>
  </si>
  <si>
    <t>US-2015-101147</t>
  </si>
  <si>
    <t>CA-2014-101148</t>
  </si>
  <si>
    <t>US-2014-101149</t>
  </si>
  <si>
    <t>CT-17777</t>
  </si>
  <si>
    <t>Connie Turner</t>
  </si>
  <si>
    <t>CA-2015-101150</t>
  </si>
  <si>
    <t>US-2014-101151</t>
  </si>
  <si>
    <t>CA-2017-101152</t>
  </si>
  <si>
    <t>CA-2016-101153</t>
  </si>
  <si>
    <t>LH-20942</t>
  </si>
  <si>
    <t>Lori Hernandez</t>
  </si>
  <si>
    <t>US-2017-101154</t>
  </si>
  <si>
    <t>AH-10931</t>
  </si>
  <si>
    <t>Anthony Harmon</t>
  </si>
  <si>
    <t>US-2017-101155</t>
  </si>
  <si>
    <t>CA-2015-101156</t>
  </si>
  <si>
    <t>CA-2015-101157</t>
  </si>
  <si>
    <t>CA-2017-101158</t>
  </si>
  <si>
    <t>CA-2015-101159</t>
  </si>
  <si>
    <t>DM-16570</t>
  </si>
  <si>
    <t>Dr. Paul Morgan</t>
  </si>
  <si>
    <t>CA-2014-101160</t>
  </si>
  <si>
    <t>US-2016-101161</t>
  </si>
  <si>
    <t>US-2016-101162</t>
  </si>
  <si>
    <t>CA-2015-101163</t>
  </si>
  <si>
    <t>US-2017-101164</t>
  </si>
  <si>
    <t>US-2016-101165</t>
  </si>
  <si>
    <t>MW-19083</t>
  </si>
  <si>
    <t>Molly Watts</t>
  </si>
  <si>
    <t>US-2014-101166</t>
  </si>
  <si>
    <t>CA-2016-101167</t>
  </si>
  <si>
    <t>US-2014-101168</t>
  </si>
  <si>
    <t>US-2017-101169</t>
  </si>
  <si>
    <t>CA-2017-101170</t>
  </si>
  <si>
    <t>US-2017-101171</t>
  </si>
  <si>
    <t>FC-15413</t>
  </si>
  <si>
    <t>Frank Cordova</t>
  </si>
  <si>
    <t>CA-2015-101172</t>
  </si>
  <si>
    <t>US-2015-101173</t>
  </si>
  <si>
    <t>US-2016-101174</t>
  </si>
  <si>
    <t>US-2014-101175</t>
  </si>
  <si>
    <t>CA-2016-101176</t>
  </si>
  <si>
    <t>US-2016-101177</t>
  </si>
  <si>
    <t>JH-13814</t>
  </si>
  <si>
    <t>Jordan Henderson</t>
  </si>
  <si>
    <t>US-2014-101178</t>
  </si>
  <si>
    <t>US-2015-101179</t>
  </si>
  <si>
    <t>US-2017-101180</t>
  </si>
  <si>
    <t>ML-19638</t>
  </si>
  <si>
    <t>Michael Lyons</t>
  </si>
  <si>
    <t>CA-2016-101181</t>
  </si>
  <si>
    <t>CA-2016-101182</t>
  </si>
  <si>
    <t>CA-2017-101183</t>
  </si>
  <si>
    <t>CA-2015-101184</t>
  </si>
  <si>
    <t>CA-2016-101185</t>
  </si>
  <si>
    <t>CA-2015-101186</t>
  </si>
  <si>
    <t>CA-2017-101187</t>
  </si>
  <si>
    <t>TK-20960</t>
  </si>
  <si>
    <t>Tanya Kim</t>
  </si>
  <si>
    <t>US-2015-101188</t>
  </si>
  <si>
    <t>US-2016-101189</t>
  </si>
  <si>
    <t>EB-20447</t>
  </si>
  <si>
    <t>Emma Butler</t>
  </si>
  <si>
    <t>CA-2017-101190</t>
  </si>
  <si>
    <t>US-2015-101191</t>
  </si>
  <si>
    <t>CA-2015-101192</t>
  </si>
  <si>
    <t>KM-21851</t>
  </si>
  <si>
    <t>Kathleen Moran</t>
  </si>
  <si>
    <t>CA-2015-101193</t>
  </si>
  <si>
    <t>US-2017-101194</t>
  </si>
  <si>
    <t>CA-2015-101195</t>
  </si>
  <si>
    <t>US-2016-101196</t>
  </si>
  <si>
    <t>CA-2014-101197</t>
  </si>
  <si>
    <t>US-2016-101198</t>
  </si>
  <si>
    <t>CA-2014-101199</t>
  </si>
  <si>
    <t>CA-2017-101200</t>
  </si>
  <si>
    <t>US-2017-101201</t>
  </si>
  <si>
    <t>US-2014-101202</t>
  </si>
  <si>
    <t>CA-2015-101203</t>
  </si>
  <si>
    <t>DW-14506</t>
  </si>
  <si>
    <t>Daniel Wagner</t>
  </si>
  <si>
    <t>US-2016-101204</t>
  </si>
  <si>
    <t>US-2016-101205</t>
  </si>
  <si>
    <t>US-2017-101206</t>
  </si>
  <si>
    <t>US-2016-101207</t>
  </si>
  <si>
    <t>US-2014-101208</t>
  </si>
  <si>
    <t>BW-19189</t>
  </si>
  <si>
    <t>Brenda Wright</t>
  </si>
  <si>
    <t>CA-2016-101209</t>
  </si>
  <si>
    <t>CA-2017-101210</t>
  </si>
  <si>
    <t>CA-2015-101211</t>
  </si>
  <si>
    <t>US-2014-101212</t>
  </si>
  <si>
    <t>CA-2015-101213</t>
  </si>
  <si>
    <t>CA-2015-101214</t>
  </si>
  <si>
    <t>US-2015-101215</t>
  </si>
  <si>
    <t>CA-2014-101216</t>
  </si>
  <si>
    <t>US-2016-101217</t>
  </si>
  <si>
    <t>CA-2015-101218</t>
  </si>
  <si>
    <t>CA-2014-101219</t>
  </si>
  <si>
    <t>CA-2015-101220</t>
  </si>
  <si>
    <t>CA-2016-101221</t>
  </si>
  <si>
    <t>OH-14562</t>
  </si>
  <si>
    <t>Olivia Harris</t>
  </si>
  <si>
    <t>US-2015-101222</t>
  </si>
  <si>
    <t>US-2017-101223</t>
  </si>
  <si>
    <t>US-2015-101224</t>
  </si>
  <si>
    <t>CA-2017-101225</t>
  </si>
  <si>
    <t>US-2014-101226</t>
  </si>
  <si>
    <t>US-2014-101227</t>
  </si>
  <si>
    <t>US-2015-101228</t>
  </si>
  <si>
    <t>US-2015-101229</t>
  </si>
  <si>
    <t>GH-19157</t>
  </si>
  <si>
    <t>Gregory Hill</t>
  </si>
  <si>
    <t>CA-2015-101230</t>
  </si>
  <si>
    <t>CA-2014-101231</t>
  </si>
  <si>
    <t>US-2016-101232</t>
  </si>
  <si>
    <t>WE-13443</t>
  </si>
  <si>
    <t>William Evans</t>
  </si>
  <si>
    <t>US-2016-101233</t>
  </si>
  <si>
    <t>CA-2016-101234</t>
  </si>
  <si>
    <t>CA-2016-101235</t>
  </si>
  <si>
    <t>US-2014-101236</t>
  </si>
  <si>
    <t>US-2015-101237</t>
  </si>
  <si>
    <t>US-2014-101238</t>
  </si>
  <si>
    <t>CA-2017-101239</t>
  </si>
  <si>
    <t>US-2016-101240</t>
  </si>
  <si>
    <t>CA-2014-101241</t>
  </si>
  <si>
    <t>US-2015-101242</t>
  </si>
  <si>
    <t>US-2014-101243</t>
  </si>
  <si>
    <t>US-2015-101244</t>
  </si>
  <si>
    <t>CA-2014-101245</t>
  </si>
  <si>
    <t>CA-2015-101246</t>
  </si>
  <si>
    <t>CA-2016-101247</t>
  </si>
  <si>
    <t>US-2014-101248</t>
  </si>
  <si>
    <t>US-2016-101249</t>
  </si>
  <si>
    <t>US-2015-101250</t>
  </si>
  <si>
    <t>CA-2014-101251</t>
  </si>
  <si>
    <t>CA-2017-101252</t>
  </si>
  <si>
    <t>CA-2017-101253</t>
  </si>
  <si>
    <t>CA-2015-101254</t>
  </si>
  <si>
    <t>CA-2015-101255</t>
  </si>
  <si>
    <t>SS-16065</t>
  </si>
  <si>
    <t>Steve Sanchez</t>
  </si>
  <si>
    <t>CA-2016-101256</t>
  </si>
  <si>
    <t>WG-13644</t>
  </si>
  <si>
    <t>William Gould</t>
  </si>
  <si>
    <t>CA-2015-101257</t>
  </si>
  <si>
    <t>US-2016-101258</t>
  </si>
  <si>
    <t>CA-2016-101259</t>
  </si>
  <si>
    <t>CA-2015-101260</t>
  </si>
  <si>
    <t>CA-2014-101261</t>
  </si>
  <si>
    <t>CA-2015-101262</t>
  </si>
  <si>
    <t>CA-2016-101263</t>
  </si>
  <si>
    <t>CA-2014-101264</t>
  </si>
  <si>
    <t>CA-2017-101265</t>
  </si>
  <si>
    <t>US-2014-101266</t>
  </si>
  <si>
    <t>US-2014-101267</t>
  </si>
  <si>
    <t>CA-2017-101268</t>
  </si>
  <si>
    <t>CA-2016-101269</t>
  </si>
  <si>
    <t>US-2017-101270</t>
  </si>
  <si>
    <t>CA-2015-101271</t>
  </si>
  <si>
    <t>CA-2015-101272</t>
  </si>
  <si>
    <t>CA-2014-101273</t>
  </si>
  <si>
    <t>ST-18540</t>
  </si>
  <si>
    <t>Samuel Turner</t>
  </si>
  <si>
    <t>CA-2014-101274</t>
  </si>
  <si>
    <t>CA-2016-101275</t>
  </si>
  <si>
    <t>US-2015-101276</t>
  </si>
  <si>
    <t>US-2017-101277</t>
  </si>
  <si>
    <t>CA-2016-101278</t>
  </si>
  <si>
    <t>US-2016-101279</t>
  </si>
  <si>
    <t>CA-2017-101280</t>
  </si>
  <si>
    <t>JR-12184</t>
  </si>
  <si>
    <t>Joshua Rice</t>
  </si>
  <si>
    <t>CA-2015-101281</t>
  </si>
  <si>
    <t>US-2017-101282</t>
  </si>
  <si>
    <t>US-2015-101283</t>
  </si>
  <si>
    <t>US-2016-101284</t>
  </si>
  <si>
    <t>JH-11146</t>
  </si>
  <si>
    <t>Julie Herrera</t>
  </si>
  <si>
    <t>CA-2015-101285</t>
  </si>
  <si>
    <t>US-2014-101286</t>
  </si>
  <si>
    <t>CA-2014-101287</t>
  </si>
  <si>
    <t>CA-2015-101288</t>
  </si>
  <si>
    <t>US-2014-101289</t>
  </si>
  <si>
    <t>CA-2016-101290</t>
  </si>
  <si>
    <t>US-2016-101291</t>
  </si>
  <si>
    <t>GM-11679</t>
  </si>
  <si>
    <t>Gina Moore</t>
  </si>
  <si>
    <t>CA-2014-101292</t>
  </si>
  <si>
    <t>US-2015-101293</t>
  </si>
  <si>
    <t>US-2016-101294</t>
  </si>
  <si>
    <t>US-2017-101295</t>
  </si>
  <si>
    <t>CA-2016-101296</t>
  </si>
  <si>
    <t>US-2014-101297</t>
  </si>
  <si>
    <t>CA-2016-101298</t>
  </si>
  <si>
    <t>CA-2014-101299</t>
  </si>
  <si>
    <t>CA-2016-101300</t>
  </si>
  <si>
    <t>US-2017-101301</t>
  </si>
  <si>
    <t>CA-2014-101302</t>
  </si>
  <si>
    <t>CA-2016-101303</t>
  </si>
  <si>
    <t>US-2016-101304</t>
  </si>
  <si>
    <t>CA-2016-101305</t>
  </si>
  <si>
    <t>CA-2016-101306</t>
  </si>
  <si>
    <t>CA-2015-101307</t>
  </si>
  <si>
    <t>CA-2015-101308</t>
  </si>
  <si>
    <t>CA-2015-101309</t>
  </si>
  <si>
    <t>US-2015-101310</t>
  </si>
  <si>
    <t>US-2014-101311</t>
  </si>
  <si>
    <t>US-2015-101312</t>
  </si>
  <si>
    <t>CA-2014-101313</t>
  </si>
  <si>
    <t>CA-2015-101314</t>
  </si>
  <si>
    <t>CA-2017-101315</t>
  </si>
  <si>
    <t>CA-2016-101316</t>
  </si>
  <si>
    <t>CA-2014-101317</t>
  </si>
  <si>
    <t>US-2016-101318</t>
  </si>
  <si>
    <t>CA-2014-101319</t>
  </si>
  <si>
    <t>US-2017-101320</t>
  </si>
  <si>
    <t>CA-2015-101321</t>
  </si>
  <si>
    <t>JD-20133</t>
  </si>
  <si>
    <t>John Daniel</t>
  </si>
  <si>
    <t>US-2015-101322</t>
  </si>
  <si>
    <t>CA-2015-101323</t>
  </si>
  <si>
    <t>CA-2015-101324</t>
  </si>
  <si>
    <t>CA-2016-101325</t>
  </si>
  <si>
    <t>MJ-16311</t>
  </si>
  <si>
    <t>Mark Jimenez</t>
  </si>
  <si>
    <t>US-2016-101326</t>
  </si>
  <si>
    <t>CA-2014-101327</t>
  </si>
  <si>
    <t>US-2016-101328</t>
  </si>
  <si>
    <t>AW-14533</t>
  </si>
  <si>
    <t>Ashley Wise</t>
  </si>
  <si>
    <t>CA-2017-101329</t>
  </si>
  <si>
    <t>CA-2016-101330</t>
  </si>
  <si>
    <t>US-2015-101331</t>
  </si>
  <si>
    <t>US-2017-101332</t>
  </si>
  <si>
    <t>US-2017-101333</t>
  </si>
  <si>
    <t>US-2014-101334</t>
  </si>
  <si>
    <t>CA-2016-101335</t>
  </si>
  <si>
    <t>CW-14462</t>
  </si>
  <si>
    <t>Carrie Wright</t>
  </si>
  <si>
    <t>US-2017-101336</t>
  </si>
  <si>
    <t>CA-2017-101337</t>
  </si>
  <si>
    <t>US-2017-101338</t>
  </si>
  <si>
    <t>US-2016-101339</t>
  </si>
  <si>
    <t>US-2015-101340</t>
  </si>
  <si>
    <t>US-2016-101341</t>
  </si>
  <si>
    <t>US-2017-101342</t>
  </si>
  <si>
    <t>CA-2015-101343</t>
  </si>
  <si>
    <t>CA-2015-101344</t>
  </si>
  <si>
    <t>CA-2016-101345</t>
  </si>
  <si>
    <t>US-2014-101346</t>
  </si>
  <si>
    <t>US-2016-101347</t>
  </si>
  <si>
    <t>JB-14333</t>
  </si>
  <si>
    <t>Joshua Blair</t>
  </si>
  <si>
    <t>CA-2016-101348</t>
  </si>
  <si>
    <t>CA-2016-101349</t>
  </si>
  <si>
    <t>US-2015-101350</t>
  </si>
  <si>
    <t>JS-18085</t>
  </si>
  <si>
    <t>Jose Schultz</t>
  </si>
  <si>
    <t>US-2015-101351</t>
  </si>
  <si>
    <t>BM-13680</t>
  </si>
  <si>
    <t>Brian Martin</t>
  </si>
  <si>
    <t>US-2016-101352</t>
  </si>
  <si>
    <t>US-2016-101353</t>
  </si>
  <si>
    <t>CA-2017-101354</t>
  </si>
  <si>
    <t>US-2017-101355</t>
  </si>
  <si>
    <t>YC-10117</t>
  </si>
  <si>
    <t>Yvonne Chambers</t>
  </si>
  <si>
    <t>CA-2016-101356</t>
  </si>
  <si>
    <t>CA-2017-101357</t>
  </si>
  <si>
    <t>CA-2016-101358</t>
  </si>
  <si>
    <t>CS-11638</t>
  </si>
  <si>
    <t>Chad Scott</t>
  </si>
  <si>
    <t>US-2017-101359</t>
  </si>
  <si>
    <t>CA-2014-101360</t>
  </si>
  <si>
    <t>CA-2015-101361</t>
  </si>
  <si>
    <t>US-2016-101362</t>
  </si>
  <si>
    <t>US-2017-101363</t>
  </si>
  <si>
    <t>CA-2017-101364</t>
  </si>
  <si>
    <t>US-2016-101365</t>
  </si>
  <si>
    <t>US-2014-101366</t>
  </si>
  <si>
    <t>US-2017-101367</t>
  </si>
  <si>
    <t>US-2014-101368</t>
  </si>
  <si>
    <t>CA-2015-101369</t>
  </si>
  <si>
    <t>AG-16991</t>
  </si>
  <si>
    <t>Amy Gordon</t>
  </si>
  <si>
    <t>CA-2015-101370</t>
  </si>
  <si>
    <t>US-2015-101371</t>
  </si>
  <si>
    <t>CA-2016-101372</t>
  </si>
  <si>
    <t>MB-11982</t>
  </si>
  <si>
    <t>Michael Bradshaw</t>
  </si>
  <si>
    <t>US-2015-101373</t>
  </si>
  <si>
    <t>US-2016-101374</t>
  </si>
  <si>
    <t>CA-2015-101375</t>
  </si>
  <si>
    <t>US-2016-101376</t>
  </si>
  <si>
    <t>US-2014-101377</t>
  </si>
  <si>
    <t>US-2014-101378</t>
  </si>
  <si>
    <t>CA-2016-101379</t>
  </si>
  <si>
    <t>US-2017-101380</t>
  </si>
  <si>
    <t>CA-2017-101381</t>
  </si>
  <si>
    <t>CA-2017-101382</t>
  </si>
  <si>
    <t>CA-2016-101383</t>
  </si>
  <si>
    <t>AG-14173</t>
  </si>
  <si>
    <t>Anthony Gonzales</t>
  </si>
  <si>
    <t>US-2016-101384</t>
  </si>
  <si>
    <t>US-2016-101385</t>
  </si>
  <si>
    <t>CA-2017-101386</t>
  </si>
  <si>
    <t>CA-2016-101387</t>
  </si>
  <si>
    <t>CA-2016-101388</t>
  </si>
  <si>
    <t>US-2015-101389</t>
  </si>
  <si>
    <t>US-2016-101390</t>
  </si>
  <si>
    <t>CA-2016-101391</t>
  </si>
  <si>
    <t>CA-2015-101392</t>
  </si>
  <si>
    <t>CA-2017-101393</t>
  </si>
  <si>
    <t>CA-2017-101394</t>
  </si>
  <si>
    <t>US-2014-101395</t>
  </si>
  <si>
    <t>LH-17260</t>
  </si>
  <si>
    <t>Laura Haney</t>
  </si>
  <si>
    <t>CA-2017-101396</t>
  </si>
  <si>
    <t>US-2017-101397</t>
  </si>
  <si>
    <t>CA-2015-101398</t>
  </si>
  <si>
    <t>US-2015-101399</t>
  </si>
  <si>
    <t>US-2017-101400</t>
  </si>
  <si>
    <t>US-2015-101401</t>
  </si>
  <si>
    <t>CA-2017-101402</t>
  </si>
  <si>
    <t>CA-2014-101403</t>
  </si>
  <si>
    <t>CA-2016-101404</t>
  </si>
  <si>
    <t>CA-2014-101405</t>
  </si>
  <si>
    <t>CA-2017-101406</t>
  </si>
  <si>
    <t>US-2014-101407</t>
  </si>
  <si>
    <t>CA-2016-101408</t>
  </si>
  <si>
    <t>CA-2016-101409</t>
  </si>
  <si>
    <t>US-2015-101410</t>
  </si>
  <si>
    <t>US-2014-101411</t>
  </si>
  <si>
    <t>US-2017-101412</t>
  </si>
  <si>
    <t>US-2014-101413</t>
  </si>
  <si>
    <t>CA-2016-101414</t>
  </si>
  <si>
    <t>US-2015-101415</t>
  </si>
  <si>
    <t>US-2017-101416</t>
  </si>
  <si>
    <t>US-2017-101417</t>
  </si>
  <si>
    <t>CA-2016-101418</t>
  </si>
  <si>
    <t>CA-2017-101419</t>
  </si>
  <si>
    <t>US-2017-101420</t>
  </si>
  <si>
    <t>CA-2016-101421</t>
  </si>
  <si>
    <t>JM-14616</t>
  </si>
  <si>
    <t>Jeffrey Mills</t>
  </si>
  <si>
    <t>US-2016-101422</t>
  </si>
  <si>
    <t>US-2016-101423</t>
  </si>
  <si>
    <t>CA-2017-101424</t>
  </si>
  <si>
    <t>US-2014-101425</t>
  </si>
  <si>
    <t>CG-19863</t>
  </si>
  <si>
    <t>Carla Gray</t>
  </si>
  <si>
    <t>US-2016-101426</t>
  </si>
  <si>
    <t>JP-19577</t>
  </si>
  <si>
    <t>Jason Powell</t>
  </si>
  <si>
    <t>US-2017-101427</t>
  </si>
  <si>
    <t>US-2014-101428</t>
  </si>
  <si>
    <t>US-2014-101429</t>
  </si>
  <si>
    <t>US-2016-101430</t>
  </si>
  <si>
    <t>US-2017-101431</t>
  </si>
  <si>
    <t>CA-2016-101432</t>
  </si>
  <si>
    <t>CA-2017-101433</t>
  </si>
  <si>
    <t>US-2017-101434</t>
  </si>
  <si>
    <t>US-2016-101435</t>
  </si>
  <si>
    <t>CA-2014-101436</t>
  </si>
  <si>
    <t>US-2015-101437</t>
  </si>
  <si>
    <t>CA-2016-101438</t>
  </si>
  <si>
    <t>US-2017-101439</t>
  </si>
  <si>
    <t>CA-2015-101440</t>
  </si>
  <si>
    <t>PB-10387</t>
  </si>
  <si>
    <t>Phillip Berry</t>
  </si>
  <si>
    <t>US-2017-101441</t>
  </si>
  <si>
    <t>US-2017-101442</t>
  </si>
  <si>
    <t>US-2014-101443</t>
  </si>
  <si>
    <t>CA-2016-101444</t>
  </si>
  <si>
    <t>CA-2015-101445</t>
  </si>
  <si>
    <t>CA-2015-101446</t>
  </si>
  <si>
    <t>US-2014-101447</t>
  </si>
  <si>
    <t>US-2017-101448</t>
  </si>
  <si>
    <t>US-2017-101449</t>
  </si>
  <si>
    <t>CA-2016-101450</t>
  </si>
  <si>
    <t>CA-2017-101451</t>
  </si>
  <si>
    <t>SW-11389</t>
  </si>
  <si>
    <t>Sherry Woods</t>
  </si>
  <si>
    <t>CA-2017-101452</t>
  </si>
  <si>
    <t>CA-2017-101453</t>
  </si>
  <si>
    <t>US-2014-101454</t>
  </si>
  <si>
    <t>US-2014-101455</t>
  </si>
  <si>
    <t>CA-2015-101456</t>
  </si>
  <si>
    <t>US-2017-101457</t>
  </si>
  <si>
    <t>CA-2017-101458</t>
  </si>
  <si>
    <t>RS-18004</t>
  </si>
  <si>
    <t>Robin Santiago</t>
  </si>
  <si>
    <t>US-2014-101459</t>
  </si>
  <si>
    <t>US-2017-101460</t>
  </si>
  <si>
    <t>US-2014-101461</t>
  </si>
  <si>
    <t>CA-2014-101462</t>
  </si>
  <si>
    <t>US-2017-101463</t>
  </si>
  <si>
    <t>AG-16049</t>
  </si>
  <si>
    <t>Alfred Galvan</t>
  </si>
  <si>
    <t>CA-2016-101464</t>
  </si>
  <si>
    <t>US-2015-101465</t>
  </si>
  <si>
    <t>CA-2014-101466</t>
  </si>
  <si>
    <t>US-2017-101467</t>
  </si>
  <si>
    <t>US-2015-101468</t>
  </si>
  <si>
    <t>CA-2017-101469</t>
  </si>
  <si>
    <t>US-2014-101470</t>
  </si>
  <si>
    <t>CA-2015-101471</t>
  </si>
  <si>
    <t>CA-2017-101472</t>
  </si>
  <si>
    <t>MJ-17149</t>
  </si>
  <si>
    <t>Michelle Jacobs</t>
  </si>
  <si>
    <t>US-2017-101473</t>
  </si>
  <si>
    <t>US-2015-101474</t>
  </si>
  <si>
    <t>JC-12085</t>
  </si>
  <si>
    <t>John Coffey</t>
  </si>
  <si>
    <t>US-2017-101475</t>
  </si>
  <si>
    <t>AG-15143</t>
  </si>
  <si>
    <t>Angel Gordon</t>
  </si>
  <si>
    <t>CA-2016-101476</t>
  </si>
  <si>
    <t>US-2017-101477</t>
  </si>
  <si>
    <t>CA-2014-101478</t>
  </si>
  <si>
    <t>CA-2014-101479</t>
  </si>
  <si>
    <t>US-2016-101480</t>
  </si>
  <si>
    <t>US-2015-101481</t>
  </si>
  <si>
    <t>CA-2016-101482</t>
  </si>
  <si>
    <t>US-2014-101483</t>
  </si>
  <si>
    <t>US-2014-101484</t>
  </si>
  <si>
    <t>CA-2017-101485</t>
  </si>
  <si>
    <t>CA-2017-101486</t>
  </si>
  <si>
    <t>US-2017-101487</t>
  </si>
  <si>
    <t>CA-2017-101488</t>
  </si>
  <si>
    <t>CA-2016-101489</t>
  </si>
  <si>
    <t>US-2017-101490</t>
  </si>
  <si>
    <t>CA-2016-101491</t>
  </si>
  <si>
    <t>CA-2014-101492</t>
  </si>
  <si>
    <t>CA-2016-101493</t>
  </si>
  <si>
    <t>US-2016-101494</t>
  </si>
  <si>
    <t>CA-2014-101495</t>
  </si>
  <si>
    <t>US-2015-101496</t>
  </si>
  <si>
    <t>TB-21931</t>
  </si>
  <si>
    <t>Tammie Bright</t>
  </si>
  <si>
    <t>US-2017-101497</t>
  </si>
  <si>
    <t>CA-2016-101498</t>
  </si>
  <si>
    <t>CA-2016-101499</t>
  </si>
  <si>
    <t>MM-13997</t>
  </si>
  <si>
    <t>Michael Miller</t>
  </si>
  <si>
    <t>CA-2016-101500</t>
  </si>
  <si>
    <t>CH-12442</t>
  </si>
  <si>
    <t>Courtney Hayes</t>
  </si>
  <si>
    <t>CA-2014-101501</t>
  </si>
  <si>
    <t>US-2014-101502</t>
  </si>
  <si>
    <t>CA-2016-101503</t>
  </si>
  <si>
    <t>CA-2014-101504</t>
  </si>
  <si>
    <t>CA-2015-101505</t>
  </si>
  <si>
    <t>CA-2016-101506</t>
  </si>
  <si>
    <t>CA-2015-101507</t>
  </si>
  <si>
    <t>CA-2015-101508</t>
  </si>
  <si>
    <t>CA-2014-101509</t>
  </si>
  <si>
    <t>CA-2014-101510</t>
  </si>
  <si>
    <t>US-2016-101511</t>
  </si>
  <si>
    <t>CA-2017-101512</t>
  </si>
  <si>
    <t>US-2014-101513</t>
  </si>
  <si>
    <t>US-2015-101514</t>
  </si>
  <si>
    <t>US-2014-101515</t>
  </si>
  <si>
    <t>US-2014-101516</t>
  </si>
  <si>
    <t>US-2015-101517</t>
  </si>
  <si>
    <t>US-2016-101518</t>
  </si>
  <si>
    <t>CA-2017-101519</t>
  </si>
  <si>
    <t>CA-2017-101520</t>
  </si>
  <si>
    <t>CA-2015-101521</t>
  </si>
  <si>
    <t>AH-10409</t>
  </si>
  <si>
    <t>Angie Henderson</t>
  </si>
  <si>
    <t>US-2014-101522</t>
  </si>
  <si>
    <t>MB-21302</t>
  </si>
  <si>
    <t>Mark Brown</t>
  </si>
  <si>
    <t>CA-2015-101523</t>
  </si>
  <si>
    <t>CA-2017-101524</t>
  </si>
  <si>
    <t>TH-17373</t>
  </si>
  <si>
    <t>Travis Hobbs</t>
  </si>
  <si>
    <t>US-2016-101525</t>
  </si>
  <si>
    <t>US-2015-101526</t>
  </si>
  <si>
    <t>WJ-14088</t>
  </si>
  <si>
    <t>William Jones</t>
  </si>
  <si>
    <t>US-2015-101527</t>
  </si>
  <si>
    <t>US-2014-101528</t>
  </si>
  <si>
    <t>CA-2015-101529</t>
  </si>
  <si>
    <t>US-2014-101530</t>
  </si>
  <si>
    <t>US-2017-101531</t>
  </si>
  <si>
    <t>US-2015-101532</t>
  </si>
  <si>
    <t>US-2016-101533</t>
  </si>
  <si>
    <t>DT-18238</t>
  </si>
  <si>
    <t>David Thompson</t>
  </si>
  <si>
    <t>CA-2014-101534</t>
  </si>
  <si>
    <t>CA-2015-101535</t>
  </si>
  <si>
    <t>CA-2017-101536</t>
  </si>
  <si>
    <t>CA-2015-101537</t>
  </si>
  <si>
    <t>DK-12266</t>
  </si>
  <si>
    <t>Daniel Kennedy</t>
  </si>
  <si>
    <t>CA-2014-101538</t>
  </si>
  <si>
    <t>CA-2017-101539</t>
  </si>
  <si>
    <t>BK-21321</t>
  </si>
  <si>
    <t>Brittany Kim</t>
  </si>
  <si>
    <t>CA-2017-101540</t>
  </si>
  <si>
    <t>CA-2014-101541</t>
  </si>
  <si>
    <t>US-2014-101542</t>
  </si>
  <si>
    <t>CA-2016-101543</t>
  </si>
  <si>
    <t>CA-2017-101544</t>
  </si>
  <si>
    <t>US-2014-101545</t>
  </si>
  <si>
    <t>US-2014-101546</t>
  </si>
  <si>
    <t>US-2015-101547</t>
  </si>
  <si>
    <t>US-2017-101548</t>
  </si>
  <si>
    <t>US-2015-101549</t>
  </si>
  <si>
    <t>CA-2017-101550</t>
  </si>
  <si>
    <t>US-2016-101551</t>
  </si>
  <si>
    <t>US-2017-101552</t>
  </si>
  <si>
    <t>US-2016-101553</t>
  </si>
  <si>
    <t>US-2017-101554</t>
  </si>
  <si>
    <t>US-2016-101555</t>
  </si>
  <si>
    <t>CA-2014-101556</t>
  </si>
  <si>
    <t>CA-2017-101557</t>
  </si>
  <si>
    <t>BD-17953</t>
  </si>
  <si>
    <t>Barbara Dudley</t>
  </si>
  <si>
    <t>US-2015-101558</t>
  </si>
  <si>
    <t>US-2017-101559</t>
  </si>
  <si>
    <t>US-2016-101560</t>
  </si>
  <si>
    <t>US-2016-101561</t>
  </si>
  <si>
    <t>US-2015-101562</t>
  </si>
  <si>
    <t>CA-2017-101563</t>
  </si>
  <si>
    <t>JB-21490</t>
  </si>
  <si>
    <t>Judy Baker</t>
  </si>
  <si>
    <t>CA-2017-101564</t>
  </si>
  <si>
    <t>CA-2015-101565</t>
  </si>
  <si>
    <t>ED-21004</t>
  </si>
  <si>
    <t>Elizabeth Oliver DDS</t>
  </si>
  <si>
    <t>CA-2015-101566</t>
  </si>
  <si>
    <t>US-2015-101567</t>
  </si>
  <si>
    <t>CA-2016-101568</t>
  </si>
  <si>
    <t>CA-2015-101569</t>
  </si>
  <si>
    <t>US-2017-101570</t>
  </si>
  <si>
    <t>CA-2016-101571</t>
  </si>
  <si>
    <t>CP-21216</t>
  </si>
  <si>
    <t>Cameron Parker</t>
  </si>
  <si>
    <t>CA-2017-101572</t>
  </si>
  <si>
    <t>CA-2014-101573</t>
  </si>
  <si>
    <t>US-2015-101574</t>
  </si>
  <si>
    <t>CA-2015-101575</t>
  </si>
  <si>
    <t>US-2014-101576</t>
  </si>
  <si>
    <t>CA-2015-101577</t>
  </si>
  <si>
    <t>US-2015-101578</t>
  </si>
  <si>
    <t>US-2016-101579</t>
  </si>
  <si>
    <t>US-2014-101580</t>
  </si>
  <si>
    <t>US-2016-101581</t>
  </si>
  <si>
    <t>CA-2017-101582</t>
  </si>
  <si>
    <t>CA-2017-101583</t>
  </si>
  <si>
    <t>CA-2016-101584</t>
  </si>
  <si>
    <t>US-2014-101585</t>
  </si>
  <si>
    <t>VB-19749</t>
  </si>
  <si>
    <t>Victor Brown</t>
  </si>
  <si>
    <t>CA-2014-101586</t>
  </si>
  <si>
    <t>CA-2014-101587</t>
  </si>
  <si>
    <t>US-2016-101588</t>
  </si>
  <si>
    <t>CA-2016-101589</t>
  </si>
  <si>
    <t>CA-2017-101590</t>
  </si>
  <si>
    <t>US-2017-101591</t>
  </si>
  <si>
    <t>US-2016-101592</t>
  </si>
  <si>
    <t>US-2017-101593</t>
  </si>
  <si>
    <t>US-2015-101594</t>
  </si>
  <si>
    <t>CA-2017-101595</t>
  </si>
  <si>
    <t>KM-16291</t>
  </si>
  <si>
    <t>Kaitlin Medina</t>
  </si>
  <si>
    <t>CA-2015-101596</t>
  </si>
  <si>
    <t>CA-2016-101597</t>
  </si>
  <si>
    <t>US-2015-101598</t>
  </si>
  <si>
    <t>CA-2014-101599</t>
  </si>
  <si>
    <t>CA-2017-101600</t>
  </si>
  <si>
    <t>US-2016-101601</t>
  </si>
  <si>
    <t>SM-21253</t>
  </si>
  <si>
    <t>Sean Moore</t>
  </si>
  <si>
    <t>CA-2015-101602</t>
  </si>
  <si>
    <t>US-2017-101603</t>
  </si>
  <si>
    <t>US-2015-101604</t>
  </si>
  <si>
    <t>US-2016-101605</t>
  </si>
  <si>
    <t>CA-2014-101606</t>
  </si>
  <si>
    <t>CA-2015-101607</t>
  </si>
  <si>
    <t>MG-18797</t>
  </si>
  <si>
    <t>Melissa Gates</t>
  </si>
  <si>
    <t>CA-2015-101608</t>
  </si>
  <si>
    <t>CA-2015-101609</t>
  </si>
  <si>
    <t>US-2016-101610</t>
  </si>
  <si>
    <t>SK-16484</t>
  </si>
  <si>
    <t>Sergio Knight</t>
  </si>
  <si>
    <t>CA-2015-101611</t>
  </si>
  <si>
    <t>CA-2014-101612</t>
  </si>
  <si>
    <t>CA-2014-101613</t>
  </si>
  <si>
    <t>US-2016-101614</t>
  </si>
  <si>
    <t>CA-2017-101615</t>
  </si>
  <si>
    <t>US-2014-101616</t>
  </si>
  <si>
    <t>US-2015-101617</t>
  </si>
  <si>
    <t>CA-2014-101618</t>
  </si>
  <si>
    <t>US-2017-101619</t>
  </si>
  <si>
    <t>CA-2015-101620</t>
  </si>
  <si>
    <t>US-2016-101621</t>
  </si>
  <si>
    <t>US-2016-101622</t>
  </si>
  <si>
    <t>US-2015-101623</t>
  </si>
  <si>
    <t>US-2014-101624</t>
  </si>
  <si>
    <t>US-2017-101625</t>
  </si>
  <si>
    <t>US-2014-101626</t>
  </si>
  <si>
    <t>FA-21263</t>
  </si>
  <si>
    <t>Felicia Aguilar</t>
  </si>
  <si>
    <t>US-2014-101627</t>
  </si>
  <si>
    <t>CA-2014-101628</t>
  </si>
  <si>
    <t>US-2017-101629</t>
  </si>
  <si>
    <t>US-2014-101630</t>
  </si>
  <si>
    <t>CA-2014-101631</t>
  </si>
  <si>
    <t>CA-2014-101632</t>
  </si>
  <si>
    <t>US-2017-101633</t>
  </si>
  <si>
    <t>US-2014-101634</t>
  </si>
  <si>
    <t>CR-17062</t>
  </si>
  <si>
    <t>Cynthia Rowe</t>
  </si>
  <si>
    <t>CA-2014-101635</t>
  </si>
  <si>
    <t>US-2016-101636</t>
  </si>
  <si>
    <t>US-2014-101637</t>
  </si>
  <si>
    <t>KR-19763</t>
  </si>
  <si>
    <t>Kathy Rivas</t>
  </si>
  <si>
    <t>CA-2016-101638</t>
  </si>
  <si>
    <t>US-2014-101639</t>
  </si>
  <si>
    <t>TM-11530</t>
  </si>
  <si>
    <t>Tammy Mcdowell</t>
  </si>
  <si>
    <t>CA-2014-101640</t>
  </si>
  <si>
    <t>CA-2015-101641</t>
  </si>
  <si>
    <t>DH-20868</t>
  </si>
  <si>
    <t>Diana Hays</t>
  </si>
  <si>
    <t>CA-2016-101642</t>
  </si>
  <si>
    <t>CA-2014-101643</t>
  </si>
  <si>
    <t>US-2016-101644</t>
  </si>
  <si>
    <t>US-2017-101645</t>
  </si>
  <si>
    <t>CA-2017-101646</t>
  </si>
  <si>
    <t>US-2016-101647</t>
  </si>
  <si>
    <t>CA-2016-101648</t>
  </si>
  <si>
    <t>AS-12286</t>
  </si>
  <si>
    <t>Abigail Shaffer</t>
  </si>
  <si>
    <t>CA-2016-101649</t>
  </si>
  <si>
    <t>CA-2016-101650</t>
  </si>
  <si>
    <t>CA-2015-101651</t>
  </si>
  <si>
    <t>US-2017-101652</t>
  </si>
  <si>
    <t>US-2017-101653</t>
  </si>
  <si>
    <t>CJ-16939</t>
  </si>
  <si>
    <t>Chad Jones</t>
  </si>
  <si>
    <t>US-2017-101654</t>
  </si>
  <si>
    <t>US-2015-101655</t>
  </si>
  <si>
    <t>CA-2016-101656</t>
  </si>
  <si>
    <t>US-2014-101657</t>
  </si>
  <si>
    <t>AH-20244</t>
  </si>
  <si>
    <t>Alex Hernandez</t>
  </si>
  <si>
    <t>CA-2017-101658</t>
  </si>
  <si>
    <t>CA-2017-101659</t>
  </si>
  <si>
    <t>US-2016-101660</t>
  </si>
  <si>
    <t>CA-2014-101661</t>
  </si>
  <si>
    <t>US-2016-101662</t>
  </si>
  <si>
    <t>SM-19125</t>
  </si>
  <si>
    <t>Stephen Mckee</t>
  </si>
  <si>
    <t>US-2016-101663</t>
  </si>
  <si>
    <t>CA-2014-101664</t>
  </si>
  <si>
    <t>US-2014-101665</t>
  </si>
  <si>
    <t>CA-2014-101666</t>
  </si>
  <si>
    <t>CA-2015-101667</t>
  </si>
  <si>
    <t>US-2015-101668</t>
  </si>
  <si>
    <t>CA-2015-101669</t>
  </si>
  <si>
    <t>CA-2015-101670</t>
  </si>
  <si>
    <t>CA-2015-101671</t>
  </si>
  <si>
    <t>US-2015-101672</t>
  </si>
  <si>
    <t>US-2017-101673</t>
  </si>
  <si>
    <t>CA-2016-101674</t>
  </si>
  <si>
    <t>DW-13910</t>
  </si>
  <si>
    <t>Debra White</t>
  </si>
  <si>
    <t>US-2015-101675</t>
  </si>
  <si>
    <t>US-2015-101676</t>
  </si>
  <si>
    <t>CA-2016-101677</t>
  </si>
  <si>
    <t>CA-2017-101678</t>
  </si>
  <si>
    <t>CA-2015-101679</t>
  </si>
  <si>
    <t>MM-19543</t>
  </si>
  <si>
    <t>Marie Moody</t>
  </si>
  <si>
    <t>CA-2014-101680</t>
  </si>
  <si>
    <t>US-2014-101681</t>
  </si>
  <si>
    <t>US-2017-101682</t>
  </si>
  <si>
    <t>US-2017-101683</t>
  </si>
  <si>
    <t>US-2014-101684</t>
  </si>
  <si>
    <t>WH-12471</t>
  </si>
  <si>
    <t>William Harrison</t>
  </si>
  <si>
    <t>US-2017-101685</t>
  </si>
  <si>
    <t>CA-2016-101686</t>
  </si>
  <si>
    <t>CA-2017-101687</t>
  </si>
  <si>
    <t>US-2015-101688</t>
  </si>
  <si>
    <t>CA-2014-101689</t>
  </si>
  <si>
    <t>CA-2016-101690</t>
  </si>
  <si>
    <t>CA-2017-101691</t>
  </si>
  <si>
    <t>US-2014-101692</t>
  </si>
  <si>
    <t>CA-2015-101693</t>
  </si>
  <si>
    <t>US-2014-101694</t>
  </si>
  <si>
    <t>CA-2015-101695</t>
  </si>
  <si>
    <t>CA-2016-101696</t>
  </si>
  <si>
    <t>Sum of Sales</t>
  </si>
  <si>
    <t>Sum of Quantity</t>
  </si>
  <si>
    <t>Sum of Profit</t>
  </si>
  <si>
    <t>SALES</t>
  </si>
  <si>
    <t>Row Labels</t>
  </si>
  <si>
    <t>Grand Total</t>
  </si>
  <si>
    <t>2014</t>
  </si>
  <si>
    <t>2015</t>
  </si>
  <si>
    <t>2016</t>
  </si>
  <si>
    <t>2017</t>
  </si>
  <si>
    <t>Check Selected Year</t>
  </si>
  <si>
    <t>Total Profit</t>
  </si>
  <si>
    <t>Year</t>
  </si>
  <si>
    <t>Percentage</t>
  </si>
  <si>
    <t>Selected Year</t>
  </si>
  <si>
    <t>Prev. Year</t>
  </si>
  <si>
    <t>YoY Change</t>
  </si>
  <si>
    <t>Total Sales</t>
  </si>
  <si>
    <t>Total Quantity</t>
  </si>
  <si>
    <t>Sales Trend</t>
  </si>
  <si>
    <t>Sales by state</t>
  </si>
  <si>
    <t>STATES</t>
  </si>
  <si>
    <t>Top Selling Cities</t>
  </si>
  <si>
    <t>Order by Duration</t>
  </si>
  <si>
    <t>Count of Order ID</t>
  </si>
  <si>
    <t>Orders by Shipping Mode</t>
  </si>
  <si>
    <t>Sales by Category</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</si>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</sst>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dd/yyyy"/>
    <numFmt numFmtId="165" formatCode="[&gt;=1000000]\$0.0,,&quot;M&quot;;[&gt;=1000]\$0.0,&quot;K&quot;;0"/>
    <numFmt numFmtId="166" formatCode="0.0%"/>
    <numFmt numFmtId="167" formatCode="\+0.00%;\-0.00%;0.00%"/>
    <numFmt numFmtId="168" formatCode="[&gt;=1000000]\$0.0,,&quot;M&quot;;[&gt;=1000]\$0.0,&quot;K&quot;;\$0"/>
  </numFmts>
  <fonts count="4" x14ac:knownFonts="1">
    <font>
      <sz val="11"/>
      <color theme="1"/>
      <name val="Calibri"/>
      <family val="2"/>
      <scheme val="minor"/>
    </font>
    <font>
      <b/>
      <sz val="11"/>
      <color rgb="FFFFFFFF"/>
      <name val="Arial"/>
      <family val="2"/>
    </font>
    <font>
      <sz val="10"/>
      <name val="Arial"/>
      <family val="2"/>
    </font>
    <font>
      <sz val="11"/>
      <color theme="1"/>
      <name val="Calibri"/>
      <family val="2"/>
      <scheme val="minor"/>
    </font>
  </fonts>
  <fills count="5">
    <fill>
      <patternFill patternType="none"/>
    </fill>
    <fill>
      <patternFill patternType="gray125"/>
    </fill>
    <fill>
      <patternFill patternType="solid">
        <fgColor rgb="FF385F7C"/>
      </patternFill>
    </fill>
    <fill>
      <patternFill patternType="solid">
        <fgColor rgb="FFFFFF00"/>
        <bgColor indexed="64"/>
      </patternFill>
    </fill>
    <fill>
      <patternFill patternType="solid">
        <fgColor theme="0" tint="-0.3499862666707357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9" fontId="3" fillId="0" borderId="0" applyFont="0" applyFill="0" applyBorder="0" applyAlignment="0" applyProtection="0"/>
  </cellStyleXfs>
  <cellXfs count="30">
    <xf numFmtId="0" fontId="0" fillId="0" borderId="0" xfId="0"/>
    <xf numFmtId="0" fontId="1" fillId="2" borderId="0" xfId="0" applyFont="1" applyFill="1" applyAlignment="1">
      <alignment horizontal="center"/>
    </xf>
    <xf numFmtId="0" fontId="2" fillId="0" borderId="0" xfId="0" applyFont="1"/>
    <xf numFmtId="164" fontId="2" fillId="0" borderId="0" xfId="0" applyNumberFormat="1" applyFont="1"/>
    <xf numFmtId="0" fontId="2" fillId="0" borderId="0" xfId="0" applyNumberFormat="1" applyFont="1"/>
    <xf numFmtId="0" fontId="0" fillId="0" borderId="0" xfId="0" applyNumberFormat="1"/>
    <xf numFmtId="165" fontId="0" fillId="0" borderId="0" xfId="0" applyNumberFormat="1"/>
    <xf numFmtId="9" fontId="0" fillId="0" borderId="0" xfId="1" applyFont="1"/>
    <xf numFmtId="0" fontId="0" fillId="0" borderId="0" xfId="0" pivotButton="1"/>
    <xf numFmtId="0" fontId="0" fillId="0" borderId="0" xfId="0" applyAlignment="1">
      <alignment horizontal="left"/>
    </xf>
    <xf numFmtId="0" fontId="0" fillId="3" borderId="0" xfId="0" applyFill="1"/>
    <xf numFmtId="0" fontId="0" fillId="4" borderId="1" xfId="0" applyFill="1" applyBorder="1"/>
    <xf numFmtId="0" fontId="0" fillId="0" borderId="1" xfId="0" applyBorder="1"/>
    <xf numFmtId="166" fontId="0" fillId="0" borderId="1" xfId="1" applyNumberFormat="1" applyFont="1" applyBorder="1"/>
    <xf numFmtId="167" fontId="0" fillId="4" borderId="1" xfId="0" applyNumberFormat="1" applyFill="1" applyBorder="1"/>
    <xf numFmtId="0" fontId="0" fillId="0" borderId="1" xfId="0" applyBorder="1" applyAlignment="1">
      <alignment horizontal="right"/>
    </xf>
    <xf numFmtId="9" fontId="0" fillId="0" borderId="0" xfId="0" applyNumberFormat="1"/>
    <xf numFmtId="0" fontId="0" fillId="0" borderId="0" xfId="0" pivotButton="1" applyNumberFormat="1"/>
    <xf numFmtId="0" fontId="0" fillId="0" borderId="0" xfId="0" applyNumberFormat="1" applyAlignment="1">
      <alignment horizontal="left"/>
    </xf>
    <xf numFmtId="0" fontId="0" fillId="0" borderId="0" xfId="0" applyFill="1" applyAlignment="1"/>
    <xf numFmtId="0" fontId="0" fillId="0" borderId="2" xfId="0" applyBorder="1"/>
    <xf numFmtId="0" fontId="0" fillId="0" borderId="3" xfId="0" applyBorder="1"/>
    <xf numFmtId="0" fontId="0" fillId="0" borderId="4" xfId="0" applyBorder="1"/>
    <xf numFmtId="168" fontId="0" fillId="0" borderId="0" xfId="0" applyNumberFormat="1"/>
    <xf numFmtId="0" fontId="0" fillId="0" borderId="5" xfId="0" applyNumberFormat="1" applyBorder="1"/>
    <xf numFmtId="0" fontId="0" fillId="0" borderId="6" xfId="0" applyNumberFormat="1" applyBorder="1"/>
    <xf numFmtId="0" fontId="0" fillId="0" borderId="7" xfId="0" applyNumberFormat="1" applyBorder="1"/>
    <xf numFmtId="0" fontId="0" fillId="0" borderId="8" xfId="0" applyNumberFormat="1" applyBorder="1"/>
    <xf numFmtId="0" fontId="0" fillId="0" borderId="9" xfId="0" applyNumberFormat="1" applyBorder="1"/>
    <xf numFmtId="0" fontId="0" fillId="0" borderId="10" xfId="0" applyNumberFormat="1" applyBorder="1"/>
  </cellXfs>
  <cellStyles count="2">
    <cellStyle name="Normal" xfId="0" builtinId="0"/>
    <cellStyle name="Percent" xfId="1" builtinId="5"/>
  </cellStyles>
  <dxfs count="5">
    <dxf>
      <numFmt numFmtId="0" formatCode="General"/>
    </dxf>
    <dxf>
      <numFmt numFmtId="0" formatCode="General"/>
    </dxf>
    <dxf>
      <numFmt numFmtId="0" formatCode="General"/>
    </dxf>
    <dxf>
      <font>
        <b/>
        <color theme="1"/>
      </font>
      <border>
        <bottom style="thin">
          <color theme="6"/>
        </bottom>
        <vertical/>
        <horizontal/>
      </border>
    </dxf>
    <dxf>
      <font>
        <color theme="1"/>
      </font>
      <fill>
        <patternFill>
          <bgColor rgb="FFE1F1E1"/>
        </patternFill>
      </fill>
      <border>
        <left/>
        <right/>
        <top/>
        <bottom/>
        <vertical/>
        <horizontal/>
      </border>
    </dxf>
  </dxfs>
  <tableStyles count="1" defaultTableStyle="TableStyleMedium9" defaultPivotStyle="PivotStyleLight16">
    <tableStyle name="SlicerStyleLight3 2" pivot="0" table="0" count="10" xr9:uid="{E28E0C3B-DAAE-4EF4-A22D-CC08BF543AC5}">
      <tableStyleElement type="wholeTable" dxfId="4"/>
      <tableStyleElement type="headerRow" dxfId="3"/>
    </tableStyle>
  </tableStyles>
  <colors>
    <mruColors>
      <color rgb="FFBAFAC5"/>
      <color rgb="FFE1F1E1"/>
      <color rgb="FFF9FBFC"/>
      <color rgb="FFF8F9FA"/>
      <color rgb="FFCCE8CC"/>
      <color rgb="FF7F7F7F"/>
      <color rgb="FF387C38"/>
      <color rgb="FFF0F4F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indexed="64"/>
              <bgColor rgb="FFF9FBF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rgb="FFE1F1E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[furniture sales.xlsm]ANALYSIS!PivotTable8</c:name>
    <c:fmtId val="8"/>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4"/>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5"/>
        <c:spPr>
          <a:ln>
            <a:no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E1F1E1"/>
          </a:solidFill>
          <a:ln w="19050">
            <a:noFill/>
          </a:ln>
          <a:effectLst/>
        </c:spPr>
        <c:dLbl>
          <c:idx val="0"/>
          <c:layout>
            <c:manualLayout>
              <c:x val="-4.7076603600455381E-2"/>
              <c:y val="-1.88570320485110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F7F7F"/>
          </a:solidFill>
          <a:ln w="19050">
            <a:noFill/>
          </a:ln>
          <a:effectLst/>
        </c:spPr>
        <c:dLbl>
          <c:idx val="0"/>
          <c:layout>
            <c:manualLayout>
              <c:x val="-2.4157110753572925E-2"/>
              <c:y val="-1.619133837475982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6.0606748405377282E-2"/>
                  <c:h val="7.6883637368711996E-2"/>
                </c:manualLayout>
              </c15:layout>
            </c:ext>
          </c:extLst>
        </c:dLbl>
      </c:pivotFmt>
      <c:pivotFmt>
        <c:idx val="28"/>
        <c:spPr>
          <a:solidFill>
            <a:srgbClr val="CCE8CC"/>
          </a:solidFill>
          <a:ln w="19050">
            <a:noFill/>
          </a:ln>
          <a:effectLst/>
        </c:spPr>
        <c:dLbl>
          <c:idx val="0"/>
          <c:layout>
            <c:manualLayout>
              <c:x val="-3.8077651958312357E-2"/>
              <c:y val="-1.20615195672461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387C38"/>
          </a:solidFill>
          <a:ln w="19050">
            <a:noFill/>
          </a:ln>
          <a:effectLst/>
        </c:spPr>
        <c:dLbl>
          <c:idx val="0"/>
          <c:layout>
            <c:manualLayout>
              <c:x val="4.2274800967270855E-2"/>
              <c:y val="0.18292092707580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9735792507933"/>
          <c:y val="4.4948866777224983E-2"/>
          <c:w val="0.35684784752443383"/>
          <c:h val="0.93642896627971239"/>
        </c:manualLayout>
      </c:layout>
      <c:pieChart>
        <c:varyColors val="1"/>
        <c:ser>
          <c:idx val="0"/>
          <c:order val="0"/>
          <c:tx>
            <c:strRef>
              <c:f>ANALYSIS!$G$30</c:f>
              <c:strCache>
                <c:ptCount val="1"/>
                <c:pt idx="0">
                  <c:v>Total</c:v>
                </c:pt>
              </c:strCache>
            </c:strRef>
          </c:tx>
          <c:spPr>
            <a:ln>
              <a:noFill/>
            </a:ln>
          </c:spPr>
          <c:dPt>
            <c:idx val="0"/>
            <c:bubble3D val="0"/>
            <c:spPr>
              <a:solidFill>
                <a:srgbClr val="E1F1E1"/>
              </a:solidFill>
              <a:ln w="19050">
                <a:noFill/>
              </a:ln>
              <a:effectLst/>
            </c:spPr>
            <c:extLst>
              <c:ext xmlns:c16="http://schemas.microsoft.com/office/drawing/2014/chart" uri="{C3380CC4-5D6E-409C-BE32-E72D297353CC}">
                <c16:uniqueId val="{0000000B-6E8B-4B59-BC97-0096B1931B94}"/>
              </c:ext>
            </c:extLst>
          </c:dPt>
          <c:dPt>
            <c:idx val="1"/>
            <c:bubble3D val="0"/>
            <c:spPr>
              <a:solidFill>
                <a:srgbClr val="7F7F7F"/>
              </a:solidFill>
              <a:ln w="19050">
                <a:noFill/>
              </a:ln>
              <a:effectLst/>
            </c:spPr>
            <c:extLst>
              <c:ext xmlns:c16="http://schemas.microsoft.com/office/drawing/2014/chart" uri="{C3380CC4-5D6E-409C-BE32-E72D297353CC}">
                <c16:uniqueId val="{0000000D-6E8B-4B59-BC97-0096B1931B94}"/>
              </c:ext>
            </c:extLst>
          </c:dPt>
          <c:dPt>
            <c:idx val="2"/>
            <c:bubble3D val="0"/>
            <c:spPr>
              <a:solidFill>
                <a:srgbClr val="CCE8CC"/>
              </a:solidFill>
              <a:ln w="19050">
                <a:noFill/>
              </a:ln>
              <a:effectLst/>
            </c:spPr>
            <c:extLst>
              <c:ext xmlns:c16="http://schemas.microsoft.com/office/drawing/2014/chart" uri="{C3380CC4-5D6E-409C-BE32-E72D297353CC}">
                <c16:uniqueId val="{0000000F-6E8B-4B59-BC97-0096B1931B94}"/>
              </c:ext>
            </c:extLst>
          </c:dPt>
          <c:dPt>
            <c:idx val="3"/>
            <c:bubble3D val="0"/>
            <c:spPr>
              <a:solidFill>
                <a:srgbClr val="387C38"/>
              </a:solidFill>
              <a:ln w="19050">
                <a:noFill/>
              </a:ln>
              <a:effectLst/>
            </c:spPr>
            <c:extLst>
              <c:ext xmlns:c16="http://schemas.microsoft.com/office/drawing/2014/chart" uri="{C3380CC4-5D6E-409C-BE32-E72D297353CC}">
                <c16:uniqueId val="{00000011-6E8B-4B59-BC97-0096B1931B94}"/>
              </c:ext>
            </c:extLst>
          </c:dPt>
          <c:dLbls>
            <c:dLbl>
              <c:idx val="0"/>
              <c:layout>
                <c:manualLayout>
                  <c:x val="-4.7076603600455381E-2"/>
                  <c:y val="-1.88570320485110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E8B-4B59-BC97-0096B1931B94}"/>
                </c:ext>
              </c:extLst>
            </c:dLbl>
            <c:dLbl>
              <c:idx val="1"/>
              <c:layout>
                <c:manualLayout>
                  <c:x val="-2.4157110753572925E-2"/>
                  <c:y val="-1.619133837475982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6.0606748405377282E-2"/>
                      <c:h val="7.6883637368711996E-2"/>
                    </c:manualLayout>
                  </c15:layout>
                </c:ext>
                <c:ext xmlns:c16="http://schemas.microsoft.com/office/drawing/2014/chart" uri="{C3380CC4-5D6E-409C-BE32-E72D297353CC}">
                  <c16:uniqueId val="{0000000D-6E8B-4B59-BC97-0096B1931B94}"/>
                </c:ext>
              </c:extLst>
            </c:dLbl>
            <c:dLbl>
              <c:idx val="2"/>
              <c:layout>
                <c:manualLayout>
                  <c:x val="-3.8077651958312357E-2"/>
                  <c:y val="-1.206151956724612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E8B-4B59-BC97-0096B1931B94}"/>
                </c:ext>
              </c:extLst>
            </c:dLbl>
            <c:dLbl>
              <c:idx val="3"/>
              <c:layout>
                <c:manualLayout>
                  <c:x val="4.2274800967270855E-2"/>
                  <c:y val="0.182920927075800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E8B-4B59-BC97-0096B1931B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bestFit"/>
            <c:showLegendKey val="0"/>
            <c:showVal val="1"/>
            <c:showCatName val="0"/>
            <c:showSerName val="0"/>
            <c:showPercent val="0"/>
            <c:showBubbleSize val="0"/>
            <c:showLeaderLines val="1"/>
            <c:leaderLines>
              <c:spPr>
                <a:ln w="15875" cap="flat" cmpd="sng" algn="ctr">
                  <a:solidFill>
                    <a:schemeClr val="tx1">
                      <a:lumMod val="35000"/>
                      <a:lumOff val="65000"/>
                    </a:schemeClr>
                  </a:solidFill>
                  <a:prstDash val="sysDash"/>
                  <a:round/>
                </a:ln>
                <a:effectLst/>
              </c:spPr>
            </c:leaderLines>
            <c:extLst>
              <c:ext xmlns:c15="http://schemas.microsoft.com/office/drawing/2012/chart" uri="{CE6537A1-D6FC-4f65-9D91-7224C49458BB}"/>
            </c:extLst>
          </c:dLbls>
          <c:cat>
            <c:strRef>
              <c:f>ANALYSIS!$F$31:$F$35</c:f>
              <c:strCache>
                <c:ptCount val="4"/>
                <c:pt idx="0">
                  <c:v>First Class</c:v>
                </c:pt>
                <c:pt idx="1">
                  <c:v>Same Day</c:v>
                </c:pt>
                <c:pt idx="2">
                  <c:v>Second Class</c:v>
                </c:pt>
                <c:pt idx="3">
                  <c:v>Standard Class</c:v>
                </c:pt>
              </c:strCache>
            </c:strRef>
          </c:cat>
          <c:val>
            <c:numRef>
              <c:f>ANALYSIS!$G$31:$G$35</c:f>
              <c:numCache>
                <c:formatCode>0%</c:formatCode>
                <c:ptCount val="4"/>
                <c:pt idx="0">
                  <c:v>0.14757190004714757</c:v>
                </c:pt>
                <c:pt idx="1">
                  <c:v>5.3748231966053751E-2</c:v>
                </c:pt>
                <c:pt idx="2">
                  <c:v>0.18906176331918906</c:v>
                </c:pt>
                <c:pt idx="3">
                  <c:v>0.60961810466760957</c:v>
                </c:pt>
              </c:numCache>
            </c:numRef>
          </c:val>
          <c:extLst>
            <c:ext xmlns:c16="http://schemas.microsoft.com/office/drawing/2014/chart" uri="{C3380CC4-5D6E-409C-BE32-E72D297353CC}">
              <c16:uniqueId val="{00000012-6E8B-4B59-BC97-0096B1931B94}"/>
            </c:ext>
          </c:extLst>
        </c:ser>
        <c:dLbls>
          <c:dLblPos val="bestFit"/>
          <c:showLegendKey val="0"/>
          <c:showVal val="1"/>
          <c:showCatName val="0"/>
          <c:showSerName val="0"/>
          <c:showPercent val="0"/>
          <c:showBubbleSize val="0"/>
          <c:showLeaderLines val="1"/>
        </c:dLbls>
        <c:firstSliceAng val="20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NG"/>
        </a:p>
      </c:txPr>
    </c:legend>
    <c:plotVisOnly val="1"/>
    <c:dispBlanksAs val="gap"/>
    <c:showDLblsOverMax val="0"/>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[furniture sales.xlsm]ANALYSIS!PivotTable3</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387C38"/>
            </a:solidFill>
            <a:prstDash val="sysDot"/>
            <a:round/>
          </a:ln>
          <a:effectLst/>
        </c:spPr>
        <c:marker>
          <c:symbol val="circle"/>
          <c:size val="8"/>
          <c:spPr>
            <a:solidFill>
              <a:srgbClr val="387C38"/>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7578614760618"/>
          <c:w val="0.93888888888888888"/>
          <c:h val="0.71681445060708082"/>
        </c:manualLayout>
      </c:layout>
      <c:lineChart>
        <c:grouping val="standard"/>
        <c:varyColors val="0"/>
        <c:ser>
          <c:idx val="0"/>
          <c:order val="0"/>
          <c:tx>
            <c:strRef>
              <c:f>ANALYSIS!$B$17</c:f>
              <c:strCache>
                <c:ptCount val="1"/>
                <c:pt idx="0">
                  <c:v>Total</c:v>
                </c:pt>
              </c:strCache>
            </c:strRef>
          </c:tx>
          <c:spPr>
            <a:ln w="19050" cap="rnd">
              <a:solidFill>
                <a:srgbClr val="387C38"/>
              </a:solidFill>
              <a:prstDash val="sysDot"/>
              <a:round/>
            </a:ln>
            <a:effectLst/>
          </c:spPr>
          <c:marker>
            <c:symbol val="circle"/>
            <c:size val="8"/>
            <c:spPr>
              <a:solidFill>
                <a:srgbClr val="387C38"/>
              </a:solidFill>
              <a:ln w="9525">
                <a:noFill/>
              </a:ln>
              <a:effectLst/>
            </c:spPr>
          </c:marker>
          <c:cat>
            <c:strRef>
              <c:f>ANALYSIS!$A$18:$A$30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ANALYSIS!$B$18:$B$30</c:f>
              <c:numCache>
                <c:formatCode>[&gt;=1000000]\$0.0,,"M";[&gt;=1000]\$0.0,"K";0</c:formatCode>
                <c:ptCount val="12"/>
                <c:pt idx="0">
                  <c:v>51260.194500000005</c:v>
                </c:pt>
                <c:pt idx="1">
                  <c:v>68609.704699999987</c:v>
                </c:pt>
                <c:pt idx="2">
                  <c:v>55957.389900000016</c:v>
                </c:pt>
                <c:pt idx="3">
                  <c:v>70015.573299999975</c:v>
                </c:pt>
                <c:pt idx="4">
                  <c:v>65823.646000000022</c:v>
                </c:pt>
                <c:pt idx="5">
                  <c:v>69109.172299999977</c:v>
                </c:pt>
                <c:pt idx="6">
                  <c:v>55360.315700000043</c:v>
                </c:pt>
                <c:pt idx="7">
                  <c:v>51453.507300000012</c:v>
                </c:pt>
                <c:pt idx="8">
                  <c:v>56100.978300000024</c:v>
                </c:pt>
                <c:pt idx="9">
                  <c:v>75497.139300000039</c:v>
                </c:pt>
                <c:pt idx="10">
                  <c:v>59645.013199999994</c:v>
                </c:pt>
                <c:pt idx="11">
                  <c:v>63231.492699999995</c:v>
                </c:pt>
              </c:numCache>
            </c:numRef>
          </c:val>
          <c:smooth val="1"/>
          <c:extLst>
            <c:ext xmlns:c16="http://schemas.microsoft.com/office/drawing/2014/chart" uri="{C3380CC4-5D6E-409C-BE32-E72D297353CC}">
              <c16:uniqueId val="{00000000-F50D-4373-B0ED-E06BA7589C3B}"/>
            </c:ext>
          </c:extLst>
        </c:ser>
        <c:dLbls>
          <c:showLegendKey val="0"/>
          <c:showVal val="0"/>
          <c:showCatName val="0"/>
          <c:showSerName val="0"/>
          <c:showPercent val="0"/>
          <c:showBubbleSize val="0"/>
        </c:dLbls>
        <c:marker val="1"/>
        <c:smooth val="0"/>
        <c:axId val="1578703535"/>
        <c:axId val="1578707375"/>
      </c:lineChart>
      <c:catAx>
        <c:axId val="157870353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NG"/>
          </a:p>
        </c:txPr>
        <c:crossAx val="1578707375"/>
        <c:crosses val="autoZero"/>
        <c:auto val="1"/>
        <c:lblAlgn val="ctr"/>
        <c:lblOffset val="100"/>
        <c:noMultiLvlLbl val="0"/>
      </c:catAx>
      <c:valAx>
        <c:axId val="1578707375"/>
        <c:scaling>
          <c:orientation val="minMax"/>
        </c:scaling>
        <c:delete val="1"/>
        <c:axPos val="l"/>
        <c:numFmt formatCode="[&gt;=1000000]\$0.0,,&quot;M&quot;;[&gt;=1000]\$0.0,&quot;K&quot;;0" sourceLinked="1"/>
        <c:majorTickMark val="none"/>
        <c:minorTickMark val="none"/>
        <c:tickLblPos val="nextTo"/>
        <c:crossAx val="1578703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27314814814814814"/>
          <c:w val="0.93888888888888888"/>
          <c:h val="0.61945246427529888"/>
        </c:manualLayout>
      </c:layout>
      <c:lineChart>
        <c:grouping val="standard"/>
        <c:varyColors val="0"/>
        <c:ser>
          <c:idx val="0"/>
          <c:order val="0"/>
          <c:tx>
            <c:strRef>
              <c:f>ANALYSIS!$J$17</c:f>
              <c:strCache>
                <c:ptCount val="1"/>
                <c:pt idx="0">
                  <c:v>Value</c:v>
                </c:pt>
              </c:strCache>
            </c:strRef>
          </c:tx>
          <c:spPr>
            <a:ln w="28575" cap="rnd">
              <a:noFill/>
              <a:round/>
            </a:ln>
            <a:effectLst/>
          </c:spPr>
          <c:marker>
            <c:symbol val="circle"/>
            <c:size val="10"/>
            <c:spPr>
              <a:solidFill>
                <a:srgbClr val="387C38"/>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cust"/>
            <c:noEndCap val="1"/>
            <c:plus>
              <c:numRef>
                <c:f>ANALYSIS!$J$18:$J$25</c:f>
                <c:numCache>
                  <c:formatCode>General</c:formatCode>
                  <c:ptCount val="8"/>
                  <c:pt idx="0">
                    <c:v>0.21404997642621404</c:v>
                  </c:pt>
                  <c:pt idx="1">
                    <c:v>0.15794436586515795</c:v>
                  </c:pt>
                  <c:pt idx="2">
                    <c:v>0.17114568599717114</c:v>
                  </c:pt>
                  <c:pt idx="3">
                    <c:v>0.11315417256011315</c:v>
                  </c:pt>
                  <c:pt idx="4">
                    <c:v>0.11504007543611504</c:v>
                  </c:pt>
                  <c:pt idx="5">
                    <c:v>8.0622347949080617E-2</c:v>
                  </c:pt>
                  <c:pt idx="6">
                    <c:v>7.6850542197076849E-2</c:v>
                  </c:pt>
                  <c:pt idx="7">
                    <c:v>7.119283356907119E-2</c:v>
                  </c:pt>
                </c:numCache>
              </c:numRef>
            </c:plus>
            <c:minus>
              <c:numRef>
                <c:f>ANALYSIS!$J$18:$J$25</c:f>
                <c:numCache>
                  <c:formatCode>General</c:formatCode>
                  <c:ptCount val="8"/>
                  <c:pt idx="0">
                    <c:v>0.21404997642621404</c:v>
                  </c:pt>
                  <c:pt idx="1">
                    <c:v>0.15794436586515795</c:v>
                  </c:pt>
                  <c:pt idx="2">
                    <c:v>0.17114568599717114</c:v>
                  </c:pt>
                  <c:pt idx="3">
                    <c:v>0.11315417256011315</c:v>
                  </c:pt>
                  <c:pt idx="4">
                    <c:v>0.11504007543611504</c:v>
                  </c:pt>
                  <c:pt idx="5">
                    <c:v>8.0622347949080617E-2</c:v>
                  </c:pt>
                  <c:pt idx="6">
                    <c:v>7.6850542197076849E-2</c:v>
                  </c:pt>
                  <c:pt idx="7">
                    <c:v>7.119283356907119E-2</c:v>
                  </c:pt>
                </c:numCache>
              </c:numRef>
            </c:minus>
            <c:spPr>
              <a:noFill/>
              <a:ln w="19050" cap="flat" cmpd="sng" algn="ctr">
                <a:solidFill>
                  <a:schemeClr val="tx1">
                    <a:lumMod val="65000"/>
                    <a:lumOff val="35000"/>
                  </a:schemeClr>
                </a:solidFill>
                <a:prstDash val="sysDot"/>
                <a:round/>
              </a:ln>
              <a:effectLst/>
            </c:spPr>
          </c:errBars>
          <c:cat>
            <c:strRef>
              <c:f>ANALYSIS!$I$18:$I$25</c:f>
              <c:strCache>
                <c:ptCount val="8"/>
                <c:pt idx="0">
                  <c:v>0- days</c:v>
                </c:pt>
                <c:pt idx="1">
                  <c:v>1- days</c:v>
                </c:pt>
                <c:pt idx="2">
                  <c:v>2- days</c:v>
                </c:pt>
                <c:pt idx="3">
                  <c:v>3- days</c:v>
                </c:pt>
                <c:pt idx="4">
                  <c:v>4- days</c:v>
                </c:pt>
                <c:pt idx="5">
                  <c:v>5- days</c:v>
                </c:pt>
                <c:pt idx="6">
                  <c:v>6- days</c:v>
                </c:pt>
                <c:pt idx="7">
                  <c:v>7- days</c:v>
                </c:pt>
              </c:strCache>
            </c:strRef>
          </c:cat>
          <c:val>
            <c:numRef>
              <c:f>ANALYSIS!$J$18:$J$25</c:f>
              <c:numCache>
                <c:formatCode>0%</c:formatCode>
                <c:ptCount val="8"/>
                <c:pt idx="0">
                  <c:v>0.21404997642621404</c:v>
                </c:pt>
                <c:pt idx="1">
                  <c:v>0.15794436586515795</c:v>
                </c:pt>
                <c:pt idx="2">
                  <c:v>0.17114568599717114</c:v>
                </c:pt>
                <c:pt idx="3">
                  <c:v>0.11315417256011315</c:v>
                </c:pt>
                <c:pt idx="4">
                  <c:v>0.11504007543611504</c:v>
                </c:pt>
                <c:pt idx="5">
                  <c:v>8.0622347949080617E-2</c:v>
                </c:pt>
                <c:pt idx="6">
                  <c:v>7.6850542197076849E-2</c:v>
                </c:pt>
                <c:pt idx="7">
                  <c:v>7.119283356907119E-2</c:v>
                </c:pt>
              </c:numCache>
            </c:numRef>
          </c:val>
          <c:smooth val="0"/>
          <c:extLst>
            <c:ext xmlns:c16="http://schemas.microsoft.com/office/drawing/2014/chart" uri="{C3380CC4-5D6E-409C-BE32-E72D297353CC}">
              <c16:uniqueId val="{00000000-D0BC-42F4-82C2-CA8D271E7C40}"/>
            </c:ext>
          </c:extLst>
        </c:ser>
        <c:dLbls>
          <c:dLblPos val="t"/>
          <c:showLegendKey val="0"/>
          <c:showVal val="1"/>
          <c:showCatName val="0"/>
          <c:showSerName val="0"/>
          <c:showPercent val="0"/>
          <c:showBubbleSize val="0"/>
        </c:dLbls>
        <c:marker val="1"/>
        <c:smooth val="0"/>
        <c:axId val="1824779087"/>
        <c:axId val="1824791567"/>
      </c:lineChart>
      <c:catAx>
        <c:axId val="182477908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NG"/>
          </a:p>
        </c:txPr>
        <c:crossAx val="1824791567"/>
        <c:crosses val="autoZero"/>
        <c:auto val="1"/>
        <c:lblAlgn val="ctr"/>
        <c:lblOffset val="100"/>
        <c:noMultiLvlLbl val="0"/>
      </c:catAx>
      <c:valAx>
        <c:axId val="1824791567"/>
        <c:scaling>
          <c:orientation val="minMax"/>
        </c:scaling>
        <c:delete val="1"/>
        <c:axPos val="l"/>
        <c:numFmt formatCode="0%" sourceLinked="1"/>
        <c:majorTickMark val="none"/>
        <c:minorTickMark val="none"/>
        <c:tickLblPos val="nextTo"/>
        <c:crossAx val="182477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70647419072615"/>
          <c:y val="0.2361111111111111"/>
          <c:w val="0.80573797025371829"/>
          <c:h val="0.71296296296296291"/>
        </c:manualLayout>
      </c:layout>
      <c:barChart>
        <c:barDir val="bar"/>
        <c:grouping val="stacked"/>
        <c:varyColors val="0"/>
        <c:ser>
          <c:idx val="0"/>
          <c:order val="0"/>
          <c:spPr>
            <a:solidFill>
              <a:srgbClr val="CCE8CC"/>
            </a:solidFill>
            <a:ln>
              <a:noFill/>
            </a:ln>
            <a:effectLst/>
          </c:spPr>
          <c:invertIfNegative val="0"/>
          <c:cat>
            <c:strRef>
              <c:f>ANALYSIS!$H$8:$H$12</c:f>
              <c:strCache>
                <c:ptCount val="5"/>
                <c:pt idx="0">
                  <c:v>Billings</c:v>
                </c:pt>
                <c:pt idx="1">
                  <c:v>Meridian</c:v>
                </c:pt>
                <c:pt idx="2">
                  <c:v>Providence</c:v>
                </c:pt>
                <c:pt idx="3">
                  <c:v>Tulsa</c:v>
                </c:pt>
                <c:pt idx="4">
                  <c:v>Washington</c:v>
                </c:pt>
              </c:strCache>
            </c:strRef>
          </c:cat>
          <c:val>
            <c:numRef>
              <c:f>ANALYSIS!$I$8:$I$12</c:f>
              <c:numCache>
                <c:formatCode>[&gt;=1000000]\$0.0,,"M";[&gt;=1000]\$0.0,"K";0</c:formatCode>
                <c:ptCount val="5"/>
                <c:pt idx="0">
                  <c:v>14620.6808</c:v>
                </c:pt>
                <c:pt idx="1">
                  <c:v>14282.862100000004</c:v>
                </c:pt>
                <c:pt idx="2">
                  <c:v>16935.590199999999</c:v>
                </c:pt>
                <c:pt idx="3">
                  <c:v>14694.423399999998</c:v>
                </c:pt>
                <c:pt idx="4">
                  <c:v>19878.475700000006</c:v>
                </c:pt>
              </c:numCache>
            </c:numRef>
          </c:val>
          <c:extLst>
            <c:ext xmlns:c16="http://schemas.microsoft.com/office/drawing/2014/chart" uri="{C3380CC4-5D6E-409C-BE32-E72D297353CC}">
              <c16:uniqueId val="{00000000-F4FC-455C-8256-406C1B867687}"/>
            </c:ext>
          </c:extLst>
        </c:ser>
        <c:ser>
          <c:idx val="1"/>
          <c:order val="1"/>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ANALYSIS!$H$8:$H$12</c:f>
              <c:strCache>
                <c:ptCount val="5"/>
                <c:pt idx="0">
                  <c:v>Billings</c:v>
                </c:pt>
                <c:pt idx="1">
                  <c:v>Meridian</c:v>
                </c:pt>
                <c:pt idx="2">
                  <c:v>Providence</c:v>
                </c:pt>
                <c:pt idx="3">
                  <c:v>Tulsa</c:v>
                </c:pt>
                <c:pt idx="4">
                  <c:v>Washington</c:v>
                </c:pt>
              </c:strCache>
            </c:strRef>
          </c:cat>
          <c:val>
            <c:numRef>
              <c:f>ANALYSIS!$J$8:$J$12</c:f>
              <c:numCache>
                <c:formatCode>[&gt;=1000000]\$0.0,,"M";[&gt;=1000]\$0.0,"K";0</c:formatCode>
                <c:ptCount val="5"/>
                <c:pt idx="0">
                  <c:v>9233.490040000006</c:v>
                </c:pt>
                <c:pt idx="1">
                  <c:v>9571.3087400000022</c:v>
                </c:pt>
                <c:pt idx="2">
                  <c:v>6918.5806400000074</c:v>
                </c:pt>
                <c:pt idx="3">
                  <c:v>9159.7474400000083</c:v>
                </c:pt>
                <c:pt idx="4">
                  <c:v>3975.6951399999998</c:v>
                </c:pt>
              </c:numCache>
            </c:numRef>
          </c:val>
          <c:extLst>
            <c:ext xmlns:c16="http://schemas.microsoft.com/office/drawing/2014/chart" uri="{C3380CC4-5D6E-409C-BE32-E72D297353CC}">
              <c16:uniqueId val="{00000001-F4FC-455C-8256-406C1B867687}"/>
            </c:ext>
          </c:extLst>
        </c:ser>
        <c:dLbls>
          <c:showLegendKey val="0"/>
          <c:showVal val="0"/>
          <c:showCatName val="0"/>
          <c:showSerName val="0"/>
          <c:showPercent val="0"/>
          <c:showBubbleSize val="0"/>
        </c:dLbls>
        <c:gapWidth val="150"/>
        <c:overlap val="100"/>
        <c:axId val="1824789167"/>
        <c:axId val="1824783887"/>
      </c:barChart>
      <c:catAx>
        <c:axId val="182478916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NG"/>
          </a:p>
        </c:txPr>
        <c:crossAx val="1824783887"/>
        <c:crosses val="autoZero"/>
        <c:auto val="1"/>
        <c:lblAlgn val="ctr"/>
        <c:lblOffset val="100"/>
        <c:noMultiLvlLbl val="0"/>
      </c:catAx>
      <c:valAx>
        <c:axId val="1824783887"/>
        <c:scaling>
          <c:orientation val="minMax"/>
        </c:scaling>
        <c:delete val="1"/>
        <c:axPos val="b"/>
        <c:numFmt formatCode="[&gt;=1000000]\$0.0,,&quot;M&quot;;[&gt;=1000]\$0.0,&quot;K&quot;;0" sourceLinked="1"/>
        <c:majorTickMark val="none"/>
        <c:minorTickMark val="none"/>
        <c:tickLblPos val="nextTo"/>
        <c:crossAx val="182478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110890420109064E-2"/>
          <c:y val="0.39351851851851855"/>
          <c:w val="0.7736081285930525"/>
          <c:h val="0.55555555555555558"/>
        </c:manualLayout>
      </c:layout>
      <c:barChart>
        <c:barDir val="bar"/>
        <c:grouping val="stacked"/>
        <c:varyColors val="0"/>
        <c:ser>
          <c:idx val="0"/>
          <c:order val="0"/>
          <c:spPr>
            <a:solidFill>
              <a:srgbClr val="CCE8CC"/>
            </a:solidFill>
            <a:ln>
              <a:noFill/>
            </a:ln>
            <a:effectLst/>
          </c:spPr>
          <c:invertIfNegative val="0"/>
          <c:cat>
            <c:strRef>
              <c:f>ANALYSIS!$H$40:$H$43</c:f>
              <c:strCache>
                <c:ptCount val="4"/>
                <c:pt idx="0">
                  <c:v>Bookcases</c:v>
                </c:pt>
                <c:pt idx="1">
                  <c:v>Chairs</c:v>
                </c:pt>
                <c:pt idx="2">
                  <c:v>Furnishings</c:v>
                </c:pt>
                <c:pt idx="3">
                  <c:v>Tables</c:v>
                </c:pt>
              </c:strCache>
            </c:strRef>
          </c:cat>
          <c:val>
            <c:numRef>
              <c:f>ANALYSIS!$I$40:$I$43</c:f>
              <c:numCache>
                <c:formatCode>[&gt;=1000000]\$0.0,,"M";[&gt;=1000]\$0.0,"K";0</c:formatCode>
                <c:ptCount val="4"/>
                <c:pt idx="0">
                  <c:v>127238.31660000009</c:v>
                </c:pt>
                <c:pt idx="1">
                  <c:v>335006.65209999989</c:v>
                </c:pt>
                <c:pt idx="2">
                  <c:v>97269.515800000067</c:v>
                </c:pt>
                <c:pt idx="3">
                  <c:v>182549.64270000003</c:v>
                </c:pt>
              </c:numCache>
            </c:numRef>
          </c:val>
          <c:extLst>
            <c:ext xmlns:c16="http://schemas.microsoft.com/office/drawing/2014/chart" uri="{C3380CC4-5D6E-409C-BE32-E72D297353CC}">
              <c16:uniqueId val="{00000000-CCC7-4215-97B0-AAB5C097A4EB}"/>
            </c:ext>
          </c:extLst>
        </c:ser>
        <c:ser>
          <c:idx val="1"/>
          <c:order val="1"/>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7F7F"/>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ANALYSIS!$H$40:$H$43</c:f>
              <c:strCache>
                <c:ptCount val="4"/>
                <c:pt idx="0">
                  <c:v>Bookcases</c:v>
                </c:pt>
                <c:pt idx="1">
                  <c:v>Chairs</c:v>
                </c:pt>
                <c:pt idx="2">
                  <c:v>Furnishings</c:v>
                </c:pt>
                <c:pt idx="3">
                  <c:v>Tables</c:v>
                </c:pt>
              </c:strCache>
            </c:strRef>
          </c:cat>
          <c:val>
            <c:numRef>
              <c:f>ANALYSIS!$J$40:$J$43</c:f>
              <c:numCache>
                <c:formatCode>[&gt;=1000000]\$0.0,,"M";[&gt;=1000]\$0.0,"K";0</c:formatCode>
                <c:ptCount val="4"/>
                <c:pt idx="0">
                  <c:v>274769.66591999977</c:v>
                </c:pt>
                <c:pt idx="1">
                  <c:v>67001.330419999955</c:v>
                </c:pt>
                <c:pt idx="2">
                  <c:v>304738.46671999979</c:v>
                </c:pt>
                <c:pt idx="3">
                  <c:v>219458.33981999982</c:v>
                </c:pt>
              </c:numCache>
            </c:numRef>
          </c:val>
          <c:extLst>
            <c:ext xmlns:c16="http://schemas.microsoft.com/office/drawing/2014/chart" uri="{C3380CC4-5D6E-409C-BE32-E72D297353CC}">
              <c16:uniqueId val="{00000001-CCC7-4215-97B0-AAB5C097A4EB}"/>
            </c:ext>
          </c:extLst>
        </c:ser>
        <c:dLbls>
          <c:showLegendKey val="0"/>
          <c:showVal val="0"/>
          <c:showCatName val="0"/>
          <c:showSerName val="0"/>
          <c:showPercent val="0"/>
          <c:showBubbleSize val="0"/>
        </c:dLbls>
        <c:gapWidth val="150"/>
        <c:overlap val="100"/>
        <c:axId val="1022765919"/>
        <c:axId val="1022776959"/>
      </c:barChart>
      <c:catAx>
        <c:axId val="1022765919"/>
        <c:scaling>
          <c:orientation val="minMax"/>
        </c:scaling>
        <c:delete val="0"/>
        <c:axPos val="r"/>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NG"/>
          </a:p>
        </c:txPr>
        <c:crossAx val="1022776959"/>
        <c:crosses val="autoZero"/>
        <c:auto val="1"/>
        <c:lblAlgn val="ctr"/>
        <c:lblOffset val="100"/>
        <c:noMultiLvlLbl val="0"/>
      </c:catAx>
      <c:valAx>
        <c:axId val="1022776959"/>
        <c:scaling>
          <c:orientation val="maxMin"/>
        </c:scaling>
        <c:delete val="1"/>
        <c:axPos val="b"/>
        <c:numFmt formatCode="[&gt;=1000000]\$0.0,,&quot;M&quot;;[&gt;=1000]\$0.0,&quot;K&quot;;0" sourceLinked="1"/>
        <c:majorTickMark val="none"/>
        <c:minorTickMark val="none"/>
        <c:tickLblPos val="nextTo"/>
        <c:crossAx val="102276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777BE250-FDDF-4A91-848C-142B459D60F0}">
          <cx:tx>
            <cx:txData>
              <cx:f>_xlchart.v5.2</cx:f>
              <cx:v>SALES</cx:v>
            </cx:txData>
          </cx:tx>
          <cx:dataId val="0"/>
          <cx:layoutPr>
            <cx:geography cultureLanguage="en-US" cultureRegion="NG" attribution="Powered by Bing">
              <cx:geoCache provider="{E9337A44-BEBE-4D9F-B70C-5C5E7DAFC167}">
                <cx:binary>1H1pU9xIFu1fcfjzE61ULsqcmJ6IlqqKAgzYxsZuf1GUMdau1L79+ndEAQa5bOgZ3osopntoKLJ0
M0/ee89dMuvfV/2/rpLrTfmqT5Os+tdV/+froK7zf/3xR3UVXKeb6iANr0pd6e/1wZVO/9Dfv4dX
1398KzddmPl/WCZhf1wFm7K+7l//5994N/9av9FXmzrU2bvmuhzeX1dNUle/eW3nS68239IwW4RV
XYZXNfnz9V/J5usm3bx+dZ3VYT18GPLrP18/+qPXr/6Yv9VPj32VQLK6+Yax1DqwhWCWZdmvXyU6
829/b0hxIJlJqWVaavt199CzTYqBz5DkRo7Nt2/ldVVhJjffHwx8JDZ+/+b1qyvdZPW0Wj4W7s/X
H7Owvv726qLe1NfV61dhpd3tH7h6kv3jxc1k/3i83v/59+wXmP7sNw8gma/VUy/9hIi7ScLvuszC
lwTFPrA4E0IRZd58kcfYEKIOBLEtmzCyC5vnybQbnodjZwi5f+0lQme6rINX7qbUSZi9JEr8gFNF
bU7NLQgzDbLVAZGcSiHEFkXxWIOeL9dupObjZ2iduXuJ1uG1Lv0XVSbrQDBpSabITmWS9IAxRm1m
yu3r9DFMzxBoNz73A2fAHO6nGv1VhqN+Uf1hB5ailiUJ26k/hJADuCauBN8qEKzg1u3deqCnBdoN
zP1MZsD89WUvNeY0rCrdlOHd6rwAKZAHVNhcmuxWZazH/kdZB8y2qU2sW/fD7569ReY5Eu2G5sfI
GTan53uJjasTXW6+6bv1eRFslJKcm8zaac6ICbfEbEnFzI49R5TdoPwYOQPF3U9Q/irjTVZtqhcE
hR1IoGJSwremTP6sMFQRzqFTN18zhXmORLux+TFyhs1f7/dUYbLs+qoOr5r65eBh5IDbnHBK+U6d
sREEUVAEYs1wcfWzpNkNzaPBM3TcD3uJzuI62XSb8vrloKHqwDSlLSx6qznqsebY/IAJKRglULDp
a4bQcyTaDc+PkTNsFsu9xObsut18e8nwRh1QLhi7D29mNo0QcSA44htbbo3ajJ49Lc9uXO7GzVA5
u9xLVO5yN6/091fwo0369UVjG3mgTDh7QtlMbewDkwhLCXqrNnj9IXf+p2Lthmr3u8yAW+xnHLoC
cQtfUp8secAV50TccmY1s3QSpFralFmSbp3UjL89Q6DdKN0PnAGz2s+E29G3TfCCfJqxA+iIaVt3
qbSfzByDmUOaR5oz1/OkILvhuB02A+NosZfm7ShBTk2HL0ilmXlAgAXil9uswFxNkFVjUlAufxCG
h5btORL9Apj7ucyx2VNFyb6FmxdN2KgDZKQVk3dRDCzUrGQADm0rJHV2RjlHTwv0C2TuBs6BOdtL
pbnQzf+bhDQFG6CKWeQ2bTPHx0SUijQnEmtbLj1LSD9frt0wzcfP0Lpw9xKtI929IKtm1oFpM8Ft
xu69/EMdUvRgilEFMW9fn2H0lDS7kdmOmuFx9Nde4nHy0rkbCd7FbEvZ9hYRxDGPEEEyVJoEyZ1b
h4Myz0OH87Q8uzG5GzdD5eRiP1HBkjRX8XC3Ni+Q6LQPuGVbUvDbAvSMmEl+YEkbaWhyy5dn9Ozk
GRL9Apn7kXNs/t5LbN7oJqxemAqYB0rCy4j7aGamNASuhkgUd25ro7P481ki7UbnwdAZPG/206Cd
bsLs+uX0hvEDit4B5G1+2KuH9kyoAwtBKIMb2rKAGTRPirMbltthM0hO9zOX9um6ql9dhihEv2xf
h0Qp2uLI19yatFnHgDTR1kFtqswfBO6hq3m2WLshmg2fQfVpPxNsp5tySDbZt5dTIIqkGjwP1Oex
TbPFgW0COTDsreKAXj9E5zmS7Abmx8gZJqf7mRU43VTV5ipoquu6ru4W6X9nBODOaHqitqluncqM
EdjoFzA5etbkjKI9W55fwfNoOnOM9tPrnF13r06v+/DqBXNplB0g+ERfALvteIKGPHQ9xBQHxJSw
bxIk+6HuPE+a3fA8HDvD5ux0LwnbaXgVhP4mu1ujF1AdFKhtZiu4nq3tmqkOyLSNNjbkbnanBp4j
0W50foycYXN6tJfYnF1/LTdVvHlBbFCdRisnte1brZl326gDUG3bQol0G6DOUgLPkWg3Nj9GzrA5
20/adhqiXF/p+iXBEWDTijCK7o6bLxiuhyZNsQOiULFBH9vdjrjrgXqGLLtheTCNGS6n+5nwnLq6
pn/yPLxbpP/dpE2d6xZaB+7rADO6JtEjzYWFPqnbbPRMbZ4p1K8gejCjOUj7mcE51Vn9ouUChho0
Om6IQmvtzddPbAAIMU4sMVWvH7KBZ4jyC1ju5jCH5MOe+pru1XqT5lUQvmTPDaMHQnJkbu4cygwY
8GgOZ2SBZm+Bm5m2iXA9S6zdIM2Gz6A6W+8tVMfXZXU93G3l/93CTaVQcGXF6e42XBuVaZg/nD7a
cjo1U6NpoZ+W6dcg3Y2dI3S8twj9rcv4BfGxDpAMsNh0SGqXgUPvGvyPCU27TRjMPNCEz1MS/Rqd
7cg5Nn/vJTbnQfiCYSj0hqHXFo5nd54AnTZ4BXk2dlvxgf176H6ekmY3JttRMzzO99OanccJmmxe
9JwhutIlZah8blXFnPNoVHuQGTBNGzHozdcMk2dI9Atc7kfOsTnZS13ZVtkXm/hl4xykbigMFRz/
dvlnqWl4oAOLmgiFxMzLPFee3eg8Hj1D6GKxlwidl9e+fsnkDfo6cIwQTU/iXjcexqDEMg9wsgAn
P9gs8fm0JLtRuRs3w+N8P88UvL3OsmpI2s2LFnPgZaTCGd3bvIA5t2i2fSCplFNbwRY1pNweepnn
SrUbocejZzi9/Wsv9eZ9gGPdr46qly3n4PCHsKSl+G0ntJqlPqdoh6CFfTppePM1YwPPlWo3To9H
z3B6f7SXOH2APuFI//ULFq0px20DKIqat2cJzFkOFLcRUEat6dD7lj+APjxUpmeJtBuhB0Nn8HzY
z2zbh+v+Rc+2EZzAoZKhbfB+6R96H4VzIoiAYOd+9Ok8huYJcX4Fy82wOSSf91JjPtab4G7D/u95
AZyZoiiDIkNzS6ZnynJzcNpG840lZhHnU3LshmI7aobEx/1MqV1elymShC8HBs4PmDa38L95Fg33
DghLKIF6580Xv3votkDwDEl2w3E/cIbI5Z4i8vJtNogliSUVzrBvV37u8dGGA9rGcepj+/rM4z+n
8ecX0NzPZY7NfjKyTxuknjO/ftFoxkZ2hlB0Qf0i0ryJZnBlx93tAzNX/zyZduPzcOwMoU97ilBY
XemsCl8y3ERaGSaLU3EbuPxcWLPh7zkORW0JwUx9Pj1HpF/g82PoHJ79pMqfBo0LvPw7y/+/+370
QMFmCTQD3BbV5r7fhPHjBMd2zVv07p699TrPEOgX0NzNZA7MfmScr357s9iWr27RefSX//Q2NYUs
JkwbrhO6V40ZV8ZJAlzNcddCyB6jM7vw7Ndi7cZoNvzRTP4/3ab265vW7m+hW2zqzfLm+roHl639
/tWb6eJOvdnQ2xBwp1Zt1+7o25+vLeTFYKLur8Wb3uRR8LizPfDByOtNVf/52kDjtMJxBEJsnHq3
iTmV2zo0CuMlezq1gzOJ3EJddToyD5+VTdeO/fkaCiunY704GIc7WyRumXj9qpoOgOElgpQqshLm
dFsLekxMcX954FudDMgh3q/K7c+vsiZ9q8Osrv58DTqZb/9qEpXjrQkyTWhbJfhvSAfDkF9t3sP6
4I/J/1F0EEacG/lahsn3QPvq0JDac0Jpds6D1XnmkxCGM2ragqLfb/akJGMZG3uCJ1lj56Rm/iXP
dO90XtC4//xJeAYcDQ7oMBw8fDwnvza8sczjfF13ceN6jXletWnkiGK8/McPQrLOYibH46bDwI8f
1NoJUboc8/VQxd/jJP7uGeH3CN//m8dwyYgNxH/CqBbBWAW8z9ee0amlkkXhVIFI3LgP/4ulw17F
YU1bTQ3nBJHgw+3g52bKdIAZtV5avunNJnY8bck3ZRY9ManpnWYbT8IhKQs4oTogZ2tnt6k0atXl
66DrYkc0w/vB7y+JMVzmbSsXv19BaMvPD6O4Ug/xLbLhfDYtg3AN3dT5WhWVXNhVWq4jWXiONsKN
Kf3UDVlJHTJ49T/fitM1JLjxz8b5PTFXL1HqxkqCLF/nRagvmrKgDldGfGlE+K/fz3FasJ8WlOPo
EwIYpJVt8zF0YxM1Q6jTfG00RblOm3xYRpbpXfz+KTvsBc5W/XgKTNbDDYLMNWuNJsFTVM9PrLK/
bNMuO87K/27pHjxpZi+6OA10m+FJQdIMC9FHm1EbifsM9ZqO5M+WTiFTJbEzbJyDtezZ9tBeymWq
83Sdt5Ze5GZrxM6Q1/3bkaXDUnmmXhBVklUBers2y14vooSqJS1YdtwWXAi303a/lL3fuKXOuis7
CFPXjjx6hGozWTV2/H2QjB75I2lPc7vynDIfK+FYSheOzvEnQ+ClSzPuLLeBx1jbfZG+G0plfYpt
Sx9xL/K+tGk7LLq052vPHmNHD5k67CLs59juhe9WQ2OkTpz1ctEWPjuq6yBbNnGSLWvLzi5qI2LH
phq7q8KDlSe1gOyC4CkR0yedrNrIDWwZ6OXAEvNrFAeGG1aQx7AU26QeJh23db7Sys/PfWvUi5oz
LtyWel7kkCZRvVPQWh0Kr8xXhen1y6ho5MIoc8NNTcxuTGG40siuXbvOLNezYVwCnKVZCgEXkNk9
WdVBrmu3VYQes7QND6Ny1CfErPVCpkV4KFVquHZiWp/8oOUnvU+iL77UyaXo4vCwqGj+dyFS65OH
ueeO3ZH87zxlzQiZWi9xAjtXtUvpAF3vBTNCx2Blcll1kp9Io0rfGUZYf/GwNCdBVOTnoom+mwSY
NpGwPqUy/N5XnXdRi1EfdZNpDHDF3smQWDpelYkZ+9BtlQRvo1D076M+ZEew6LXrtWl42PoJdUAD
wsBJrCY7Dn0qqcMaPzzzaa7OI+Fn34WhyBnRERaxSXi2sIxOSudm2yeVz45H05NvAoEli0MsgtcE
kTuyYHDTIvc/yNHClHw7jL+osYeLLTq98HgQpYukbvXo6rEUyWGYWWZ+Spo2VwsReO3nwMsNtbRI
W0k303E4OsLMyjeGDsdP0sj4hz6L0++WHehjzHEASYPlxPVMxZpFRF1q5N8/0Exj//DS5KFbMt7G
jgqCVq+aPlVvyj6njlIWIKi9PuZOb+W+dgw/NlwzEuqyKkqoHTNHw20ZXNw4KHlY07xtHJ50eXBZ
Z4bfHjYyizaqs4yVyqBHwtbEd0LVJodV6/Xvu1K1n8dyjA953tTJqjNKK1xFOeXjcoxkXDhl5XeN
I/qYfB1VXn2zRugWM7yBLJKOVx9bu87/9iPGT+whgQ3tNYQtG4MeC5OFw4J1oeGSGEjwwI+/FL6V
Hfeeny3LvrLcuIy+WzJQbzwi6DEEISvip8PCGKqiWwSpCM78WPXLxk/UYWQAoYbC9TUUVi2QpVzw
QHkXUVs28SLI++A6yxVfZ7FonUEEYnzDSPM5r4b2kKY6LR3VYCOMncyOOxZ+r7ywcAqjNt2KJIeq
9K/rprQXQdVfZIW1rnX7tQmG8DjNhLVsvFycwBXa74IGSkkyiGWSpD1t61It/Rh6zmTtOVZux58k
yccTU/WrdLQT1x/7vHbTLq5iJw6j0KF1gk0Nq9i/DZJ8WGRNpM4pSOWqMKD1cZMMi7bNPYdW0bAc
S1i3tKvbQzL53Zxh3lYabcLKkOeyi/gm6Sv5jrY1OdN+Rz5EzKPHfYMdFcOgfmmUl7hmMuhFm2H6
vBqhRqks1HmdNd1VZZRJ6fgVbE7AYvmOiLJwmJlsOIehLEvYDxEY9rsx7GPHKsth4dlF5jmcNvKd
p+PyDekaWLIbptWosjhMzLRZREMEI2Y1eiE6PLrUulyHlaxdXKrQXQU8O8qzJHN8VZnYwaa1LMPk
nOa1XgUdlQAhzc+rYuLV2tInCcmxmboiaEInJcyNbaxO6KlukYqGLG+sbheEf9exJNdmB2vVTnuE
myM5i706PIt476/aIYhg48AkHMOo+Vnk81XFotFtdWm5nI6wiLXu3XYU+mPYY4VG28sWvWmXLjOq
zm2AcOQkZlmufXiDD23ue64UWXbsjU36rmpgewwf1qNTUPq4TbHmSjcrGvHC8bM2PKOeZX5VpKlP
WoODj+rmXMZVsq6E2R5GgVaHqfKNU1xTfk5D2n42oqg6H/qgPvWi8VNo0u6TjAe5kIMOD9lI+HpU
4bjMgiI9z43Se5vEf9tFmS5CGnzXvue7rA4/Qp8vy9b015bUxjLw08KtTZqfs6GyErhF/xDG/avB
deNYNpxerOANjTBILosMlrfMYHHMVJIPoUly7Y6ANN8aWcGqfDUCgxVir86JRW+78NuZ2w5J36xT
XL9dHmaBciwS5J1TVyrKnCFJYMwiBHkFtkikUpf4ZnyUdYWpHJnboZPFZVouhrYYSyfJaZg61C9q
0+FeV6ROnlofq9RKj7uCpsfars3c1bIpjmlSNYuGpIOVLLyi17Y4GTqrT0c4n6SE/UvtzntfWF3Y
Lcw4CoxDFrZpcNxFira9Y6VeK49Z2+jM8USDxjYXXLxshDOq0v5eDVEgHdnG6XXOhe+Q0LePemnn
xO0GVVZgN9xcFlUPuz5IOx5Cty7r+m0mbN8pI9aoxq2kHy3rPCjZYqQNaVPYnuqLjM24dnWfXHQR
7RMnJ8IHQxg8Fjq5PbTHWRLFizA3vzLZrPMoihxjoKnDuBGsLAH9guFo33EeGaeEZka0qO20h6+2
hkPoqUUdHVWD0ySyXltFUy/7wtvEAY+XdmfFS8vUcqHtgnxOa6s/a+CjidP7pbnImNUYrkroeAZ1
9a/8xCaNE5PKcBK7V6CWhnEU9ug4W9l+CvvGBMw388FOEC2xzumYSvgix4TXcdOlqSsH3h7+nmCT
idc+4vFon0bsj0QcR70Od7U/ZtjVOPqsqcxkXcCBLoTVtae135i2I0vwhBrU8mygRhA41gheEatS
n0Dh+UlNUz90iHoqUEMz0M/yIENAbGQoEOzOAzXf8qEDkKdMyWVjDidlDJva2bg6IGneewPc3O9X
4KfIcDrIjNCQ4W4tJPvNKZh7kJKoWMtTv8uTdVuAhGVe48FBwR1nWaBPDDZoJH3v0zZvt0v7MAVC
fqL/0wNtrtBFoFCUlrPIKStBcJiIExiUojMcWAmNO+yyNl9EZbqpDa2WcRWAD3LZvb1xO50eiTgM
rI6sApIYrhcnfKPHoj3sK/j138tHd8mH0hTuVURXEDJJs/Ak70NtSNbE6yBN2XHTVul3TQvoVFd3
lZk6PgPZTpIEihREpD5rBbgmiSFxTkC0Q0wCVCY7llYhF4OFyBOHbrLUTYaGnzArVG+yMirfxKJS
y7otwtypG4+vfQ9WmfYIXJfMTr0L5JbZBhdwja2j8H+H0iD2u8FD5tLxhj65NMMw+nLjFbPMVNLt
xtgKnlgLMmEx0w7CwSinSyRwMZ6cbQ6/6bwI3ite1yIC3zYq7dR95LsdZZ+L0DbWBmijI6PAWvFS
cdcvazSm/267/BRno3tbSAt1QECCbTqToB5EJ/KQhGuFePuQG74+yVn3lBn4KWOBpyBRgVMuNrNs
e455EzatJ3CH2lowkGfhw3BluajdwlKIM0SsqTNECB6CGKT39xO0fl5jUJSp1EYUSm5sHg4PJGZt
mXTBmlWd760TptUbw/PUl7QBNa50x4dzZXB1mbHhMlZD8d3Iebesh5b7LqqCQTjZ27J2iqSRdOnX
Oegki8s1+Ld6EyGB+a3wiFcfGV6FwPVG+tsM8a06bzOcVzofytAPbj8h5f7H/3zQKf65+fyOH7+c
PmDlx084YLr9ZJbf/hUu458KINX8jyZp7t8LwtxKN+WIH/3wU8L6Fynp7Qe9/OLFR/nqR9n5uzLA
TdZ5Msz3+/inbPUsyf8gzz2Nu8tViwMYeor8zn1q+TZXjQ6qqToOY4zjP/iQkUnvblPV6ISjaCFF
eeL2KuTbPDXBhQjUQj+9IjinqvC5I/8kT03pI8WfnoiGVYWLLpCeQV/rXO0SEpUZ6WJ+LbFzGsSr
OctBis28DcdLzps83jCj5NUqK4ZqYAv4fh70rqE986uflSwzXG31sX2sAj40i1gZWbHuVJpUpwlP
c2NwdNzz/CuP6wi5DkOIJKKuj7QeubZ7PTTvk6C3k42UPPeuaEoLceaLsIB2pgTRS+KynJfpeYB0
RZct/ISXce5AV9L0DbGHAiL7aUqGEyulSKYaVTtlsx5AusOTPXbV7CY3zJDdZFOHKZZr7qpJGjaB
COS11+ksKtZ1yhIG/W2r0l6PlV+HnTuGOT6aJjG90PKecNwz6oLnT9f7UxxtQfMKTPQ82zlGVIL6
i/BbRGIagzBqZEaDKfQ3imhV9h2s8aIMap8FoHPGmGdvO0ZB213CQMPpMVLdGXiX1gUtyRnMf4HX
fr9Gj9kFzm7Aw+MmSLR54HzNtC0fs4s+CA0rKKnxTRgIIqyFP9q+XawSyWpqOllZC/El5ias0++f
O8Nmei5TqEeg+8rC0d/5c/Nm0LY2qPzmD9hzwmnNPKk+B8yzMt/porAJQXXw8VK1EwQaPVpPOE71
WH3weBv1HXyiiWIcPV5zm+7zNjTMPqDfDDuxC+ryzhR8A0Uy6iM9hnZyFhpEk1MaF0NzEVemOQao
MoQJFuX3C/GzJNKWAkc6wLamewdnbCuwAy+JBrP8xkQHlVsNRIwkhrfumootQ+kx8aVssASocoAQ
iS/aHFpkJdpQm3n3BCqPqRV2AzwsCkQcOW24chDux7uhFqEZDXHmXXlqzHh5qIs89YYlEheVGg4H
WfbYIr+fP5lZMjwTty9DS6CoqOP9RDd9NUZc5bXxFec37dRY93UwKQQoWoCPsmq6iI3MDdNqsHKn
R/0EC8FDM2gu0lxEg5sZpMwuVBqkZbYoOLj/e6RKs+rr78V8TECYDc9v4rZBnLTFHfjQlpktAc+S
pVmM/de+rEtsAuQ7TeBj9h3lhtOXtDUucisuJqWpOz19C3O/eQKfnxYLbBeFE2qi9YpR5JNnYsjC
quqhEvprlnADNjyC9UL5sB3MeuAn1OOw+5Xf4LMb0ohnsKhlnpZIJEgjMpAzKgJY28nyDwFGZeGY
tCesj3OdPmFWyHxb43ZMFF6sqcIEhIWY1vNB1NLTDum6bKRfK88SRrqM6ipPmrfFWINru10xFBDO
sNMWr+mhSPWwkPE4GBddnntHlSoTsNh0HBFgpUGRIfmWKVOgqtJw00jeC2RSxnSK4KdUo2VEA8mO
zVEleNc4RCKheEJNyRRn/mDasFQCl+ejEdFE19VEtWdRB3ZmVrQIgr7YXPOIu7mJQ6WF43mNUqVL
RtuAafeGrfVMGobXmhtzkhNP4qW+q6koVk1Hn9YhNrfi4MUgIxz8FLVw6O5sW8R9XKVeoFFDLqFF
xZJWsWSnSMvQ4YRWzYDlUF6bjJdp0A+D7TRBiXybC4Pfifd+MXoGwlkkyy5Lo6nEmQzFRBB61qbI
zcYNn+DRFVXYQkNr8/Z9XkbxeDkmIkbK1kySyWmFWH0ApDMV4JcoK4CJyLTvgR3l0YBv1Wj6tVzk
vKLVStjNTZq490MQjOLm8Ur6xtA5UvcR3kKDPEDy0MgmblDnPI03fSWyIl+ptiTtBaN6rN+UZewh
k5SkpZW6hu+l/dpncK5/ZzLz2GVrtgSbzJY+eEZbZBoU5fe2YW41p6gER+4Q2SE4QNvCbGtQb8h8
ovLky0jSqvSRzzftvHI6HenkiDZFB0Px+yfOrZE13XxqEfht3BI0FYwfa1dVmlXQpbT7m47NtBm7
hk3mz6rsGM5bTEW4L15ER2zCzmrqyj9FSGVjn/5ejOmTPR4pBcXHHlo2fAXOT1sMLPmxHCNtm8JQ
Ir1MWZbW1Kl1w41rXQQFrFEQVxlZlp6tw7copviwOHnAtb/0ZW212sG9lF3SOrXlFyeJJ8VFT8tE
Dk7VEdG+r6Vhhm7Bx16fYBOZgROZzEMwzjzkBKDsgYl9qNsA7OLIi+J60vwWOZvz6WMa88GhcUn7
p+LQuV2TUz5kagm3bj4cCO0mj2ccCy9AKrOyP7ZNZoLE8rK0QGLbcdq3DCSLrQPS9di2fawovvmo
NU2mTuTTlqZN1FnehdeL6ZdWEY6ovYe5RScTWYwVSp9F0uZVeDjyIYbWeR2KWVMtXqbQTpsUUKMn
QJxZNgkGJOE2YdWAIM4nzEx1QbN01FFmfZR1QKFbde5PAtQGbSbVvdFjdLIMkM0L+knFYSsnk1Lm
BRyNERDQeNLz6Ve6QCFkk6jIZuuwS6Z1KIZOizNkbPFXYUCnKQ5+KqpVbNglXeWybGnlDvAXmO4T
U5uxTEwNtVHcpgVVQf8S+N5jtGqUtuyk0cNH6reTparLAltrTMZQX9WmjC3kq2uNRhjbyib/mBqa
AJBepAkqe2MqSO2vFDWa7iNYaonl6OyIYvfRdoQ1yUKU/dtD1iX5ZN0amM11aOUdjGENRoIHhrVn
4ifEWARLkfoMS1EjaWnULk+aCCoRKCvCT9v1mUzhdGvSfWC7Iwqa6agEXQC7si0uEXaaP1Fd0o1M
DKIwPrSpjTzwaktvrUD2bewisgz87CmzMHNH0yPR5GFa6ObCv2BNj5fdjDRYa97bH6qGYIfUA264
Q/llrLE+LMqZ5kuvM3RfOUjNDVjwpPUyUBYYPaxSV/ZJ/dYWlfSilVczCWMAhWzfl+gShAdIDSh+
3WdwVLew+UWXYSn7RGbQFWjRBIcf9xMQRhQSfFNDpNr3pk41JOExyrqXsainOPX3q80UxeQeEAVM
fnICMBIEyeqfIyrQwcrwzX74EASDSDwkD2Oau15netGZsEZWDssiKEUuHYV+oChwyrIIi2MzaWjP
Uf4ICuOk9FODnXppgCoFyta9f2WGibnuvIYJ9DdkOvnGomQs36dapPh83ZEk3TlridmPCxlliudu
Af5YNauu47I9K4sAHQuOSM2UvKFmSdQiy0pF3KivmxKNP70sRqRLs7Zkvev3cQtlaMeyGxKnN3jE
opWySMMuRFIPzHfNnjRdc5irLiAe+Jvn10d1YIOZufaYdOOIsBZbMT/q48FrnKLKI7Fqle3TBU+N
fvzQCW2Flw1LfG9BWW0Rd0B8qgek9lBGWqjQ6mLX54m/xl2G9aLQZjeeeCozzUPSEWQzfaOSgbnM
Y52yjyg7oHj+UWmz7z/0dU/rU6NCkfw9PIbdfOOlEOXH0W79TDu51iSo3ql+TOJDL0R2YzVqhn4X
RyGLaAWuXY5VIb+SNJLZt8DKddsvsFWG4lo1ddeZbpx0FYnWtZcVXC4QB/BEHHqpEYszRWwjjg9b
kVtVElwHMqM1VrknVJbsdKS6xZYeSVnlwTt0jtfCXGYZy3P7CIVclOTeZLyPC38ZtX7dtW867vlh
uPJY2jX8vZdZtDgSEQt8ucJeETR28nY04daTSoadcnyDiaJeBF45RsNR51dGEB52YQpv48aqYzCw
bR42/LM2GsGrI2yOzvCQLAZtIWdNDtalnHqgshfnCdKw+FZvf2mEYYLXUDBgeNyoK1Z8HZtCWe1x
JMrct9akNwwb9cGIx4192GcRSROHozsKftHkRojp+JTDqWx6b0DTvBuhvs/986HLu9x+G3lG1CUr
O6aGlR/FDVoe2nMRUR4qp1BqyknYZc2D+NL2Pc8YTxhLKqyUMRQw2aew2kXATwzqlXbyhoRFSJK3
UdRF0lt2EQyBv9Qh7okpXZisSaShNdA4szR9NAEUCzOPI1Tes9o0ePbZQiMDnpdGiVIfGx8Nhm6J
0Bsra8kmhAdxCarmeBPID8riFIWaOD0LUEREYBCQjIpVFHTTitGkjvFN/1/2vq1JTpzL9hdxQoC4
PR4gM+t+dVW7/KJwudyAhEBICCR+/Syc/mba7ojuM+/nxRW2sxIkpK2912Vj2jl4HmS2h3y6zE2e
VcU6j1gA24B84zQXWuJz6jzUdk42TN/E0bo7w1liGK7WtyGKzCHs9scTKtpGyR9h7/Z5HmjBgSUF
NtB4FMEg8pZ+nyYUNNNRdx0yrWrNQ59NVZe3CcBzLHk72deZD1BNYL6CdhtPrd1o6G5znu233OFJ
q+05xcrCFWL81/TOArcvsFQH+5NPfIB/6wu5T82yhPgojliQRriHBXYLjPHneLSO4+kdgFuLf4N0
c0yfRUJZEVfQtwAAAhHahpiLn6uHbabAV2Y82AfHZv9jMixWja5+5rhFsiX732KTiNuYdDp4/jnV
wfnj/5nk8+eAFETiNouUxA2EQ9Au76IDb6Gh/4k9Bj1FG15rXjZR3HTkGQV4MxZlcn5Q47bMWGqo
vK1uLoew8CzZCaXFp/eFtCNmaYlkj49EChibrgBzsKUoBfF70ttINGfHHs0aMr0X5xkcFXYQ4tp5
TG3UoUar1Dika3jhbb5X5+T8aM/LIwWlhvlJaYffOCRZvw/epb7FOm1CvV+mpW2Kf/TjRLL2ZQs6
aucrjDTep/e8kDbrLe4Sg9y/Jey0we+B+Yixuszc7rd+ntBgW8GK41Vc8UizQ0CSQfDLDU2ZnTo1
O4hEDmtnR+zpgjc78mFWPN9uyaLpHfT2gOVjoCHcB6+hRUrvDbDs/QujZf9BlybHj34g+3aQW7Lf
/2DTpl1fbN/0TXccmhzf205x2MQXwvgsnK/j81rpuCnm7PRzygsohHA7rosFvgQnwIiLc9UJnPNL
OG0peUHmxvOlVpADDV1FTMNw8QSCDJRMc6+AbfYADADZ4DG19jIbm307W5yv+Dfhbcrzo0Cy6PxV
XJjejRczHQn47r6gvVxKZhrAhmCPLD7fzpPBDySNSX8nJ4s/vVyB2yVkDQEVTcDy+7tFzAygwKo5
rh62zbi8pgNzqALAIO9rfy0QyvnRxVOECJNrqD7zQy9xxMqDCwZWmMukwFHl3gi0oIg3TT+OQlz8
hJP53LeaH23bo9795qlB/yVoC1pMxyn+sWemMe8xYYatgm2vcZuP6/wyxWu7phfzeeiuaAymKFZu
ExiRaFaTHNKNhIhys6b79IVO7asGeNW+xM/4aW7EihkIbbSPd+66CD80Fjg+P3VAH4Oy6zfgyhCf
iqEoAVn4VN7GKtT4RAq+DYt6SazBujqDLJDC9Jod7TBpFl02bNrwHdD07dDbTrgCNZwSCurtxEKB
0ldK1E5DNYMERh0qBRTjkKdArgYQvhE5hBt1nDKPM894RBp+RGW7T57t4h0qiGwugMXzfmjw6+ic
jVG+rUjPWHC1MqN1d1fEfAcpR4vj7jYTLE7nRwoYy7ODYzzw7TFdVdKbGtAF5N5lBhAo/UKbOERJ
jsOwwMPfArphVOkg92NDJmxfbjrSIRbfeSb5PAKJjjsCtdDVuiWSZY9is2vwrJFMA1XY1FSkXxBv
sb6CVW2YAU7JPgamhgDBH+XljlL10EfuWEAhx1V9SQvfTuE7dX3a36XppDw70mg0c/Dn2oXcsQNO
tLhPStMD/w6qvA8z/QpEchXzJ9JMvGkqlvi4hcgQMtV4+iiWbpmiN8NyQBMnLewiCyhlNyNeN2oj
OpYWp4NDsR+GI3LKDPIDG1qscsmLqFrwj0G2QL4FZsrVP0dyfpaT4gCIK7hJ/D6sH+Gm75c9/hW+
2aMJsv9983ZG7p8YfqD3jIPXh6QoJAE+4Ru/f5DFQCfkAZX7zm10PVPYyg2yRXa3zT5UB46Nuu/K
Qu7/83PJIqdEJILiZf+vMwS/h9OgqbSDdDYrw0iT/MG2WbOO5UoGAPbUb6yILldo6fBLTbDtcKAB
T4QfFGnZfDltBOubEvAPd8At9zsXHZjGLz8vBLYeR9qEpRI8nyu2oeNbJko+KEsfxTlgiTPQOMHK
gtUQ9NMOQhqdakprCSUYJHbtlNrg2XaJwpjnFSzectVFzZ7GtdThGtnS77dlf2y4YBQ4R0qW2H2T
q2inGethdfuazNgWia5MWjNIeWh5j914PE8IcOA96Al038H3UhMG/LqN4j7L/wX4+q2gB5aD+IAV
DL1BloZ/g5XbGRwC8OrouR3HFHedNY3DblhHhNkJ8mXcRL8AeGnLpZv2e/+X6u7X2m6/PF4KgfZb
53cQ/o6zauvGYDUZoKpzaOTAgHEXqAOwk/75Ur8B6NhNBKInXAuQFf5M97L+LwD6CoFuzpBK/meN
EOHGsZoUo/QeLar31V2k7f5QbcfxhEeqKR7Zz+D4z/fyK4SQQIAFVAhv/s1T0OFY59Gv98KWOAJ8
y5tndClFGOuScM/HDQSz8WEbkTr/2zz//YJogwHgIM2LCOBi8RuuKFoN+S1U8k+TG3BQNAIn/mXm
BcLcz539zwP8XUeDEe597BK8jD2P8Nao34FM13PaDHOfPv2MGGsLIW0LoXHsk+ToqMkXSKfho3q0
a+x5Le2wx/NYIzQEZoNW719QufDXlY45Rym1v/0lhvUIZrjfVVi+IMGa+Xh66s+bakVehz3urGCI
612+dHgELbUeO7OIcTggtQja/UYg8Z4sdK8TKvtjIuMxIaVDaPEVQv2Ej2N/sPCu8zHqyWo981nq
HGb/eVp/f4x4cJTEBC9RASQb4gXFv64bnLvTHLlguWuN2CPT9iMRUiYZ7KMPckvxzsD/d6grAQGC
/kNwuf2wjcLe9Bs4mzlkI3iZjr37eey5pp14SSDiT0ao3dEt/n93PUD+e9MjbAyYuCnO8V/HF68M
SPTS8bvzsYQkeX8ameixLwYz7QfGP19w/8L/wZaAz0JlhYW6i1LAFOPvv15w9Zvr9JaIi2wItEiq
TMos/pJqbJh/24J/vxQeXQ7aCy2FUGT+PjbJIultkzYX51RkSYCOYB1Fk8SPfx7VTynGXwYGrBCX
+vHOw52YR5u2XwdGCHiZrGvNSW8Rac0hStyuRrBoTG3HP802gEOvRtMAWy1KyTZUi+WcNHMor3Fa
Q4LTVKNQQH5uIgrsgTxIljTNeOGRGyTjHXOdCJ2vWATK6c1Mk0QZpHlEh+kge7tFc0VGkhpZ5zoB
1HYTu3CM04fizOeJFMVIfM8GGU7uVsBtU0AyY5e0C4GJcEg1LlBoZB2cJQFXeBQ/E5QswK+1pTin
FcjQITks0x9h7FxqCPhmQHm2EEonFUrDPQ1YlyhAQgubIeqEIbL4AFKs1GZ3sen3ZC445zYK5Ch2
O1F5uHWlMLMMt3Iwuhi6OlVZz235H8hjwrEJT8I5kfmRQYFZWzG/25Tvh3g2LUCWUFsImCFUPuKS
UqCqWK4I2IquqXon0cr7BDy/5/1LjLS3iO9SPxdUXfKUBDsYYBYNnNWf67Bi9Sae6lZYCdgVCEwG
lqHk7Qw3bRVYWBkg1JzQ+S2JHoqpUNl6aCZs7ulT4otlGz+Bb9gZLeSAJErvxtmARPgEkXRKmxoi
JMgJjq2ewpBXMkTS+adH6WnyqyR1a/QlTJyf8zvAZkw9DkXBRXTggwkIKmEoKd1cwXUMLv0wjB7P
tl5dtGlfkgDIxFIhNQuTvPLUs/VGFGY2Wwk6eu1QTRe5Bi/atcScoAGe1/eUSOHbmlEk3EMps0Hq
zwOQl8CW+Zly+xmLJvDhTXqTS8RtfhzaPo1gxj3nWQC+9zzRD/N+6JyXRv8jGxyyXqBk0wUUMapc
NElluPt2xgy3EQkRlasIluITgviYP6uhCPqj7JImgZWsWZ8T3yW89t3KTh1d4gt4DLZLqd1yASRj
fMp0GlWuSNq7rJt7Asx40Z8YFvUFbZLRlNh97TvXqv/ckG6sXRHCs5T38XxCsQtIKRrgFFPkyyiw
HYdVpTfp2qk6o22Lp0sCfeSZowc+dvZ+4/1MDsjK50PuSdxjxabyW6vscxRSda1p0FzLxcyHxACC
hvaluVhGW9RtseaPmWon8Pqq++jMxOq+VU3p6TDUCSumKzi95NGzASzwoBKKr879UFE+ZMcVX3mZ
ox57h03RnqB7YB9TIfqTcGG/lb7gybHlZHxWFNh82QOiMWUQj83L6rb8aw+/F0p5Kz+tedQdSDST
K0oKKDrHIIhvKGC6o54NGr3xjD0CPOygV5rj4iME1YN6JlTh0xLxtjsqPwSH0Mj5ySwUgANCQW28
s1ex0V6UiVxzWAAL1uafuyUq/CUUCPabieApO4xWzShzOtn6csE7fb/nc5LJOmCBvpIF5Ag1DWf+
6JZYoE6S43Vi5nCqGNyLXwk36sZllFybNNxXKEt2DrVZ1iuHdPaWZGK5BPodXHUibqM6R/T7CNc1
Hspty8MWZbMK3lY1rd+nIHBV1IXbV2P4GEFRoCAf3GDGLj2sTn0JxZS2tdpW4a5S20xNCUcJ5Plh
hkCMkqpa1riPr9C0pldX2k36GCkbXSc97AxAel+T1X8jlrE7GmL7LMbONaBFAhOfk0tWJ36MIb2e
hzvVUv3mlUNORkBvN6a0AhoIUWVdk6gysDH9CmZ6LOOoH04jgIIyInJ+dOEgHk3rZ1GJeW5eptZP
n2HHk1E5OesqFmrFS477A+OaA3PDxnPtVlEHpXsRmbavhm3hX7lUG7xARL5CkjyVSi3hYwES4VJF
Oq+sJuyKdgP9avLU3XDg/QtoB2pxUTaXzAYTKlLb3KQ5TIVlH4riqw6Q1NQ58jNeJtxMD1BViyMC
Pcy08ABlF3M4tg/Q6UDbsbb6JRoHdVqsC09cLelXHbOXFXXyyzbJLT9NivqST7L57jEhp3bOrD0g
DfTP8LMlcNvSCYytaOaStMtymRZCnSbkoSHskqZ4KYa5eI/hUvzENRvfl23Zvlss8HrJxuiWQlhw
Ijgp6slN8zPyy6BM1mG5CbQRXzYyDqe4DxmUWYCT71pPKM4yh4hEeJcDD0pEepGBmKmUGfhJJFa/
QNsV4/6X6CokQ3zkaWzegMtND8UAb0no++JZSr1dN4ZPB5ch5KIMlt3dQMl8pS1dHwbD9Ced5/Rb
LGDcKqPJL3fUS2weYFr3YTzba6ez9bJbXTwCt8mHE0slrVEeQ2EJ2KO43GCxumGs1Y8bfIsvOaCT
t2nL50848Bs0G9DZ7RYGMzRMaXfsC5bcgOEO42qWRV/nmx9irHc9HLcmGB8EIPiHxo1qqqAMIUe9
8ulNzZY2KK637UYX1F5DqCSADsjxUxNvhUTMlu4QZyK/CMH5VYva6H2+NDGQeR18BCyCBu3GJ3Tr
ispLh1y3ziwg7fxGJDHcmgeC1u39XPaFYjdroJoHoCz9HUwiw2s/66/4nQZAbxe+GokMhtuM37mC
Q36ZqLC7KkYVfbEBs2vVtyu5hdTHvnTRskzwdvQxrYo2zK4pG3V+LIgciivZ5qoGj0u3Elartc6L
TWYl3+ZiKWXMhrsxAN9/7YMpw1ynZJ31zVQsIHpCp8P1cqCwtsWOBo/ZUHSqSp2G47otlH6Cmn+R
B1C+vr2WnRi7OtBDAhEiY2FwyhZjtiefD9q2pz31IHUBT1g/CszauDbiSqAm130VZshcqkRattwC
LeGmgjOr+bRm2+irkfTpDeR6LKzXECni9YxCfH5NOlR/GnFEqzlJkTg18Nuyi2VOs6skcmTgn7bY
swhGVDeRwl5FCHbkMqdgBE5T7wddt4tJ7HMBTy9sKREcrrrUAWt6UQW0cM9dDNVMGbW0fxx9GGyn
FYUmr0g2ReRmLbgbqkgDx7/NeoTTGgK5rR6BbF3xaO4qNPgUV3PgneH3vQ/SYoMlUg7EyRo4jRS7
SktFibyfZ8rzufYpT/sIADusX4cxB71Z2dBH8kDhU29v4IzhaSkHwLzVNrtpKGPpQfxklouLoaPJ
eGhAFN6KDjBpDSO3u4gbvHy+TnPSZoDEuA4vRYMWI6WySebLaAX7nc7RfAdXhMsqyRk1ZUZFDCgO
mN1rCDfjx1IgNYm18tFpHFkIY8TSRhZWzdS1wViBm4cUbS2zNn3yAR0zJGY2911fIZLChISHF3R4
MxuC0JSnh1b1qkyaKXRwJ8kszNqDityYJLdhsKT2BWSuZBd8yunXZlm+bFvbvDSt+tIUKuElygT5
vELbcWA50yeCw4MgSKQa9Fe2XffwHN7puLPHpdVFpSa1wU8PmaYqpUzksx76FG7aFC68vKOIr8ss
v80N247Z2IPGaxy7BcOYkyqEZX6qNxw29KEwbfycQUCk624B1oP1gAUDr0i3fqA5h3hU02Dyg8my
5saMA/plTGZuDtY1C7sEatxkZSBdcSlHPtXRMPVHMbHkeRAkPBQzzGGCJcFtJBy9jhRIy7GBHRfu
z2aso4ih0bPN7GlzEVyisIP1sibFMpkD/InjHfSD63yp9MrKwqzEVZNoeEVTs6iyCCWDhhSCSHtp
Ugzu4AFyP29Mdx8MvPcEN3e71Bqbci03L/QdTnkc/h08ZTUs0v0HboE94dTp0AqiSCs7wNPOuyb8
AuTNHSHaKU4jKeQxUxl/CDjR1QK7+GcyyJeeQwnWoHA7ZhHjb+MazSPsyuP4FhOmr2CHZLAra8fz
qgM4esVUhEE3BAh355YKxW58z1GWXC1r2H0TbZx9EawJP4swXm8WMLd1oqbxMgZk/ArwPRJ7THOq
jDmZblPGYuStCI77IqTfqNiLYT/I/dR2kXkflzzoDn3agQgFmDyml0MydGNldOdmcE0b+ltM2crD
Ku4RR8o06Hhy2ysTvbdtO8OD3eMeSt5nbV4JfG8F+AtrovUquYQbOsrqGT0K4OkOcHxfSTXOfyhU
bW0lVByTLzh4Vzjhg3xdLoJZpPWseHDRTUn0susGjuG2CFt2PlD3SeL4u11yheMBledxtAxqqJEl
8Q2oO32t4GTsS90gpblxxqp3Ec2uqwxgxqXslt59m2ePvYJNiTrNKqCYHwtYK7jh+LIcBr7EsPBO
DSRTnduQzEM2+p1CQsqOMmvna+pRv5UB0pG57tkUJIdgktD8km1JXmfT92+ZWlwlTGzqngQTubNr
Fj6DXcsLqIKQw5XpvLb9aUVSBRs/GVY4X1uYwCdXIPWEiiMY7+J2DYPKsl2J5yVJ1EGrBQ4DKFKw
iCraypZTsRybJQWVIkXFBZI0fdjL2KVifuoi5NTxwLbPg7GDuI/GcDU1qgomENKKdNxUpUP0MPCn
gER8oGiTEbMcNtqpi7/2kI0G8EsHuePsCMJMOHIr2jEdiwrVtqOqtFsrja0yHLiJr1vwV3lfWqi5
KXoHLJ5Jce1zFsVoZGBRgKmHfgE6hI4dkHkX9qgtWul8bhpBx6ZesVVAo8CNEw+6XNw0pvOxQa42
XNrWBvJPsxuYk0ML/ZNEt4AJXNszIxG4l5OCUGoeau1pQPgDt0rgOdAAcinLoWQGB7BA5o7hf5dB
kRHMo+GDrwvVuuRzApapfT6DtYHaCYe5L3ZoNAqZU9ew9u3UPfQCOw+CfbhlH3BpEpeeoKvesN+m
0BTdm1VrG7TlkAPoClDZMr6mOCIQjudX2wJQyG9mJJTujvCCeFrZxthJnDawW3haOPL4yN/j3A6L
rJN+tn64ji2Gt6HRAFQWpoLoJd6tm3OiuvSQQqjaxVfE2smP0CF1M3Ic1A7NdFQq54jHAVqtCKiQ
biOIuZC6qwIR0xcdkqicnro5k94roLALkNSugqTK9is9NIOjXX9QKxQ3BbCDYcxvNqR++YEFPXqv
lPPCCmXLkE4FPWR+i+kJvJ98VbntXwKoa+YyGmE+Q0MU7J0D1Cbyg8CUu4GlIa0WhzE1RVsvGjoV
V27RBPJxQ8+oHyr7q6JrlgeApcsFcODuZiQsrkSU2lseei8PKpYQay0FiGAV9M+8cGt2OSGFy8p4
UJ6WbljFcNIzgYrR5WodYM5ZxIdCuxW0v9JUMvQOy6mt53jzT6YLVocEIegPyEBRITKukuSkUzrL
msncvQcbc16VYbNO4VMuOpHUK95B+E2jEZsuDV9QGgxbsKAa0TxsD0gntLmwcLAvH03gdsQFGXU0
VJtomyN8WgsLjtKGOcQ50VQMFSN0hCnXE3MRmjF765eehqbKWNSMFQDFLkGFmnlzJ/OU2Bqt7uz8
GdIHyCagYYXKroKmY1qQIIURdEUAt+4aVN6w4E/Iw28dCDc0ZotFdshE2l8FDVy2BsJrmCugrVMS
0o3IW1PnQ1KAkgrm9gTfAh5M5pqgjKGtu5hUP/HKAjB73yBYwNpgxaMNyIhxbuqYhso9eDzsmhYs
Lw4c2orvAcRLAA+5am4ChGHzBcXl2j5mXOo964qj7gIZTHqlaZZ07wiRsT/FC+VP4xqzW8gkm49G
h5j5fN0c5GrMAhnZ0OqjVB1ZX3KX2IdV9y2GABvb7mGXI6JpJmFWEEnxFAI+zOqCj+tlCNCiq1do
Y/5YYwofYSIMvRgo55An6uQZPZTG4xwN5HOqTVgWGXSIre43KPTN5ktYjvwdPJVRV0fWLDB19QME
8kW3FMtlg65gCPPDBjlow1aH20XXIEgjUA1Xash8dARDBJ6VxDAW1s0SLwi9AfwOXTmrDPLCuDET
koLBm9vYKnvToHlPXpOkUdkRQgj1aXXZDNXxPGCUUANkX6hu86aUSMDvp2DPeA0aYg0lcmrfwU3M
CshRxNS1NQ50DuUV4JKHTQIBKLdUqfQgFgjs6pjI7rBNDr/TJJDTQTYiVb3E6s/VoNlUxIyr1jnx
bxmixXLt5kGrup+W/Mkkera4XJJMKAg6oEAyGm/jnkXXeduLDDIh5mWpQ1ZcB0Ebvfu+E1cuUOYB
Wj1eQQMWfYUrxg7gGbLCV11iuK4ydL7xtV09N2Wv0c/kYNsu7xF/ddxf8zDyyXFO1+Q1YOiocwfk
SsQAA0bp0YhDhm9dAcVDKSHEuBuhMCHoIJF4FAVFBFfDxEgiDzLk7SeROL1WODeR1SE/r9tYT/k+
b+n9Gq+AoeNoZHd5L+PPE1QWTbnY/i02cvys53Es0S0Z2CMUlRBKNQuWfK/fmmAlDXIrF1QBMo9b
bWHvMcBdvgyNDS41x6audSey+9nO49WcTPB66EzcABfILgJG8lcgxl2GZdCk7yra4oOjxDwt2keX
Aq87jSq+5OuerREJ6cwAiCczJr8wcTuk9VYESJxkV7jTkERL/wS3bFdrgFu1xlKn1RQn9oD0Jbwe
/NhCG7iG6BTl3eeCzWGpjCWwTqLnhsx79idkxaSmCZ1fcqT7p5Cy8H2EAv0zwa8kZeAwcZD8f4bn
Jr91IPlPapmx63L7FQLl+UFZ4lmZzyMJsQ+2B3SNgctdh1SecB7oAWWGies8gzgFv32zTpH+gwPs
qHOHQmVC78utdG04vgZ5T595G1NZUaD6l0oN6P1XQmkp4vibt0D/9UEo4EH6HQeUkEsNDhwups+o
aNE870lTM9LkfubthChv0O8O2iQ9wf8MkYDzXE7gGkA4jmg3AymNP6Ejyy6eikfi5vaS2Fby7RJC
bj+/sM6tybdkoKO44GMuZ1oxqskc1PmS0FUjeAmoWcBpQR/Bi7BLSQ3hXbghbcwJGq5okWriLq13
QDHLNHLJkdJhzb+gSc+MoDIp0aPBypolLUFfkmWATqEOfNo0ELRQaKwgR0YaD1WVhxcamwYydppA
Ctqq8TuZAp+ZGoQmhHoHo1Yv0FRk6xoBtRBaAe0icqzBCTRIw5uNTI9LnM8oYbrYpVq/jvnKFl6D
iM1R98Ey1Dl+x/lo0D3DrHgvUXggKrZmerdiW0Jf4lvQ9wit8ihSsnJTLSLDBYNNkhcVEOt9JDRt
SNGf2sYt2fSHDZotStAZKRf4P2jhs9RdB7NBwXzNvWF9Wjk0msiW47/Qc78aRED+wUCNHpjIMcFK
p8nvbqOBoObgThXfCIeL5CfrHaUiAf2k0WYFas81X9BBg0iqo6zMdA8jUtmDRzHVHA8ue+E/iK5/
vq9f2WXcFjoEp7CrojEMyENwRb9yhl3iYU1quuxDjGr3Nsmz8EOKosdCDEbQZf9CVP7Kye9XhI0b
s7F7h0H5/t77BaBhPhP4Jb6jO+J+xeWsqomTQYOaN1lLLURwC3EBLB8dB1l5fhT/v5vDv3QfDgmB
zeK/pQB/a+fwf/uv71//5017ewOI86/87OSQ483tUNTALAcZQog9DCXCz67Def5/KGQf6HeKXqgh
/sQy+tnKAe/TIUA+MrzmABKcFKqa/+46HONFbjD2771T0XgFvu3wf9PN4XeuHd+y609CmOhgmPnb
SuahiqiJaXBRBAHlZcf9dmELaj79ZU7+1QmU7A7rPEOmtL9Ng8D1/tuG2UJQTQDzgwsIVsJPcE4g
hbEkv5crXLj/slV2acdfCP39Wnu3FJiv0OsVxO3ukvmLfAnPAipdNMO88OFY3JN0b9CV7H0sN+Ie
VCrRI++fBxf/rW8RlHF7n4WEwOcVwpG5h7G/XNIJk0wQKrKLzmsGmH0a5xsQUuhGNgJiT5BsrMUr
gZomOhKLNBIlIpz3pxQY0nCaEjS2TBb0WyytG3Ag805fFKNDC0m0/yLvA4QXgK5NcfrRL3TddHeS
qY8qqHaHKyQ58rEXMMv2gZ5fwr2bKCyq6gjnfHfHPJrU0QaG7DpuhvbkJ6QgXWNgBJqNfIygA/0O
gnd7bQXVr5lqbgl66RzWrB8qC/LgYoticUsptBpVy2P7GBkr/9zibbzf4pW/RKTj5UBYf0ymdkBy
KJcKbc7WCzIyOGu3KTrlC4ECBla8Q9gCzern2Fxn4TzeoYSBNBbpwFfSN8FFn+7wpA7Wi8njHCyp
K1iK4ygav5kcrTvSTTpQXVtrSzKtyKF1To/ERPqtE0Gxitq1OjMogvwKtfAbOvok3tyg4y8/ZkOG
Wm1lWOcVadG8AAm9HN6tztQbh8viD16I6KnAiddWKzHFB89hGyohL85AW0Z+FFA+dO6olxyZIgRd
7bto+zypwLT196QHlFVBHTDeZLAmXXsgFq+532AKZZ0G4LkTj3wDVUgBud1D6PvUuo5UzHH/1EJF
ezAh0W+wyC3H0ZH5mC9pgNac8Fd9aCnbUzu037zmqm4gUbxuihx8fLglrTwYTE47sP526uX2B1od
BI8xrPU3ZIMctjQuFEBrFxLU6A/JSBmM0H2mXXLJYJzDyTmgt5zvxA3hjf1oTDq/i9Dz/rA1Wzoc
grkrrjAFBq6e9Ns099UKiO9u6AngmKz/IDEabKWCXrNgdqUQzUthkE9OTPWnQOXIYIARI5FeB4jv
KalgM0rLTM3XPNAUKNLcQBZGcv4VCjSGD2dfYmbjGhCVB9OWTk9s7aObtDUPiVvXsMzzjGJpY/c4
5Mnoj0EhrQiX705mwTHRwXwLU+X2PqNFTIUnm7wr8LL3KCwgO9vm+WmCBaiCzuEJEuPuYJPtv9g7
s624sXTrvsr/AvJQ39xK0QcErQH7RgNjW33f7C09/T+F7XMAO83Ic511UZWVNgRESNpfs9ZcD8rQ
Gid9jvW1Ps3dSXHmeS08W9yUJUy9SPPGzVSYV6Uo7h0D+vYuYTY9mn7PvmB6Ku0EEUQ4DguMckC0
kvuTW+upPzNYWGVRkSFZ14cpC6a8ARrqinyS+9xT4Y4EMWsbFbglhdVd1glsCQicBihPvBFVsxqm
sUtvTcwDUZ/7CKPdUdw6Ux+vPa1zIhbSzGICJURe5luNavte75blVoCYdB6kYmLTQrOoM7l1Raeu
klyZ3E2XdkljYgrp0exnYo6ux8xaDF11MkYnu2Gh5YMzLcVlxOQXmFhtN1189EJlZFmMXN/6pNfs
A9G1laESr3FLevpdiijc2jD5tJyvjmToiQwBx9Ehm4BQtDdZgXaJRsTrsk+KVWc33gLhbdWSx3BV
ONZuVPv8zgknZVFJ6+HkiwFoKyKsSvXFPIKJhUboba3eYKqrh82ZJgEv64UCiA+PH11nMXvarQ4y
P/W7ZvnXTmiHN9MEhdTWSyaipVbCvaLv2Fc5Chp/MBkfgkM193WnQgCWkG77YphL8L0hkyaG2NWx
MU22Vc7oAI+1u2qVtwvldOEWl53qQkGcYvrABcbF5rAIml4pb+YOq6VvlcpAMz6K4koaZv3NpJI8
4wdJok2GIJ35tlfMKzwnebxusSjv2fp7F7mV2I85cOUY59aI4blz4CCLzEExgJ+lXHzc/Jml9CCA
XWjJhgoXO89SG+PlXFQ3URGjrwCyOEBZrDJ74L7NV89H3X9V4DtVIBs1yox/rgLxI1Xt49f/CcFe
ysAfX/OzDGT7+QFxL2kR5PKAznIpEX6WgZrqfYBTgtKa6sHDyfS/ZSAJEwvbDnEpqiZKx4WCwOe3
hE8YEMIgS3kIozEgOHyTf1UGviHNqZCAKNDArtNrUa69lXeqRVyreBuVI6ObJvU2wMTcaXhoR88s
20OqFg5qkwxwY5xunQ5aj3VmeHmBdq6Ac+T0vlVNZh0dliFiZpyXCi0dS0kGkpGaMgfk7um2Q5b2
MtxmbmIlyZkViZHh2cy/DYcdzhpe6yOzY9HMkR8NxSDjM20sGAOhknAdxY9dRQSsVNmnHtByGqha
DJEnE/OhcFQ/6c/oe/YOLHZvIBpQI65dMxLOlRvLIfYukqRfC+agKMkKF6VjYA0lYqN8aEEoUDfw
OMX4WzVu/aNA/O+ueeeuwfuziHf/+bZ5na76AoX34wt/3jtw7Zb+BFY3EBxy4V60UPwROQemiuaP
1sLh9vjf2Ba+ghvK/tF0vbhzuKk0tNoadyJmjn9z1zCFeNNruPyHbhx4Freu+htLrGk54grPq3aK
07E8neLqhlKyT9a4DIs19rMHZIDjea7Uic9i6yGPLGWvCuekVwOKjGKOsxV+zOKKU7G8zAf1zgpV
4LHLzH5TmcJdzUDP9y0sicDEqLRJJ4out3NONWYTX5faZSpF++gZxbkt8nNDEduwr8NV31oeBKvC
wpQyuP7YJt8HdUhOBe9j0Dg1g7ySjbCquMzrLF34iTofWfxc2loHIr4Vj2jXpG9lLCRNVIJtD9h8
oQUXBngKp3JPjiExeDsMyuHle1l5LrTxOmR4SZk7YOrKzodpvjTT6ahG/K02hVUVJ4+kOVQruBdP
Vp8dOOeeoCkzqu02VQ5PvC1i4z5sYFm0ro2jCQ5q1YWIixX3pPXGQzbmjw707Y0aiWu1zc6Xd4Cj
212ZWf49xXkWANdLN8bCJTdgo/tD5ODIESM6J3HtlpKWQrejfZt7TyLMiF+IzV0UTcdsgEA/53kS
YLPhjVHVwLSSgx6jC5GZvLXj6VrU5kNsZIdI5o9tk8KZtU4OE2jbh1e9NvmFFv571U+XZs5nNRk9
QRU1q2YzO8wm9FwGk4Vf6hQqesUbBf4uRJMFn9NDer5OMoqLgWLr2DOeW0fK8l7GxSOKGTy5y2MQ
vBc1M69VM21naz1fUt1d9rrYsss5PnPclVE91k4Fvz+Lvxs8HdeWlpyjUTzqfDg7t0L9kyJl9Stz
uptDaBV5byOOwDW6yjpeaEzcFOmriVDMSg/VBPvFJGYgtuQtW+yVnEoRoI3rV0BpH0v27utcl09u
NR9HPUqCNMajmDXOQyLVL25jXHgo3AIbPu+k97sZzd2ukePt3Fi7JKlRJrTGLmIt7yuqS8fUs4sb
hvloI75aC8HnCYPIOHiIA9eSKt5v9ILCtFPvAB89eYbowbUxlu6j/KA54y1F7C3uwu8FNDm8oVW/
Ggp5i+mEdVYCTJ+ICFINbCUONC1Jguf3XSvBJ3jmQ9WU6YaBwgklr7Ppl6/j9/SBTXIpGvZD4rTT
zpZcjoomT7Wu1J9hB3jEi8TTCo3VCFiByy6X0NunxrSCyevHXbOAtpvKGvddYbt7HH3KRRZP+bqZ
6+KiVOppo8b5iKCt6QJdyY2nHnT3hLX4TMMMiopBovQ0WQYgllp5RWNg85jFI3CjVvHZzoGASM2m
vAOed1dIhbpvNllp07gmgYyRtJbZ59aYRlKK8rWMMePMRrKq+6ldNyaz+hWMCpvRj2yjg1v1xDM5
zSlX4suyMqu1UMw7NDakmgyWhYHRepTl1D6V2AO4K9MYyUnju86U+nhAbRTgQPrpmMNLrbd6ViJc
/nOqP1XIiqjOi9qPRxWxna5tDAceOj9FiBCByxAQrbqSoJ4usKcNW+weoY9f4cFR7BPLVrEPx/Y7
q5IjgOh3QMJvJ0bsDnRGbZThuAVxYi1//mJ8k6Q2m1eRVTtzyZsxhgYojitPidWcz0RIvDMuej08
tvCY4EjmQKPOwrnD3vf1q3mmGEp7cspdxK2+KrXswIQg9m12EO+80jJVezkJ45UMwwK+AyOJgOfn
0+vF7yUcRxppWFc7vc8evUXxuTyOU01MgcF4oNrzT+rmxQH+h0nfa/Pg829ngO6h+AVavPzv698u
MmCwuV1Y7iaQGWurG28hvAChMswdfSIqZn7fPJ+PbcfT7e8vbbzm3/x8bdYESFs0aIlvi9gamzjL
UbfcdUVrrNKqcC+nEBUlj4sj+oxsR3bGk0CHssnECD5k7LhvPcSzLe18bAPuKecj8zlOXbIxvCXj
Jh3ate6Ko7B5fBOjVQcZKrumSs9Lu90U4IBkEd2pDGMIRjJPgwuDHLck/apVkWBikctjujwe/v6b
/uESMkxaChYimorP880lpOcJdmqUaLtY7zYAAS6JE7osZlRN77zOn95RUzOW0grq42+Qb09oED/c
5Vr16JY7kkUmLYE9yX7VJ70hXXVuBhR/GUGO0yWJCcVVHHGGmnP0vRl5Li+lSppRQGi6PELOQdQn
hlskqCcMjNvY5XGPIKYIoii2t43U5UNk6dOWzU4NWGFKjoPadteIl+7kEuMy6Il56BMXr5LdV0ez
TL6HiYUDJGOp2kq32kol/R5W4P+iYTP3bM4Qk+/iydrFMQSGqJjhitXymDkLBG2YLwECI9HX+d6e
q3xurWwKHI0a6+9v5B+eMEzZXY8+jYXRb5ZKEI1VYypGuZsFTB7KCcmTzap121dwcP39taiwf7vr
LdxIfFoOynl9+fMXdz1QOCCy6K53qFiuzY6gmeq9B+bznfTmycJCimCA5b9JVXzzGkncZLh21HJX
eWO96RKpB2Y4Py1P+gSB8rZvwwOzDrYK+gm9Sbx2StQrMrzv0vSLa4+lrxdjS1uYGrsx5RDHa4OG
dwKno0XfZ2xtaydMsl1u2LOfWkSADOrcneVIpxi2fnRJfvJtwH57kwFQkFvULbR7QNk9KHJ6C+3e
8Jg9DyTk+KqefLdKLsEmyc5HueizmTy6dkqBqoHusrQa/VScwKTsrxFrxSzb5+M7n8kf7lg+C/pq
lEVs7yz99YdS6vUylyzKnZbTKIxxkQQJeC5fVzJ+55h3IKHcWuWTeyosG2hX16o+UEf231zLYcY4
1i5haoULTsLWqtUQqw+C9Te2GWf2sxHO3eAgaA2tUwzXbWW1PInQo1ewbKY7aJtPDKf8xElucCFQ
VaE/C1pFbrNYvZsoxPwaYQb2CbH1anEdYQHy05br06x58HX2CHKIBdGqCNk06NZ8h1B+PP/7m/SH
m4QzY/kPOCS6tzfvkYgaB1/bWO5IUmJkS/vhCH4cUx2Qv0XvfCK4gH+/T1xOYR5rsEvd3+5JKGXY
kM2h3LV6V6J0Y8aHWuDAlmCHzjgBVMQlOU80SKPOYypNqQCj/BytCWK4KrT9qvRq8MBjs/ZYTkB1
QDxXTu6XLtPOlNG9AE/UBbFHtS/LygBm0j0hSbiWOWBZZzmMucwiI3sMxVKlEvCWzup5M5QI3StC
rJhWjD38l56P9Lm9nE1prBKLv+i12cFWFmFJLcZNHQ7ImmZED9KVl89NUFgCNhV9Vh3IYrpNehpJ
N2PNxEJG+NYscO1FCFJMD4vZeKtn2iVSkINhUK1pzrBKymxaLf+gFPybEIVqENbDuNFM4miW26iT
1qlyxC3MNBoIi/gw1ybpKW+olhiBoizJMIjU/O1WsR6aFCocIN3mzLPkU9vDmBl4g9M8OU8Msqc8
SSkOIP0hjcdrVF52gHMcjlNxUMb08JxW10bcwH2fH2iKt0XIyYLUkAuTu8MW/XmuWZ/jjvjDTLNO
YzeuDL2dgqUxQrQCiIxYsyPIxlPemw96y8z4nSv3D7c3tY4FTxr2mcmK8/XtnU9G2uimVew6h8VA
N153KufeSJsVkp6zWuqv51a7gsm2waLCebjc82XcbybRCXBbfBn+5lXWl+nayzyEKa3hEBcXofDT
3XLtyWHa5UtCzphkBXBPM1k3S3YONGPvvG4RZc4R52I/k3sGpY8q32G5ofCMSfvpDvPeEg0GDtBW
ySqVESJm7P2nIaIx5DyMjYoPBJ7J3kmH237kCdrq/XXr0pJ6Q37OluPatIZkW+W2XCdtZqwauHg4
b25TpJarAivJMgN8sjtEhW3dX+MTT3eQrk4jhwhN5nBr2PJyqeZ759f5+t+E7Z0JG1ccBfg/D9iC
RyIEEHcnjy8TKn581a/JtGZ+0AwufsbLOvx1i2/4azKtmx9MFSAEsgV3Af7yCH0xX9Nwvru0MKQG
PGsXfk2mCaigBaDcURmOUfT8K4HC28f0QlbQmP0tABAe1txEr2+tHnRh3QyDPJWCpM+RlGLCHAxA
caS1ifGKVel0SOVYZmuVtKtPfWWOHzOzk1BvvLK5f/Hu/aG7+Y2NwU/DtHHBEtC8LbKN1z8Ni6M6
8+JhPOlNqZEiOBNZNzgVNgg59nDbRmEOn5yxZnnfFm7fBKBgENCBlXNMZABO+dXre/WC7xHTJ+e5
9hF8hqttJ9sKv2lQ7eQ7/dhzufeiVHsmU8AFXZpOy0F78aZXMBMMHWCX+hPcxiiiS5nzj6OJ1m7T
O1NlAXCXWrpKHPZks2MjKJ0y1dhSnZHF2I5V/zWWXacFCckyKwx8FRryIlZxGFMrA3Sr0vgyG/Dj
IQvvVvSg3l0XN0dIlRbPiU6xz5M2Hovt3z+H13IoFOQIoch55oOwl7nw2xqXWT2y7zrvTpwq3l0V
uZrum4Qc1X5dDvJSyNa7qUMtf/j7y755zKuYt5DpoPVge7H81/JjvSitsQhFZt1F5al0SQCEwzec
wB5ANgzju7+/0pvW/fmVqIGQfC0p0M6yLnr5SjWBPnODI/GEyd18BMTa5gx23Un3szpeqw2IuMBQ
J7cKsC+L4r2L5s1cm5fnQtHpHThsWVe9fXkwIAliMwQkTpNZAP0Z+2RswPItcMhujWy68ieVj34r
8kZgYc4q5xu+C7ie3mSeSdto1QB9CJ7IFC7BR6OtdTb77jR9qxXSvFQFs2ZgYVxud+zL5uGdduut
IGf5+ZfOhM7VA0CMbu7126fag1VaVqiQrhoWjwlyY3L1FA5X0zcmmOkHUh2zLwzpcajPDcg0pJBJ
gHjb+d6jAqiCKY4chKvp+C3hHP46WnXsvDN1oiHjp3h5azqUClxEpB3zbF00RK9/Srt1E7XFtH/O
/K4OPXfVe/G8XSiy3qbnxAXz1ahXYzFZg49Jy8HuU25RvNTb3KypEPOmuK7JzKFQzkV0L9Ki2k8d
Q9LaauqPuItd4grLEEVOSjwoHhME5WHalSdRKx3yc5TKESoHUv9mlvSBTluyw4WaX+tpdBnhKpYs
xxgGUrnd9mzcjZXNjJeAwknn2UCc7+yrwk3P8thyP4UqnreYdczZjGjUQ0gTo/3l7Uj2itsiKReU
0itNWMpqTuVT3eHgHoCQobcveod1dzPsyWDRb5uYdKFt6Cha4rMfCb94YIMxfpWN8nkooA/UdYew
Ghv6Xmu8/Gsy1jb3vVFkN4kXSscfUdwe2rAdgon3AQ207l3gspRrlL7NRtOkNq5zxoDYnAWI1YBi
J1wXndHiJfMu4hB7/QpYXL/jqNEZdoNZQRHt5A+yUOOj3nr1jYWPZzt4qaJvOruYH127atedKtN5
M2ZutFGQIj9iSBTfAcfUVjCDb2BeGuljtJF9WnFzCLGeInYzm7YKYwo9o9iV/FXQWiYZvDYZ09iZ
aZfJWQ4FmobKkrNv9nkYGEgNCmwu2TpaIExXwtDMVULDmNOkmE2/MXrhdVtpOPLMxnaRh6Cjmr4o
fDysWIS/xmHMxONTJxS5WC68lkd59aRPRdobLQ6wYajVU5/1kFiw9DTzFuhMH0LvYGLvp3pe3ahk
TuzTyWAHO/AZMKltmK3xceEIX5UhQzcQiJlo1nYmIjVo814LL2KEKvAYsskR8YqcOq8/s7ve4IoS
YaUtOaichRtm82l4MXLrkEjGLhall2YQMrEp86T1fKTK7JjXEk8n6guPLZ8/hZDvQPSEBboaj7yU
jcidHHVUSFWwsUqGPoE7WzwxSz2DhVDErZIDeZii7hIPEUS5Kkrc78owOom6Uiu9B1niDu7Jwjcd
HkrD6R0rDUrZNfO061Seblh8o9gBCtiNc7MhpLNMNlNuF9NO7bqiDphhMQVzpDXl2xYkMA23ber3
Sl3M2goTXca4MCtU5QJTqQJDoi/L+7QovGJvtF6fr7O4t6/nAc3LJsWApB1jEXeI0ZxYj/tt2I51
ecNhbBzQg+vZZqDTKtdVn0fz2tXkjIw7nWpxXrhQR9YKt0oLz0YbDi2ZYvkqCo1oWDnwo2omAh31
SUli1PwNLZ5n4zrtceQCR4+bvaYmrMcSzEcByBdWD0mVhOwkQ+KYmcXXHvRkkZqBAfJuxr6RoiBA
DWhutDqEu+DEnlOvNSJfqn2caCJaZ54ZE8bA30NehzaLyycCBSbJc559XJ6M4HA5THA6uY/0kzYj
Z0sIR2V4djvlQh9Odu2xZClxA5yzv+dIilB88wUe1kNjA8paKz/hHy3jQwPeV246Yc3JEZp+f2si
In+0ZIiNzNW4eMF6Qgdad/ZM1Da2riWf2yBGIEBQvyZYsPmUIzzT/TRKxxvE7uJL3cYMrBzC+NYu
2VQ4292Q72PlFTDvsh21E45dw7zqeku71Xp8mb6w4YUHPQhkuR4JWE52LcZnAAQOTq+LRHG8u1Jt
loszTZtu6+Qdijc5mb0bqI3gs4lFyQ9WQarQjpxg3h2WBK7ugqdku2KgIqt933mhfpmSV51d0yx6
5l6aqRjOe9kvxWc8yUt6dBq3ShS8dFXNREdKvehncBrO8ssvP7rg+cTPhR3nZFolv8XQwP3046zK
5sDLRm6dOo+y5KqEdI3VfKAqiPgznql6X8YXjWZONOZGHat83KjDhvNCiXFbJerQYK6GOmisCd+F
PsT/R1zFb8QDBGvpUif3ZXGH2dQ7wJdLyMPFhMd1gWf/UZQ4J3GAIpc0eql2x4gyNz1WNdSzG5fT
YtuVqnZqvKj5RHYJ+6jYjBP9ULmRNxwJp8HpM7VOgyUcrN22ZpmULcCD6SnLM+tSDh1muIZsq+xe
2EXU7TCZF9+B4S7PkKTJ4xV9APGJCQyfboOC2LtX1LDYFKKO0JuaPOamVsTXCayoI07e1FpZzCCh
dOYsEhn26d4d6+8xYlNacpvMSmh4e7OstOZbwQN5Orgal9QaPgjXSGphS91gVB3XHDKiOWrtoNtB
6OX9yElrjCqld5N+JmPdu1UmyvTD7PWt9hUY0NQRgccaFNaIzreShbYgZAQstX3Nx4J6BpsL0Plx
7M/l5GDBXEYUrtPtzAIrCNPpBQ2Fi7+bt3WeVRVbDmmekWXOJjBuymI8RlDT48C1uiK+pRLpvqpQ
v+BDOUk3+hkzGMx1YnQbToGpucmjRksetGo23JFxppJNH+seAgXfDGzKOoZZHx2UsBZf0AkpI6Tq
zs72CSy6K9kp4bxtIQ8k62QeuEgTvU+NS5nlrN0Lu17wBvWo2ucmO3wZMIIR3VpAY2A54JbJ4sN2
Cp4dXZevNWnIdjXmCOe2M4ED/KimjJzVFGLdZLYFTOAewxkh53HLtcZJ591xrRfdZUnCPQ9YvfZg
9RYxWAg5fALGLlwNzevofLTgH4iVgAhnAqjJ3fG6CTsP2UTEFb2uE4NPk8ZhkmeJwUDuzGnr2LiE
5ZHbe5IRcOkmUirRedYqNbnjHaZon2psYKiVI+H2W+jHmy52sxhYmKru2Sxz30+YBhICaWLnxxD2
v0nKO5MUDZnaixbtd58HmVFV+WqM8uNLfo1RFhUfwxJSCBzqrWfbwa8xChMWEv/sH5BP5EsMtn/5
PBx8HnzVj0HJa4EfaZ6A9tgX0H4RJuP+G6WSrr/Zy+K+or9gI0tfhyyK4ul1r1E0WA5lZguI+zUw
PSpa0Rc5CzrLrlSepaNLhFXaOP08bDOQ8oV6DxIO61jGgdDd6oXZE5rOY5DogpyQ4lqkiGMJxHJv
EhtLLYm4Q1omGmeEkDAyTGLYCvYq3rRLFSEQXOBuZOmzx6hedCN2ViykfX1e5lNaIpZNEKx7bl2e
WRi+DtgmRnWfJvZ0PplheJsaTQ0Dz34gZnjcimp0liQQ0jqstD5LC5xxRSrRvVpWpt/GdoJcNokR
JlMVLEcoQT/eWkBiEMh4Z2wZNlPM6xnOwKNa6yh+y74bz4n245lEgYXmuB2XJ45nRGq+LeWYbyVB
vO6KljXZc0Y0DoqRnkD2blKRvCsKDbFdTz2Lr2wcfGUJg4sLM9vVYSs26dyyowHHwDfGuRxKDGPh
eKFbYfmpF5N2LUjbHLdoL0jQ6Dq04BFsGrTz0TT7XUZkfWo140PfItkJZwRTQRs1tdzLCiIxvniL
XxSmwaA/EOjYkN2h5bSJdgtlJxvXdlQ3mt9p7ZkggGRh5IE8pIhlWJJkwtrbKI3vPIRlZ/pz35A8
9xDxcz8xLq0FaUx0GQ39hv7ceRhLE2I/9yNj2jvgr5cuxXruWBBZ0L3QCpInQw+zgwMdr8DG0Ofo
S8sjluaH7S59EHogeiIwH/RH2tIqsfFTH2cIv5vM4m7cLPaJNaX99FgsM0jK7IKmq5L1jVa28ZFk
lPyhWpqzUB01EdRK1BPnw0Gy0lvnAhI7Dd3S2jFGIX4ClyMdn/rc/UVR3mymMZKcQK13IZc2sVka
xmFpHePnLrJaGkpCgizgPvGA3YFCfA+KWN/3SxNKdG/4mbuBzpTAEe9LWIz0q3TfY7aN+ka/DfNk
2Iu2cDaQVehyvTLsbjBjP6lLCzwuzTDBjvTF3AHJvnJoYIPpuXOOlia6sHPzkC2N9WIb2o7dok+w
OlStK2tpwrvnfryjMwc72J4aV52/5H0Rriiop7shqYtd+NzVK4pKh18vzf64tP1TJctTY5FQ4vfP
cwF9TMLAWoYFWhxWH+2o6X2heOUeLlZ032MtwRjfh/l1tgwduhliG5ChbV/BRW2d0ESgb2bqlRU3
NNzPs4uqNFkzuRbR0sdnnMVg9fUFB6tHt6zm3zhRpz2Opgp9EvyaUU6eX4b9U0q3QeMhRGABM9ot
ISjQbvRHKaZ7MPxWUGaRJ1feqDtttsIXzedIM9HE9WCjhKNb42Wh8A9T+2Og9N+p+M6pyJxzsR7+
84Lh9E38v91jURNA2357uWP4+ZW/JLzqh//xP+qcsz9PxiXL2gK+8GtTsCh7fy0YrA+GiqUOSfqP
45QJ6M8Fg6l/sJmWLeImdD7LDvffHI2/ySUQSdBxQ1lQ2Veob/m/Jm1R1IDa2mWlFQfGzG2GQPSd
ce6bwbG5KDEMFGbA29mIMJR8ffr21ajUKOrxVmZgaKTTAanAWhLUmdmvX7z/f1hRvDnon1/K5G1x
kJfBFX9LTK+KUBKTYMw7RiSoCqA3HHXQVD4CvAKcRNLvCq1V2ItaJgfuVL3z8r+9nYzaUWKhdNE0
BNZvw0r1fHYtuohml5aCqsG5dyFn/P03XEqVF2NTBHS8hLVI9lQ+N/2tgK5tlWlQQ63ZWZq4lZZx
13kacb26Bqhjbr79/cUwdP/+cqauumDKWWmZtB6vPzsjakxbeh09EhXEIcoK9CKVpxToSMICCbP5
0QxFA7KFBye5D0aVQqDNPaqlIms5u7sqTHxHZ9Dqx6mb7QfheEUwVqNHf5vnVCNd56UoYhqtJpIm
JpaEZIq9nhbGFz0V2wg07ffSBO+FClvV74Ad1JAqvKFYZUppnHjueisjZiMLu0HeTWnYniV2hJWM
BPc2XoH6KW5tUEL3yeSQNYY27gpoinVh9WV2bVsKT2CzLVBK99FpGEtQnIUXrip3IO5YtQhEYdC7
Z6p5PtDEboyi+G46+XWVmE/27F6B/y0CQYzZoVbl52ixsRKtYa8Vi+9ZGOm8yuq52WaNheCk5PTq
UvGtjT2oz2l8UU+2gviY6ampF8NaVMI+SQlN1lPs8KBHxh1z4PAAxxZxT+dQsozjN8NWvFtJzNNq
0tL0RGpNdNvbZh6QnhKAkoPTXC26WbAIu5mwjXVK4PZ52VnBEIfoE9xJHK1IpaAR2AanIBJT5O17
Nx3kJqkc77Zx0ADGrqUFups4Z7WapuqxrLVQ25QS2t5Hs3SU+zgb2wu6eL6PK6V+W1FtHTG6DDu0
n0w92rYv+FSt+BgWTXte5aq1plnMGBxA3AQEnl42FYLuVBBWOk6DvhmJ2rsDUuGuGJPIgAw1ffg0
JGqzVC4TqhIi0m8RX81r0G6a/88Y0Xou28ui7c5CbzJ+oETNwch2cPq1c5phe1eUXAvPPFGGj6BH
CuNTnLXWhEx6iIAnG3KHdsy7Uu0o3SpG3Z4/w0WHfFrhAZ7O3wJGK5vT2E9sCKgEcuLw835RRkGm
25eMGTcg7KqCTC0HTI8WfU6HLN7zZfdyxDdUhM1K1uKqnrKPqca6BumHsjWLcjz2zAT8BK4lMJdI
XCmh0LY60TQ7jeR28L69ubdYJxwneFMABbHwXLAycXWuaN12fcoC9coIm+kRLJsa5Nw0Z2OUKsc+
svWtIVFO2Dnha6u0YFychY2zatSGV4sy4H7InhQDA6sMN2EdT5Bw3PCTyxwOiXDkbUmEE0eZQiNy
KuCltqfE227Ez1pkheJje8XIHML3LayMRDY7F4dZj7Uz6RnuJkxtdpdVBUg8S4gfcuJHIzTuPW1G
/M+W+DqRk7rTR+Mz1vIzgCrRTVapJgod3mkjmQ9kQQ3BGGatP5sKgnwxUhVBTg7sOSWGsKmv0gYL
YNnMX5PI7Vw/VrPJd8No3LPkGNaaol7JadggTYvo0qCtVYi/tnPGt43IevjYaopT8HgSChFWbcUY
pDIeuzFfApJhEXVy09SRcWthi1yEvS01ozN2l4NSG488t919UgiIvRr0YskYbM3Sm0/IMuv5FOZZ
r/tGWE8fK83Nz3ggzXtNgj+qdetTWzFHwvwGis0NqwAiL8xqNT6LgOfGHAA+7SGarChiWJMXWnnq
Cnefj/rHjN20r4daGURuezBbl20T87ZVmCnueRRm30Kos8igurUz6OYjlP/6SzoY40VtAqb1rZx7
j0eCfZFMqTxDmpDT7untznCTbFWJWTzgizHgCC1jIgrrCfWhzQ3kK6VMv7MQyu810ai3oTObV8ac
ApHLiWHU8gIwElExBgPeuF/jyu64T2z5lTYFPwBKHt7mMshaJ72zYgv5tJdUedC0+RBopjSDlCnC
OnebfDvMjnmWG4loGLXO40XRucqOFFp8PY3z5GhG1Pujx+cOkjPdu6nr3Oad1KALJVBtdROB6zgl
O1YhOqo3LyZ7qqqOlRysndVb1gXRAtkuVqLos2utiyiZtvkEnrsbY/lR48m1goDvbniT8lvDjbTA
ArUNgbvP9BuzAW0niuK+nzLzsxzt+GS39nzfAbckCkNggqrb9jRodb/J2Cpv+slJd1h3CNG2ucg4
PL+XWccAjHjfjR2F3Z7zUexHkm/9hbLr2EeCF2Ciop3ohh91xX9F/jtFPsHLS5X4z0X+htV+8vX1
7OvH1/ws7131A99CtVA3s8aiNKdG+lniu84H+lObOp51PMkyLzx6Bu5WbHjk2PLNyGQ1qCV/lvgI
jyyd5f1SkDu2Tt38b0r8N3t2GEJ4LRDMU3zzjzhqX1dwEXPT2a2rYafrFDmcAB6bQgIGvDMORQ+Y
ptWWZximeQh7MSf/i/fqDwX5m9qfLRBCIbAg1JCOhcZq+eleiEYAkc7kSsh+KwZ9XDtTYZN/yBU8
kdqx+z+8FJM+2DEYEn/rZVojHTWtsPqtqaF6zHXkzUYX12smjM3/4bfirfQMG62F/ds8cdZkBrHR
7EnmkAm75rlZIezMgl46w/7vv9Wbjub5DTT4nUzKJtzJb2lLCKuGLLd4A70kRGE16SygBvs7j5dV
VIbLyWso/mLcD2r2FMHfX5xr8GWz8fPFEe8vVzHb5Ddz0x4HVWjUfQ/VybQXEkO8LqFn/rv4IF7F
Yi5LsjsZzvCk3rpmOmgL3diEw1I22cSY6SVaYktSh67TumCQ+vdf6k1L8/xySPZUHQcsl4m5/NIv
LkmGiboRa/2wjSYb7f3/Z+/MeutGsmz9Vxr9zkRwJi+6L3DPPEg6miXrhZAti/MQDE7BX3+/46ys
TsuGjernAgqFyqqSeMRDRuzYe61v5e1Xkrfeg5jyjJ3q6AHS/LOB8mX6P/HX+icvwY+3ke4uTgGO
hsgIxcczW5Tk2RjY5GBkwqWPwzSLLyv83eHzw8nw299lIecANSbo59vnV/FvfxcWS2IWZN5v7XTQ
C9swLrCcnLRpYQMReGH/9bv496t9eDQQChI0QZb6FjgHxTiMjHgoEd9kOQpF2sOLNs8///qS1vmw
+bez77e/EK8+Md/nLgISp+//Qp3kXgDclRiUxHNOTu0UjzHBFXtowMGOcJuc/t8t+3uwlIWj3rxO
BAcAybs+buvt0IfDup9okrWj33zhnGXstYcI3Io6eTeTQwP9OV6auZx/szCZP/n+8UlDRvLoTFg/
PHGBotauO16jdOwdpO9nsMUCkMewprzGl6BIDWkIAl3Z3L21VUzOi5j96RrWanPFUMJexk0cnpg/
xL95F9yffrQztok3HPX2Ry1hFhaIZGD2IrxKIGcm7grFItjxwOvW5DyrBwJeAeSPHlkLdTFXB1Ke
2gvUJlTb5dQNMGorxokK/DOEx4WN9GEVVYE4G331Me6t9sryZmM/55gx5HBWv/vo4SWBGI89uofH
DgQ7NteUrGcH27ANXnUx2G2wptd96PJW0Y6lDMQHEBI07x4TJ39g/qiuckfbC23P+aa1eyCpRneq
QzpZMmXcoB0sUVNURBcCcPGT0cphm1Uo9SNXv+favu1gCMJLjfNd5yXdid9cbX79tP64zAQuhDJk
xQ57sO9/eFjhRLu9O56/dJVcGXmfoJQUezOd7vs5atZ9T6LQ/+KKDNXxAJ77ih/7bCH5QkDT827b
RtHehIxHz/9LWDkXrY1EiOH386+v9+PezliN1QY8xzk18KO4VsXhUPHddNtMEwJg0fzYU6/CnbDa
33kMfnxM8agQSSiQCwoaluf//W9rW9y7GKXQ426JJ3ePtSHNfT32/m9u4E+v4tBVswLkMtzD769C
8KFRdiM30AB42UKMD40dE4Xg+tf37aOqm3WMvyYwkZkitMMR9+E6OXIfEyUPKrUJMxPqL5zXOClX
nqpqTsyKHHebB1/4NlK+4Ak1xbZ28vR3y9JZYfn9corenSmme86YZC76QRwtZU2iyeATqTUV/npE
yrZBz9RtnBGT4dJ2ZmdvVuQ6tKL+WtSjf5t3546cK4bLcp7BFOXknP761lg//UwobMEGAvfDIfr9
VxA7hgEk11Zb8LPVXrTuOhQ92pWqk1eRavplQvLKp2+mG1JX9ak/szy9FPRpGFTYvariK7HBw1Ue
TJx9xxe6dtZSYn6/00SuL5ou5aBH3vWh0gS0iO53xcXP/4BvCD5Ket7/Dw1ToozCUsOd2jowE2JQ
XJt+dOKHhFVs2Ug/W0UAz5al73XsWG15QB72SpvtnvTYcN83UbScGNiuURGFN/Xs1/cBlLqZYenB
DpJwg+pGr8Y8M9gruoKQeWDNv/4KPmZyfns6ObAAEfzzL/jwdI4dLPW41mqrjSw+RHNYgf2d6BAZ
YtWlOPPsHrgNTcG9XWOsVw3E7l9/hI9e5n98BGYSkBPpXH983QPNWoLuV50TLTpY/eDmPlNWXfsO
/kEgYm91MUxPvmUmX1Cgd/0QL0nGSlZEaeEvjNXGEhjaWnra54ihsaQD3TfLhAtuJ4Z/ZJTF5ldd
mSZLpX/n2/naFRm6UyN8AkDf7szBFRcGk+TdXNev/iDuPM2FSF85T/hDeqm//oN/LN1wwsNPJMvS
9QSnpe+fetcKyLLOWBBkVjxVETE7WbEyZiI3oGzY619f7CfLtkfJzcnT8fnFH+1aimS7qmXR2X5j
lyDfZ9cesoWDcvI3Vwp+XGC40tl84TieLz4W9hAbe0DhLk9SG9+T9BE/ZcV8BhBpThOuzhExCc8I
DpEHoeLXf+RPdl9PQGb0zyhMQeH9/R3t4lSSU0JcYO/rT3gHridf3pJ+9V743WeOvN7q19f7Vnt+
WEzRuNCVM2EMExv84SskdUFh5OOR5Rhe3fY2dY+O7JWukmFpE+SFZu6+TotpFeuG4sYJsNyquF2d
Day//ig/fZhcz2FnAQSFjeL7Pz3tu8ElEUltR4AWK9FgQHMQPRN/XsdLN8nef325n2yaHoIJvmaT
szeH/O8vhw8e2l8/8SXrdtrGzAmWcx8kvzkj/vT+mnQyeJK4vU7woQLIlBnXBBaqLWfkdhkMEzkM
FchmLwqM/Yh+fRmj0QQ7LYv1GOGrpBsA8WMwjjPs+N+8rz8eyjGmcCrkUM5Y7Icx46gBKJKty4cZ
CFfELYFIrZ0J7tIxLnuSTxpV0qv1afLWeS9+81p9NHicl8dvoz+feSqz24/PGgRGtKKVaLfadJLP
jY/NdEGqQndSqeniNfBq4uuIURIkFemQ0dngycJdwSKD2YgYKsmXo6HHyyGxmRRZXdfTyIxd9fbr
J+MnC00Qgk9hjcE59ANZJDGCVLuVJ7dgY9pN7yDqhCoIbZAsxN/ckp9citmkw1D0DBng7nz/EKYM
TejR+3LbzRETOlv7N3OVlOT1eOJ/8WdRgzJg9s4ttR9WtaZq5q4JHLl1rbS9Ib3P29Taj45Z29FF
/Gej8Sd9g58sYlyJtgglIj6ej50Ka47irO65UmqLeBV1VXOH+gpgpyAaldgxZ+HUZFP++qI/vZWc
r2E2e6aD5e/7WxnHghjCxJVbBMoDoxvsqmlWWqtWWOo3lwq/4Yg/rJpUGgKdAzYvmxXr+4sFxOf0
8WzyiDitkBtPaxI308QZ5xXq66pYeq2yVh41OeMAexiNDSfHflrPSNfLmzJweblwUc/hPlK6eLSa
AcFyW+UBeZgFeVAL3DvJa43o6DKHH6s2cVKcSZmVCU2y4k+yl75XY9sIBxdK04jzTR+/ITeBGfvz
Go8WyUZxnpj3Xg8nY1U4AMM2mVlO3tomhMd6BhOSll89Qo0RJpF65SVHYLx2dE5NaJMHVdSm3hck
nRAImZqlszZEYx7KGd3rVvX5oK7csuqDS6frdXTjKdT7G/7ZGJmUkuw4AewEMLaqkKDHl9BIXH/V
n+fsm96Vxd0ATSQ6tJVR78wWCNJCx61FFFWSPpZklZAq02Pk2vtMxJtl0Nd1vtF5quN12WCGucjO
/uSUyV0zoppTYwhJeHD1RAAHxpJjCbNE0HcoG2vVlO65uEoRWb766JeBBkbdtJwDp27vGhctPxo+
lenrMfKHO/Lr2m5NAGHo3wpYNOSnITnr9xSxzM2CKUw3DokRRKI28TwvSTYNt1XLFrUuonP7j2zj
EGiFcoMHMhCYoBVlbS8VUX8mY5TG3ZVBf0Ofd9PjTnsibax4LoxA3HaVh80LPeTOOMN8bRmemNpu
Kqk2U+JXt5FPE9VJ8GJgrthaTj4Sy56Xm7gfDvagx6XVqNcs95yF21voybLJ3uCteHOAy60HNOZ8
htbfemoU69BJva0TzvWCihlSRxXGR+U002e/Q2vp9GChmAi+ztLDz29jYELrtXDT4hHP8dozPHnt
okdYk72ZXgNznJe9SM1jUBbJJQ6pYstpAfJsGj1Os+1uXcO8SVN0ixgaon0UOvlyyvKeokL5y4Jd
YqWUP98QxbCXnYP4ZSbyIp3zE5FYWEyc9pAzp1/NIifLs2uxS5Foho04J8rbTojCS4PrKHBucS1M
a3MMks08t/NSG12/iizSAmdK11uyFJuXKlDiokp8JvWd9FZgm9t3z5BQWjv8jQEN661f1+6ZM4fy
E1L33haptVfaD9Y0KQ4WRl8Q/iZSR/1c4o94rtJoh6bnLu31Mx6Vaj0KhqFtHz2X0Hhb3kBGnEPv
V5vBIIgYq9Q9PM7ooCJoXl5cB2uROQbfg8QmloUIjDg33KatMVzLuCX4pZ/YF211QXaavygmbDXa
ID5Yjs0usLt0l6oSC1oZDO+OIiJGp9B381WOimjWWAhlhRN7QaXZYn6p05Bw0jpI5oXFw/NUItKa
Vr7kHMFmyiIBUXr81HDvr+TIU5aRkbwIcnMP/hxwXd3VBA/NwZH/UK8nXoh19CevG2lGPKpP4I19
RW6aFTmQvWc8j58M094AqsYOZmDgaLb+mQw++cgRd3ZeWP2qDFoSyHSNbf3CMDxAZrkftPGi0INr
HGjPCkWTVuK/ablTiy6vitUclMN9Qlf/2ioyNJsoANL9mCGddTG+XZmjFWzqdBiBJEqacUmqxGdP
RNST9HebtT+L4tiwyX7pgNF460IT+5SNbmpfTJPy7pwhj95DmvsA3ivI80BWBrGCKTI9MGcq39um
9SrS4ZT5ghMJVnjfuCeA1c05D2dc4QQCpUPFch9oJ/s0KH6PNgpsPJ0lD3PNeTqdKmePjVc90YVj
DJKpZD57R3kSEhA4zwkGxy+ycRA2TIZ89iXRTUTrdsXexhu0SbE/PLk1TikMhuO48iK3BEYyK16O
wjJcvCBOvoo9z11mFFx7HEH5yqeFvOZUGrabnHNTuSMMkP9/B5HjUUbj2YPmpmawCOMxSgnLRIC0
LBkN7huyx8/PoDEe4jBL7qDOFovax9+yUdxO4xHnEn+if7bYH2Nr5qN6+fA4WFM/MryP4lMayGAF
wH2+rDuyZ53E4bfCr946IvXuhg4yzYJKRB68JklO2aiaF1p31prGmXuKW15VgtfLeTP3U74Z64lY
G6z+8akomrMaj8n7iZdI8lLx7dKEl4ccvu3JT5LmczvELWFnrXmvUu53CtaKRLZKb4OEmwrTXBOY
ZMmbxm2bz0QNVy0RinMDClxm6ZY7m+7cqeTXGjjUzdaRh8bMwot5UM3nTjftMwN2az37voSWF8Py
mnuCrBa4bqIDsZV624edegtH5Z6cWRqQGuswPk2wdBvqXXQEb5j4HMjUmFZtosjtkSjkC5NtuVkR
7BojJwok4JAqQXAf9H2k4JgJ874xNVR6t44eGi+BA+729YsXe/mqAyoJpBJzsLmAfK/e3N62UKYE
ktQBEa1iHJPHFszgDk/E9BAYGetiHKU7u+GnG2HEpz6EfA6416UCr0TAxMKWxb7Nzxa8DuQT4IF8
jA5J2fF/iIYwQNIxFt0qm5u6X8y857SxKvWkNU3rAG3Jmx8DVowiXezNtjs/5T3qX2YulntHSvmA
eqrryYev+ZCFK/LboGubVztLvDsjnGUBH2BMTtorkbkp0MbPhZyn68BT/aOAF3+bnr9uq42CCzcz
o1vpDFwoN/Qm9H2MORQZyclR3LUA6OO1iA39LuY63RoTlrkFTfvoFo+fs5ciqS48e+Q31nN+S8k+
PYSCicw84mU8AKVRydogVv3dB5OOmAhlWr2g36JIkvcMmPmeUWP4JDgACl2KGO7WSThyLZpeSb0H
KgvXLul5kmZDtiy9nsOTxpqVnECC1+ayNOf62iA7lDRGXfBdCxUkBG7bdVAtQxSFdWBwZhpESZBa
Ocp3o87MRyfGgzSMyvzqDRkGdF49ecNqMb/XFtKNJTx1ePZt5vZf8UDNLt+Zz7PfNNwWj51cbcWY
m+3inNBxP1uFcRt2gtXM9+D0N4G86aKKxr+0mqtu0M0nsinljdkF8Qm5UbrtQkiuqQrwFqvk7KEK
eL9JQO6eZJpW4qY14MkNHChLd19jE32novYvORNHGzBV6A3REvj0TTu7ZyBsBy+zCrqrqGzi7VAU
w87xSr4ats0Lu3VyhOt+nF7DU202ABfUQ9uAFGrn5L2La/4r1TTNKhoa+7MbxgQ+NZg0GwfzqWWT
kuwOtrc1uV8LJpoO4J6W9xAXt741y3a6pgghyQ2zx6NVxM6yMOo70NOXAyYHZpEi5SxD+u6Ih/xK
0v8hrgogYdm0XDb3TmLEhInBmHXDnhmvi9S4nDyyUyvtRndeBKsWaFIfs+iW88KsGDZK4kn2btod
Bq3hufJuXgLJbS+q2K8OcVLpBaU+JWDI+I8W6muIYH+f+9V0m9eD/UZw4UGmwmRJA0cy20quKw+l
69Q5x2nKnCfqbYhRYqo/h+N5zlR3m4TO8l5Gtc+0LKEgHbJaPwXTGN+KKhk3/tTsvLqQq3A0sOOl
st6RB/hK/6/8lJf+fDa1c5MIIUF95nHCWfpaO8k5CFXtc0MQLR0ZsFJKB8QcZtNjYp65+vgDrp0g
J0Qyy9RdLw2PpS6Mb3vFRXo38q97PIlIV21N9mLkvOIz9h5xmhcQZ/3HCZj5lnYpvCRBKUfymiam
JR2TyzSgcVOb1j6yZ/NzIqJxQ6iu2HaWCWI/JZtiHHgZVZNgkMhpFcZae0eKC+cpc1z0VVO94XVi
Aa4zTqexJ8NtiIfhfQAu/DQ1jnkVluGMaqF07gkvzZYTNezGZe06lpEqHk3X92/0wLfkDgBsNj51
4aLtWjAr09R8nRk1WeCWiXSBqBXdpeCfUiLdKuRXTaOBBSMyg3dIHB8DhEU4AwjrfY+CngSYVww+
kIvHatflsiCkwDEuajRuN7Ownjpc8BteRRLFZpTITPUoyPz+qnTc6AEfKGWGAzSTJRAnSdClt4Fo
0fWWdnBUOj3HYCbrBO3cIrdb91Q2bl0vkzE0GVoU817reiCCx2DbKQMj54Ujo6aJJyLEMztBhZqB
KFi0bcWxtCBopVkwQxsuibfLnkvL8bauSQOe1lrNjgU0F0RBakzXIdG6F5pmNqc6HyjWgmSK/ABu
WNy6JIW0mT/toqFbDoHKLwEh10dVAVJQTk1QBwOeRTWqDsJ8pheeynbmZITPITNTzjmvbV2dOQHu
vJTn/GogJgkQ7aEzn3Fmt/va8j+bs/c1amv5QsVavBREDLJoKePBL4AY2ChV153flzfao2IpSOlh
6B1285JA7qShHJp2mMGH9GDY9eisBl8of+fnkOpYNLz6ZBAkjy0fwfaJ9g1RGFaQoRTvC9ipPKNu
9lKWWXVjyaC88VL6yIuUxOBtBlXsrVAWqUEqS94ITiQk2DL4hRIVwMFts/pOOwBNn1sqHr63lEMO
rlYEeIPh2fuigSA3h1Pzid2S3tlcmBiCYxqSe1Ts1j31MSdTRJYOQvhJvZU5gCDVK5oISpMMlEPk
TEgo7aIXoTKTmJyzTrJ2MKArOUUvVo7fC1RkCja5mSP1RiQIAVDWPIT+es7d6q6QEwuDSqax3vhx
N9QbJxzpaPRTwuORWD0FTl2BoEjIXIGWQZ73i2u6/EzYTEUL7TAk5dWpBI9RZZPVvBoUnxJbNXKp
VYVKy+cQM3HRLHUqdUxnRI8rYkAGdLNjMxLSQfHKb55JTq73zkj7cZU4oTa2pPRRAnRMSGE+TWV4
kSXCQbfblhStRYSPEpAKW92ymProZWgHUvzinmDHBSwEQjv6nqv20gasNDp2+PLnzXQHpLgLm/Ek
yEElUKb55jzVC84T9dYO3XhpS1AuS3pB3Hq8MtUdRG9yo4o0o92DsgB3AYBUvIYmXaATgvMJxpw7
u0fddvWdO6Ko4Ctk3koEkjyHkPgu/ZC2EXl2VKgYhm1J4lJyGQ7d8D4gQ+ZVsgDeXHqGSeKmHqxt
1QOowIXn3+R+KKMlri5xj9da6d1EGz46OT1/9M4aBJ+RqpxPnVYRX56np8pg/of0dcl3wrtL7x8e
Ln0Z7uJAhmDHImGpt5TTS7rgw4YXGnvo1xT2SbEN+xYmQh+WaQapIMUTWQjen8XI1znvKvp/hxHI
lFjwHFLRuYnTZHsiv2iitMxWMhaX9MxXx5Bm8rMG+9eyxDyC45OsZpA3MzisUzLYAlAXJWThVxYs
RbSBD2aG01UWtTgwk253Y9nbN2UcTBdomdLHeU7Gh9Fyhj/b6v/WoP5Gg4oBmjHxPzvDP9ivV1+L
1/H1e4vZnz/zl8OMxDxyS0AvkmbnkWLAwOIvl5n7h4+kzqWj+1eIyl/26/APPMxIEBgEAkdDDfdP
BapNOJ+DhUlwtkUL8S+azNBF0sb9W5sX35B7dsA5wmSujwf8w0gqz4YkM3Gq7LSnk2ecvlVDfqk9
9ouJ8J4lp/+y2zRSXxe1NY9LspGXqDyR1Uei2WRDWpErRVnyHKU9yJ6qgsgCJmH8OnUYaAJ++RIS
CUzHuLuuqOxpHBUvjtEGK5RBzaaKmaxqWug0n0JG19zEdBeVrnuXdWNFs6Kbr4rM7XBtAtrd+dAZ
iEgl7vkAgBpNWR2hcEe5vugSDqaobNvjJAmC8kob6Td78Hbkw6Hnb71m789ptK+NtrulHchGrNKX
zJfGc1qUxn0sK4Zx5LXzVlsxGJ0GnH+gmhMhzGAkJ3UzBPGba+T8keRjw8m0bhxL55swhICgv/U4
4qrbijh/b1pU8KjwSZSoxNytIUmTfyrB/MuZqyeDdePZE+oyv7vsajjPvWXd0Jm4J7TrkoDjCrZ/
dUfDDEPGSOBbkVcDG+14/reS6qi8cILmOSqpo2azm4i0il/oNe89CQWvsO0bwNYvEl0OhWx9N2XG
/CkvKrFq7IRBfND0GxxZw5Kjy5JH8H6yI6oq/MqkFZ8/glx4Lr8aXTuugNkXJzs3DJo3OVlOKiwe
a907j5h1qq1dFQjGwPbQNWP/I3IWxoko39XcXAvPmQlvNXCDaPlao/y9J6RqwKJAw2ZpN8wCA6u5
hse3i4IZsIrbyRPBs+2zkwf3nkrrbT2hFjbhIV14EVHjsx+aOw7udCqL4KGYG0NSFI0PsROdjTo1
zVbYNaQHhlH/xRCyrZa+FPZNB8f+quQIyv5mJVOASQSnUpFUdzZcw7Xd4tpe4SC5VUWHEziICCW0
E9AmvDnsxkO6SgoYIEM5UTi30m7yPbNU7GjnCj1Dw7PogsGrr1jK+2Mc05Xd4N9yHyCwpEen9MQL
FdawUmQeLtkwiPx2uZf1xgyAgS1szDTHUZMCt+ckQ2yam3X63ajc2dgGAO2idx3642VhtcD448rJ
14Wf2iAPinjZlJl59235+vdC/5uFngIFlMUvVvq7mnyr/1i9smMzK/yfTKB//OA/lvvQY3km2sfF
Bczx2juLwv+x3JvC+YOHnlhTeNtoTc/j+P8xFbNFoFCwMeM637wI6ny5//5PPMVO4CKW8NBcoT/h
h/7vf32nblYf/vk/qr68Js+6U//9n5idv1/uBaNYFN2gNtCMI74wz3PNv6n1QqEgU0bSOLLJDDeY
S8v17LTk8RVzvvZp4qzEPFi3duEN2wAR2tocdLgn+zdZxXk93uvcK482Jv+lKbsAjq4gqTnKsmqJ
4RDJu1cl67yLb1k+8c/wukdOS0SQUz2OfX5NYUKVDtwO4A8kX3qAE0RxhL5heTYaYdcnVN0prLuu
IoGraSyfTJC4vHLGQd1XdkgJ73fOSvct3AODWUBgPxCg8I4QXjLz6m80QNHbDPPeVo6uQ+Mr68vb
NJv7Q02X56j9BHfWJMt8O9C/WGVFNV3o0fP3ZTyV6yybu4PTggPoVG9z3q/Ph2Ju51XrGda0GB0d
rQaOvDR0JsnrqEWld7NoxVo0DtWnK90L0Qa7orBuG4Hv14arfFnmRKRHUwk/O+wXcdBZcNQwvEkZ
RBvaUAR+hXCMgooGlSQAcYGFaonJr13yZZXHuaNL7ruGfyhhfS+jOqJad1CvTVY8Vbupwu0MJ2Fi
cFbMd9Kt5GrUyWOIvPyBoCUP5pY/fKrM2lokSoYroW2i6BtS4MW6qHGMhcuz/VIch4oGw13V2nne
r1NalQYgqslEBVMXvTFveo6jnHGrWs1L4cKzJUCoA8rQuRCwpF0FV2EcCoN1XUJoJFhXgsS2VLuz
fHfa+mVVQcdGKXCayqq7NfxOdExzaDZ2i2BWNgDXmPg2P4fRmZlTmq+NfCb3pBvCkpEY8uwrQ6d2
Y0D/nqZ43tZNO7f4V+F1GzTsGfsEvrvgFynqk2aYKjTRflR1XvuptiL3tp05RiEtVnVqZOfoqLrN
RrqIebmtZB3Qbrf9eRjGTRglop+3ztywW4cAzrT3MApwXHfGoD0GpkaYFWW4tM7qGqJzUZROKR8A
9oiYLscUGK/cUKpwVjcLYT7VQTPdjJMExg5URlobKzXBjeRGPK2QhYTR0ujxWq9TPRgk3rpY+iwY
URqifjld5iaAgAVguTd3juW8qpFP3VZFYjRLVhIJ+RD06mPkVnl5ZWRIA5YMkMVpHkZv2JD3NALa
lAmZNiY0v4POzGTHQdUAXoWIdTkGvb5r4TVh3TTa6SlPC6a7rvTsF5k41grYVHySiZYnGqHBmiki
qG5YduOWDyAuZ6HOZjwp1hMtFXKGq+baU231GE5y6he+NBm/OjojeJyBR4t7PIv2gH+jfdD4zApc
1fn5Iu4md2UaZod2wqx8vvI55yAMzVIvzG8GTc5vt/3gV9eQF+OtL51FghLwFGZDDNEEUHhT4M9c
SHJLP/17Q6y6tNO/2RBRPfzy5PP/2vy1Uq/q73vhnz/zl/ku/IOwDwRoZFR9iMcLHbAbhOZ5QHC/
ob2RjP119PH+4GwDRIGTiQVM8+zL+8deaNukTqJk45xCYjdihn8JPYVI/fu9EHEL/7LP9CvUzHzS
D7o1iQ7Raawel3YRBMveNYartuqG7Rwl0wFCHNw5hg96yQBSv7mUlxdu7kioTaY53tZ1Lxa9aoxX
mJ7iMkfUeQV02773YNrGQJe8ahUrx78iQ0vdak5K96Vyi23eDym7jWe+1E0UrIvMzw7I69edVvLz
ALFoh5O7hYqbAYteqL6Zv4gGd0Qa4VQhmxk3KwcX+olVUR0j38Z3S2YSQ9Pqskb1tAR6Wq6MrEwO
5qCgJqYlnZuSHtrKMmK2EEl89iIqphMbYgFMLzj3NeLzUcGbrJvJ6MMrP83FpalTcaltbeAjqW25
sXzgTewh8fOZj3kFMu8an3B/GVkMVATDB9OLoEhJJzTIwW7sd3jGZ4SuJtjOHCprCXKiu2ZTwieO
i39NlTSpRQuMaOsWonkbRy5is/fQGQGeWfV1/iCdDGjiVDjZtimnbMd4CJOKM5ZIM7UJu9LqWVvT
6MREcLzp6nT+EupRP2PDs2/iPNA7W2ftlWfTTsYBmS6FZaUb7Mf9UUye/Ex/bEKqGPsbxEnD1jdz
/gxa2iC7q4Kch28Eaad/M0L7HINCOlXYHK2KdJfImNY9UIRFLupqpdyITb4pAQob+wLdxiqWNbnX
Qyu3Ug7uO1NlaBpZlx7BQYxbT4TR3iqT8tqc/RmAFNvRIdEqMtb0ufsjw5zsMdZp+MmXHmUJ9IJD
1HjjXUMI6X0YOSnrricuCdmbBtrLdvoUdY66yHpR3OG9arYl1s9wMTJHZbZb+EgOzsfCGWvnZUzL
baN9H4Uvadj+LZREE1ZURzs4Ze+88GhUX4ctz0odd15E+IdTfOkpeq4izwNrMPX20evI0i4bL/3U
B376LJvEvKrixkX2xSYwIYO5gppoH63RrXct9q8TSAB1n812uJxKVexLo2fqHo3ELlVuALS+sT5V
FMCXMnbgLJpFs8uyAvV6matiMzrMv4tmPFrJ6PA4ynaHP2DdJ3H3mvSBYJ4y5ebaaiL/VdrjV1dO
5R4x74Cc+TyRk5Gz8SH2Ym2trEfbyb/o0W4YPMeO9ckPqnsGTfOjUg2Dc8E4r0485A84LI2Da2Dv
h7cWiCv0TYA3RsRBr2issmscSsxtHUr6L2kUJNtq4IdiuB4P4LMBqbCdrsWAhieL+RJH24bQ1hdw
bJ2iRNiuus9YLQgb6nLzvqurPZAo71CPcltVEKwIzC4pl4i2vMEgUty6UbHz9NgdvGiu9k5e1is8
F3REWSwJFwjTvY8sb0OBJFe+IvicqJXstlHC+TqjEVnaeZYs50QTu9G4+bMvjOnBrxrjprFo8/CF
+oK4sdxaSaZr11QCwIo9eZTtEGTLMNy4XVZuI7RVl6S7IYAqbgbSbZ+BXtSr3LPNm0zE9q4ymccv
i1EMV5UY2i9s4HwSR6xGMSFCM0dYs4XZG/DN7OC5I+QKQraYi3QxAv1fV7OOT7Oqc+bW3VkIpF3g
4sPkAQ42xnoRR3rdV7OC0lf3jGTDcHiIZzQotEjCBoZeLFnmFLUYMUDiCGCuudR0qtamaTxnNPnP
c3yAY9Q4uPw8Sfh7W9EXN9InEtTFvhBKrEG3yYVF8f+58EivjOokvHHLwNsrhU5iAW6ku0k7A72J
T/8ExOCrx0jnbCANrgXU7Y5juS2uhgCoRxCVc0HXpvDWpV2HjyG7xtXsJMlTGzjpRTkPL4zDvB07
InquTA1XigAVHqUxu1CZVy07bYQXZe+01x1zsMtMjPLRiNLiCvxes8YqEG/MsI5X0Duatauk/ZSD
0t15OBPXqAXqDeM86yt4lv5ydMPmFZ3DeXPpZ+c5KYv0gRniUCxIjA83dhbGQBySfF3rGCSrGSXX
hFGyiGNpxbohpztqYEU4jDuvUIM2cDas4BhAkM9WEycJyuds5EGDeRcajiv5ZqmidWz32yqdun0e
zs1D0Ufb1Gyyda6j+TofbGfdDINoFroTc0bMKCh8N542517WlTnE1gEmS/4ySiunewM2Be24uCQC
cTqqyGp2uMAZSuSyDT/lnpeuymoUz0XURjtWpmQfddZKcxa/nrEbfWlwgh6aLjA2Zeyrk8mkcs/A
MSJdM1Y3hR6Dhxiwx8YUUtwlQ0rdzWDcWGpteBs78durVktGWLP+8v/ZO7Ptxo106b7KeQF4ITHj
lgBHUZREzXWDVZqAxDxPT/9vsFzHdp2/3d33vvGyXSWJIgFkZnwRO9S54/Hf1e3cYFozQnJhg/Bn
nXp6rVGuzFxdypnyWlL40eFyhboiclyEPNGkercA+lj74zh8wCtKhXXcVVTjcMRt76qwSndFxC29
Gks7oeupqQcQ24FTfbk14hNGWlolxkE5Si3Di5Bntz1E8V1rdq9mbUJ2KRqOz043dG9Ja72aMvqu
Bt2Xnc6vTjGeczHTED8PdB/pVbavc3ta15V80KqwPNAnYD/0eLueSEbn70iq43Md8IU99g8udYkN
OGFKym/RHcqqITi6BVoJseearRa+0RXgb5AgklitsbYKGR1HhG6/G8bOua3aarJeGiv46uSkc1Du
Bz44Kuu1cqOAFuZ0q267iV3Plubv4lqWlVK8ljxA2Xu5vS/GINlU6J3ZgYktDKsh1nw2ecmVoBfg
0NXSfjWh639TbQzat8EYpVd2ZKI9Lp6hYIvKQVLWG5thZmgbcnL9wOTHdNSsaKFdi6jHD1goMin2
FSqbnyvqRPa9wNxoNc8NXt1VPYYpZ2g+yTY0nkdFG3aWLG0P3k934m+OGze12U6m0UHWxhE1GWug
qtBokkA/e1LsXtmxF3nM5yhdR/hCDqwgyn2EFeE42qnwwlxMJ3CR1anm0zzMiN9tJIfvRuJOh9q1
FIQSpduS/5tWebdst/SZ0lMc3vWVlPskYJBmTX5fBO3OSXXipZUjtw3RVG8KjDu6nRs/5qC0n42w
3XdBgEkZs9ShVdFZRZqCoBblMQqs1p9Cu/rWgQfyHJDxW1n1chMD9V5TRQC/UqYFgQ5stSiqwH5a
eMWeyce869SSgWSqZVtTDdQv8u9so8uklKOE7aaLD7rSLee5Ubvcbt4RM2jzeKRemR2HB9hact7/
5xD3nxziNOIoDJz+9fzq9PlWf2+Svyiav3/RT0UT4CHxN4MDDIc5JM0/BlgXRZP5FBNqnbjqclT7
KWhyVCNgDQwAwCAxnKW69qeiqf5XCuavpzbmaGSoBXNo5mLWEjr6q4KZ6h33ZBD1Rz2DXxJdz0mt
aYC4dIOyMghatjQmtuKyD6LPqFOcCnJYMjwQTWIFxwBwn2bO0tzNy7+uRWzhqmus4wjaDu8thege
9RgRkxa9Vjb5LLsXAEzZqXbsKvZ7ze02buvIkzY6ugcOFqZR2c/auhQR1z5joFMbZhgBbSITKlba
2yRR89t2GLqzm1sadcZTmDzVeIUOyxSMKRtO2xeA+sFTp0YKlTVO4Z7TyMnOtdY+WU4y7xuqEzic
2OGtVZnzWRVpfR5DPdjoLi+fruxxrQx6e0hKNhFQoBKvt5hrMO62ob2xSX3oZDx+t+2swkxdBCwQ
M5VnVVU2twjP0TN6aEcrdRGXvh72nEciW9wjLUVnc7Tida8aoH8VFa20Dgft6FTNI3uHFqIa6JB6
ZfS65qkwnx5yiCgeKNs3/OykpGkObnYcBOSxYk7IbLs0m28yn4doBdZ+cfDE2YmxVrRR2mjmKWQw
qosmPfTT3rE9qACOs6LKWt5qLk4YJQ1vsGbGGzseMV9HdF80iA87dSiG4xjl3TGnm+UUCfqsV202
TPd44DsMxi74FyvRbpx6bHaTVuXXzIWGI4nVaYeWr3+PDb04xPD+7wl3pYziEyVZY3cGRFBHmrPP
SqO7JgujbiphKyDk0/wO+Lx+305G+0ojU/o1aY36oPXgDqxkzIFfmcpJl/aGTHb7wntVTh7DRfe2
apzsRa8lpYVQpf28RYUd8mTeDqqprBW9Hj+qoWFv0pbFMR6JcdCEuGwQuHBCoG+u+66jatdeVQsW
efC5RHHGlF0b7qXojo4/NcHmWJHwYO+5ytSi3ziYr1eOa3zvtd65ylEgtrRPliejht/X5RxWFG0m
v92w7xqF4rJJR+E8lrNh7NKwdHZqb6WfMT6oW7VkOimTcL5JMDihPVJmRMm67gDQCxtQktVgpXB5
bc7YubRsRKiIhTDBMExZQkxSOTVfyNqoz/UYUwPjJoT0jKa7lnZpso6UVY+bEhGvuuh5ykXaM2X4
QKjCvHHQ/epFAOwXKRDjfHvWFnkwuSiF3UU1FIuAiHW8w9+7yIoY7FAY6WBEbZSL8Ig9j9P3Ikaa
F13SuWiU0EnRK606yJ54jJS30yJn5ouw2XcZ25lF7LQvume3SKD2IobWiyyaLQJpvUil1iKaphf9
lHt7fG4uquq4CKyWlaC1lovsOi8CrGmB6OzmHkU8uyi0ZCfMfpMvwm0ccODzAP8tei54yydbgDNH
nykCLEpVFfAkkeXsM57/SC/acLfIxPpFMZYX9ThehOSwXzRl5pPoy+kiNesX1RkjHQr0eFGjy0WY
1haJur6o1WGp1UjX6Q8hm8nmRddmArPI3HVfhoje4XCRwMeLHk60axHHQzsr23OrU0C3KwBIyvww
l2yDZw94ZTaWvtFryXBfx2PovBthEkQ5tIBUHczHDHpEZa+dktH6Rum6Nv6Y7LIUyZZUa12zcLG4
/TPd/DdiLqvw3w43vSLPP99b+d61f9Zzf3zZTyeLwK7C/NAivLyEihdTyk8ni/6bzSaeJR8Srfhh
cvm5E9B+Y9OAVmuh5f4Qbf/YCfyGlMuolEkpXfD/ZSHjj5X/z1YWh0Q5Q02wZsIGy/VruppuIyRn
UjGMN0Lha5Fkfz3nrme27ctkJW+OisxZFhgy6OJzvSS2GlA/U0LNCU40tXUenN5JDkraJtdjlx57
x4DBRjGoVtX6KlUVDmExDWLYH3jCoUNsDD1TfU5NgBedyt2UBHo91+pcj4bAu0umBnR/voqxBa9F
ZY+rUPAz2Txj3RQ5P5Nzph8nzUufuhwEJbawkopdy4zfMFWrfprx1xPBuYhmgXpf9vULk9jSmzF5
r+KZBSML7CdlUM+ACN96Qnp8bfmSFpRvYjZfASak7cnS7kREjYGGlxxhemzXal29WIQ8Vm2Nl39Q
+PXycOkkz3CJ9Iq9r2tnj5ulpUiKtwZqI/GKTF/NcfKlJcq4srDhrwqnZlxc8U1TzOiIpuEjvwJv
A4DNTDaNTx8UDF+V19CXBppPoFEpFWnFLjbqclOkHKR4ZvKniXHHHKpdL18ZGzQ+Shfo56wtgtrE
W1CmOi6aVsx3YZHeuVNKUVrDj6RXyrwyDRw0lHBq667iBV1CHuocPibN4nC0F5moyL8mRny7Sq81
zwwmpIRkIhPq0lMbpIrgfXAfXBVN8eJoaeDqUpNAaZpBmmdVqD3yNQyIh4DG62OF1QaofzpvyhlP
0uDw7umgYOlasZmUKw+Xi0RWE3qjUTV+aZOtotbpLushC9Sq+0BHS09v1ZLhVc27XvKiwjgx9iiG
7kbEDOGLMBsPtsukuC/5arXl70JEP8GjAqVaNNraXqxVVmBRbkalDgbcDPeuaZ64nr/Y8Czd8bz0
dJBv5OT57OfLVoolthdKTgWz04DbLPiajHepEYijmk18Sa0a16ub+uXyeeMrJFeKPOa1A79vGHHJ
2C7+qqJi79FZTnpQ6UXnJueq5kxHOxJXp2NzqUCipta+aqfHNOI/LSd+I2TM5z8SpkFfkKeOt4vO
h4eJPrH1UHGf2MwqD4OTzdfkQUvPtZsXO+EbWjafsNNxMTncjZc3g6R3jxbLXy2T7C0rBm0dqOSr
Uo15pBFw0aZJExwmROVz1mDF1igGIYmP7Ulvy3IzZ5qGFbNQ/awmSVZBbV0PYdRcOQ3l44xaxFGv
iERULZv7xOamRDI+ygEXOqMJrrJ8yUuwcbvGxKT6usqDALcbDWlTmJJ4TL7UtJd3fWSeLrcXvOl5
p4pOW48GfR0dDRmromMqoGZ83Ebk4oGP1JxEBcSTXiy3YUKJ5uWzVTJ+fSUgt9NjdwsFl0Bekl3T
Mbp6l6t8tpN5wzjc3SIfJmv6xdwNRRop6C0MWpcLYLnCucXvpDHj25p4jGGrbdfG7M67y8fcdvBj
25rLiBkTFd/EjL6X0lR2ZsSvOiv8rLwTyi5gP+rFpnxDwOEjEMkXOriORM7doyrczRmmB0/LoWOr
dZcfbamOJ3M0t84Qvyl4pjDsYe0LEm1xMnFHdLOq7CByEaCjZOOIR8Pd2BYXGezn/Kg0Lj+dWCvP
3oyBJA8HMbMFHY2tG6XEh8gZHAMx9J7R6JaHqUD36xrMdYXzYD9YmPfsHHbmKDN1pxYgWzhG8FAM
BQ+3gY9OsRN3G3TaHblEZzsLgnNly8OkNPre4wxExXjPSxg6wV1klwXxZp5gmY0j//Js0lzScZeb
luq/npkCXkLRRrdgxlW/No07bYonYnaKszLR6Vl2KEqfqpHsCLqRl4Df9mkgxOxoGeOps5Mv5Fbe
GjahlGvxFgMhJe6a8S07wedq5HC9jbFtfAX8xSpdhFY7VYJb0iDUfxRVunWC6quy+d9ZF6/jgKaQ
UPI8MZRUbthTvTuqYq45K4VeUdlPWYH5JFGiW2XoTjZlL8RWnPAwyRFju5I2qfBprlDX7OBwkuej
YnX+nM7fEjPN+pXFjsBau46gAZxUcgwavhh9BF7X9GA/PZhhkvqNg43xml7D7iAHOOcrnYhLwIlB
GB0QdLo2okK2txGGfk6niFCM5OpmpMdmSqB40MNBYzuyeSk8q6qUA83y3xUiuh+N278bUiWTF+pj
8oXxRJmpEFLmmTS4Ow67Fp7Ohu6z0S1XtVLpHikU7vnY6BU/ZCnyNeEE1+5QzMom1UlenDAmOfae
xGeT7dppbpWXKcROHXVhn+KxdnX4iXWKab2akkqezN7SwGJreaCcYQMwx7Othz8pMv8f1sRCyPhl
X0OQAUOwZaO0uL8iiFKX0xlJ/m5nywk1khyYTFhcMNw8dHWhc1lx1xnE0/y//7kLTuL//FxccSqy
umrr6i/WYBpztYn4a7cTS152HLgHdZl85AOmnLFMvv7+p/0Ct6Afgk5fG1uAZgiXWqhffto8hIpB
P1K3SycukGUn4CYMRAFlqj9+r38OAf/mEOCKxQ74r7VA5rttLd/b/ym+/ocC3C57+2s9+4+v/3ka
sH7jU4KETBH05TDA5/nzNGD/JgRHBQQ6/Ye1/X91QdzruEHgoMJWBp5iW3/ogvwRpWKYIKkjWRiJ
/NEvzsa/czouh5G/XLzs1kzVwPpGMzvHlYsR8k9GxwngqmAOre6ScSl2+kpD5Wacgn28FMGSNsuk
emgQsfEKvxCkXcX6v6sDWU5Y/+clcNNCa+N3RlBY/vxPL6EwLat0nFDdFfWkngLjZXLLY9OjLAG1
SLRypSJP+S6sr5WRBtdlSaOBrRkQFrRXDsxMa1nnaeBTKSWVhbNpMWaVNoWSS+WSYfYrnrI+9Y3R
Si3fDUaTsmBTliMKJd9itojLv04GJBo5PTZzsZVZs2qU9WS6O9LIbODCxDqy8yGCOastz1ClbnTd
VxPS/Hr+NDmoX1wTJGkcCjNQDTUdbChRNQyVd0bblCsnZavuKNd4lnmmt3qzbpIjw4k7zNUdjrCQ
ECUTLct9FbqybkL7O7NbDi0x1HRL93geeFnlrtQoWndFirUy8+gKPY8KzWrVUK+p1133bfmNIYq6
lWl3Gzb2FSentzmEOxonXmUB47BmXsbQtkhMef6ejYa6TWIHU4A6vOdGCCaga445fauc4UqvtBp+
2LyRiX4TZsTPL7fMPw+Xf/NwAVGrkS3510+X2888B/TTf8//+lT5/Qt/PlZwhjERAyzo/FAL8KD9
/lgB5k6gUuBbtjT2PJdQzB8iA/+LVQrLGBEXhhH/O27Q3d8oY8JALRzBsHKhk/0XjxXN+sVAzTJl
YOkgF491DRf1r7CzNNObOSvVaWcSbpv8ThSS7ph00E/a0pq5drVY6JyqKGLYDC1RW8bBdb03nEKo
m7mqqSeMkBLw3BL8Nf2IoQsDvYTe49p9L/s2uBksa7rKJqH6huxGsqqwlAQyYdMg5k2GP1spzw5F
b4QC6GMq2xVlcrAk6piSdkVoxVPdTDVGzyo6LcGftc126DHQFJ1iTvJ069pVmb9HRVbdh0mNhVit
XNw/giLc76AacB0kooCtVFg6xB4UX3jC3QhxJ8p3EHzlpyKg1w4E/K6pE7dfzKmIeY4prnHEUxDE
K855NOjZIOxTgs+hti6Uwbx1nTC96plZ3PCcaq/7oVG2Iohn0p4BWIii7cc1BccJJS/0GuNoTkJv
HAkiKTXHy/RyUHXLQOVAauqPTs3bTA0ICVPK9NRDblEckoMb2GnMsdeayztvSEMchtnNbltFtzat
NWd3mE2K27hzagrVHUNDnkjyA+tR6cXOHHjJEFGMx+Om9Wonu85tEarribByBDW7xKCQm+qzsO32
2BXGS2OG7b2gIMMhqgE7HPNJHJZUNjsJyKROfxrTBCRVpzu4pULM7v0cBNcU6dAQpKtkJ4t85uGJ
QXBBXcVrCxrHAQyJ+tUoVr42MnG2+9vMTfGYDcDGjFC9NTp6Mbym0HRMeE33KqYyfCTqOd7gHjQ9
F4w/xc6tZzLEoOiaRjw9H9ODm9LV4pZkcxlIGNeUbDzLwbB8jsCJP7HBB8QUBvfg8yhHV8xsNzAW
UAvRegkjl3PQVepNpzS2H4wLTJgMaBLrzjozaMWLOrXwKYDMmO4ydt7FbmDiFs84ygzDO4EmZVMY
BhyJqE3FmYucmkAEaMZxAj9N6uprXJ/QnnTN8K3cvCu42jxkxiuKc6JV5gAyUqLmZc4k8dfRVjaR
RjLHnBxeZROZXthxmBCdkLReRcqLATllX6ZRdTbTEgMQeYyD7TQVw4cIpwMMWi8FHnbS+4rrhsuW
7lwLihJRdQK0eUQuQEVCYKXoTGrLzfGM72pxwEgG1ODQsikUjw4eSrmh4Qsn2coUs8GpKB6iMHLO
gzWmcA1x7jjdvaYl5nBv0i9oYmypwJU9CcBa8Vo1Y3ll1ap91zowIJ9HYwbS3ok41Te5iweB6hE5
8fN7eaIPTXt29ZLzVxqLuvfqQI+WGs1CMV9GV8/j/QBktVylxUx/IiiB2ci3NVm3/p7WamO4b6lP
Ws6BoRLrp0RHCX1NQEPMuQ9MKcfiH5nof1OJD8nvG23kydbJMHzNhAxTL46E5PNRiozLcyg4DI7T
LNh4wMzm13eGyWZmF+eOs644/ifhbmod47Ur8qF953wtElwopAw74mldWxxkm+tIUXmQtCQFctJd
+5izOQIrxvs2eMiTzmIgWVF94GltDe1LW5Ja/6zU/4knQBBYMf5upd5+FnX410X696/5fZFmJV4C
o6SYVE2woursbH8u0uZvuFcN0uoklpZFlz/66ezmhPDTya3+BsMbKwHmb1ZnZvz/xZrMKeHXjfYy
ceCbqVARATJay9HyTxttVyuouy+clDak8HVIonHVNkTrOU6/0M17X+O4yUFWvDiZeGHyLjadPW2Q
Fw7tgj0DVKPtdZzK+2aBouWC7ll3AaWxa6eVdoGnEUGpv6aAYo8iAq1WLJA1ZcGtEa5Vz8oFwUbs
j04lUHGlI+UmoHdp3YX2GeO3czuQNUocsjz5IAe+W7dQkKpq3Sga9rQBABycNq/qs5upIcVQLpC4
GFpcvWDjzCYw/cIebE9MQ/egScbZ4QKaixbknKGIu2GB0DVt+MyzSa7oswXytqDq2gVaFy/4OnUB
2TF7gB+2wO2g06wNaHcdFqJuwd9NFSC8DCJewQMIyH8/+PWCy5MkZa+SBaGnLzC9Mq2gXiyAvdoA
tTcs0L3BAPyFu/ijjQHyGQuaTy6QPpT371oPtg/yHLN1QH5EMAcISmDX5jYP1y68P1bb/JxBAGwh
AQIOuwkWNGCnVOOu1MHMjXYhzu6CEGx7YIJmH28yd7gj9ZqdE8aTR5k6dbeiSypJYBWl13Wph8Na
c3qC81TavXRAkO5gTyOuN0rr6ayFNHmFfX2PVBTco0WYV0YygWlQMrPehezYEHlKeaqLdHgJXAgA
7NDcpzHTE5xhdKkhsQFyiwglrZsB0b4CgX1nDwP2hlSHjZFqFNa3ulO+2jIGuhDbffqUU+J5ZaaR
u1W1VJyM/AKxECnMx1At66NdaY5PJ7vgzXO1TqyiDiRWo5U5MeWALdVcqPmhUmbCuZWTo+3JNKFd
WbDmIojTk0UUTmy0wY6/2RrIDH8MwnxNICB4ijWoFI4eZOsxk8U9Jndx0q2xuDIWqAF29/hbWWKy
oPzOhsIgk1lsshiDO1LqeDuZrD8dj/Sc2jpjXDeSUut5yKgea4elNI1GE7+uHON7perp0wS57a3u
bH2v6HoXeyGSw46OD/5O1I+3vIGKB2tx6bAmpfjQFya9FS3fEgz41PlqHk63WsilaXaMaXZm0/PL
V1M4nRkX8xqzQgUMZHVAUzhfJ54+8TmQZOAbkoSOqjU9h/l66rPJH9usfI24/7bSghXLqA+JORhl
Yy3bovSpFLk8TYyvPmQ191vR6eWnOYJICrqivLm8sjiIS2fTs7OY+Vw1+y6cI6IY2PIsTw8i584Y
uQYNpc2+0oU9kpt599DExuAV1gToVy6/+IW9xL6qfbRHOipTdsja3ux5iPg0z0xr1W1owBiM+Nvl
SiPtzk+baXDoVmLSzCs5Du4al21xM5Qu6A54I2D7YIY9Ge6gPWNsgCrRZoZ9h/fT2BdJMJ4FmBJk
cFLcWtjZxg6PEk+9zsgPjEz41DSk7006ZO1Ha0cSr3Zh3eCEma4qThLnQI3ZxVRKto64IjGgumbw
zdVI2ONjjSCmBSPfCIvOXW1PdBOmYaTcF3NFdMYC5IKB1d0WZKnXl08rG7LiXoZT43hNQhzPExSL
eAVCDFq/YR5F1RgBAyJcV/Ai+fYdtZeenY5c9TP/AGv66tTUw2lVIb0mnk9NHp16kATsRx/6CvxM
bxbfcom5O2Pb4DrXWtuBqgpvo8UMk7bRLovrL3Nwr1wdyE7L6SvX7PPY6Bu9j7acC55CTGA+6T3n
aMGshIdoIj5QlFhOhedoeXFuWcc6XGFUBQkprDNAj8dGxOJk9TzDE+GEvmWXHElsCj1kNp0kNfDD
GPtNUBz03A5uRauMN2LU4o1ThABIB8eKtlaRMNVye2M9Mcha2aCSd33P0KZ1kirylVp85CHnhkr7
rPK+uKoiWV6RZ22wJ2Vir2vmey3aXe6Yd8DuUi/pOx3UShi8KqH20ijO+9TRnjTnTbZJ+7QlEZHT
bZPpkw8LCjKSVms9O12ruO90w/CYKs4fWW9CIAEpu6C0N2U73udxVx5cO4Ft1Uaeac58wNISm7Hq
glU8TAk1ZeLRmuDQwGHZJ+OU7VVH03cDD2FfdboSNShZmgkxDYczZt+ieK3UDghuXqjHKVHtQ82F
D5DTUn2zD15VkVUeky92xBNZovJcSsf+lBp8CGOo1G82HDpfJMlDS0fHdwza+pp7Hb+bXjkevlKY
mrAbDwZpmWrVzzPPA71PdyEZFI4Ojmp4M+K/G9xXWfMRTW1Ao7szneADD/SShdBFvcWbhcV2rrs1
mej8SKPqKeWZf8dlRbTDCsStTvgAuY5MLPgWJaarOcHs0hCaaoRWfjYmQy5GjfspK3AoluX3DoyG
XzmN68eif1EDpphqwWrvgseh26R7p23stYoop5yq4HEQJXVRetJT3wuGrDCAJdcGVtkpVz2L2xBb
WB6+ODHrcN7ofguB+8gkPVyzSXA+CN/1Zxts0GMCX4A9BLwRILnWdBjaADms1wJnBM4eP8Y2URKj
MbLPBhLEZ8uE40Ctvb3YAqjc7enXZU0fNknD14aZvmYwop7sIC7uyPBBzo8qdlY64L6hrJ1T2ZfD
t1yd0m+DJvSTRfrHM9lhrWpLzn7KXcSTvJUAEaPcrLwAhKy7ssY4PPYjcZhDQ1PmSFp5xnvhYuFz
wipTuSXCp9YalRtL1I7HaXGs+BBJWQR1qKz7JO6OtlkbXDE5U6SiMjEhG/PAMjh2xalAdDoYZGTW
QWVmGBuq4MmlfuQMMk3G67mpMGO1bq7g4HTMPTuFZCvUolrLMcVARZLJWEf1+JUzOb4RWdg+DrUc
dvjlq2eraiEN8yz0IR2Ba7IHpnNGSeDMpqE4YxcGGFE5qAUPsFJQQl0EZuORLo7Bl04BKFfh8LJS
yN5G+mY36JlNHQw3iaWo13WQ18yminpbadBXuiEJPPYM1yOgaTpZtqEWEmFx5te4rovSj/MeQ+BQ
1bBBEkE/LQGqzEDPKOrE2M7FfD3KiDESlNaV1oHuMNOmv50T9nhJXzSsXL1zMw0ArKu4GXYO8I9X
Jron/CrN52BjRaysqd24pRVuujRYlCgykXUtpd/VM7c4PVErsJxnVtDiJrdx1ZVuN60a3F5Pejlu
x2EM/Yak+WTp9mmUGvYLx4m3lH5sCZ8RHxL1uuiL8LMap63esuT1VZGuexmjKavjeJC9aLwuboI9
toGjDKuzEZimT0Ii3k9YW6+CmEIWaJ1KRCwMUuHZTXi6iiu7Y0C9VNdFqSi3STbE4Z1uxQTmta4Z
Qii1w2J1pVo3ZEnA/EfAz1XDCfbVkE7jfmT/Ox9NtiqJF4dZYq6nJu790Slx9ppdMsYkj/quK/yM
SI22IlgZTe8R2aLeWFl6UGg7VsNn8FB3Cn3Qmyx3F4pZN9zTywprYZqbUxibBWAd07iGlfVSzbpc
z6V1potaIYvXgo8BxOunhG5uKjyTb81YUNWs5fObaER7PWToI1L0n3U4wZc1tf7a6Xvdh0RkHAiN
DAuNqrmFXaYdYYhV55CtyloLoAhOiv2N9sZgVTE3/j604QTgszYw1xARyBRprcJYVYkTUAjb9xJ0
A8gslkqygNAY5VZ1MNEo7bgiJns162y0IV192BrcGqPKyGGKxEsL4z3CpAFmUrqHKZyRuVA12fSH
UMHeVPh3HzbW0uMw5A37+MbY6ZaEVx2792rfuSoOqX5WwD+3yX6eA2aS82xMRwOg9F2ZZvNzWqvp
dRNl7xxAw2xdaCRemQ4s2LE8KHyZR+9VlrHqK1X2YfdoXashaNtNl+PJrYVav7J9sdaapo/nNsBR
zR7orMvYvMHDEdKOC03mAPKJmN00c6d1+fBkEbW5IvSaH2ecyyBxpja9SfLKNr3Z0aO3vGogWwSx
HDeZiFgKVHcxXnE0LNgHpK7zwZiIB0cfmuIMPtN5xphVvs56xqgjKkhH9YFuKDzybTf3OnXIsVpD
qEZTcQioQa1ueDCiFc17uRCty4VtTRw2OUkGNq/k6pnhXyDYJvIWXqaYMJ3GD7+pQjYl8QWYnS/s
bIBTC0cbKtEFq83ueaFsjz+Y22QWu1VdNf1XhCd+Zy907nrhdI8Au5OF3N0sDG9Akcek7jLOWfC9
rUztb8OF+U3ADDjjAAd8BmZMygs2OEIWctvCC+eFPXLwC3zbjYoNCWaKky+A8X9Un/9I9WFc8bfz
mf3H96j4s/lT/PiK3zUfIWjFNVjMDbIXqmUZfwxmGPb+pumMWhlyMrZBffk5lnFJgagc5DAQ/ITh
/EyBCAbBpmsxsDFNF+uo/l9JQMYvfRyE+FUMChbzaMIqgjjuXyWgRAQVfrLAOoHaU/Yh4dfqilwb
j0DFgSMN3WLUskTnsMlQO72fZWm6b6QXPiNMR/eGneimJwrS+yQnnhNbkVembo8g98huBsCZLQzu
7ty4ha+w54NekmohrKtwGKpHNa8CZZX3MtWzq8SVDfZ0sn0nmyZfjkxV6mygKuf7LJjotCDp5zHd
Cf08Sw1/4R1sKJ/AjRa73R0RjrZekfIMaNIumRZ3WrudrL46aG49fMwCeFrWsrNzG/U1HQp7q5ay
/FZnieqxt7H2lt581+tY8Ps6EYcMW6ujq3mKxp1aFsaGD0o55bESQGa2+02kOqIOvBriWV/DN+9E
1m9MMFicdPC63ShRpD3307j0EZc+Ym/pNTJSzxNteOe2q3Kfkp3n1JTu42iO082YgwwrNfd5HB2L
3MjkBXqf3RmxUu2MrtZOdZbV+w4xwlNjSf61L4a9aUXy2lXS725bccSixGVtAuq+IpXibtNC6d+a
xA72U2DqmyQX6SfZkxobvSM+mRE6lec0dbFzNfnZdVq9BrQ6vpjCGfCOyhieUOmEXpWlzjdN62gT
s+OI96Z4zmT2DPdGXmOuBzsSDT1lVPii2PgVayr9bM8slwi2PSyd6FidGMLp0iW6PY90ZIGWLffL
FflY9Y21AdFLUhYFKtmhZFRyRYySYCS2XTKErL9bFSzzRPPJMtCyEhGejUQkt9PUzDfBEKleNBvV
MdJJL68wzJn8FL1AIrONrRGnNHpkjO/uB6tJjyZ4l2PE5umaORX1hFEw3A51VW/yphnf0d1TUC+q
3npdopRfLv0duKMGQ2wz4rlHtmhyN5p5c2zBrhVMPobwI4KI7TErMXe07zK1J4BpXwnUhmIlW1s9
IfSpZCNcssx1rqk5c/fehWTUdE/gyygBBB6qAd1PKtYK/L6+Fkb9hmQGoH4lUxglZpp71WdAHFZt
acAVZ0dXb9xhPMqKFwXmoDyQqm0eQ9bFbNVjwvoq0O7WjpO6+J4wKtSm8mHNJh13URRjTIOHAdZP
gdEwznRK6eD2CQap7jOCVLLqa/uqDBA9MweSbEoK541QVLqQd6z3pArmwzxmfeRZfWRtF1rbimP0
8OIWhn6rJIENYYIcMLMKN/TyZJiuiuH/sXcey5EjadZ9ocGYQzqwDR1BBkWQTCZzAyNTQEuH9Kef
A1b/fyezejKt9rNos7LuLoYCHJ+491xgR2ufOfPJ97Kx3hShEW9nkmfupIuATjc8mT2PML5usgnU
wGx+ySFw7/187D8B8K+ICClj0vnCZS8XRMmVUduEjhSBX6z9gI/kVVRfKysPFCGEI5z9dpi3iL9T
yiuM78no66cBm8oKCoS5i10BABYtNCAjJzzHftneeV6zMUO/fUwyw7sEdn9oS1vfjlQM62qSJ7fn
tmaybE3HJCwo7kePZWhhGVtzNBWi9tqfHyAu1OdCDdYjm9T0SyLI6DY8mvd+bMejPydxeCwRIwMW
bKAE0jLYUy3O1J200NV4HzlNez2ndbrm8BQ3qufnZswXr8sisTkUQFBF9iiOujG/MWv3bmqnKY/4
0K1joXoPRJQq1sCjrWz5kfdsf+JNmNSPhqxnQnQsu3ugyZq/FwIfjjbkfJhTCmpYAgy/Wyy8GzqQ
eG0mbraXPeaTJOQgF5burpK4n57KXDi7pi6jtQe27yym0mCwy0EUED65CaGwv9iViA8zwTtrY8pJ
2XSw4TMvcb0XHoL6gMDJ+G7ioV1NY2yvZ8/pf2BTq24c9O8XBUEBHnuxoogSr5Euom2DrRbC4ABT
bVBGu67DJn6xdNRdt0V+UUxFT3HA3t1uWwAjCytTl3QB4+TrO2Emwa2K26xZdX2ot07ktfA96CSp
UP2Nyvxh08vY+Y4BetiOcvraL5DOjDMT0Av77HUL4/o6NpiDVLU7Ptck/Kwds9YXIpsDxpOV90Iq
HPeG7dXkt/gkCyTZdC5xT3JgYXke3cT5kuUD+m58TzdmWJaAMirzdSwihzkr6oKeI90aZ+vgDh54
NGGE5B4k5kTcgsYNEOQXLcwj1YNYBa1tettMzPzApeUGG5kM92OdRc8AOwmH65EpzXjZ7tJczeXK
aKLxk4i85hTYjTxF+B98TtAwOHBuQj3vxLWShn3Rur/rowTgfE74CREVGRKCvn+EiFUsKSsrbgnI
CoGJjlpH8THwjUvG9Jheua1QL9lhtCb3yD8kYG12UNryrbJ7duB+eA1hK9tXnuqPy2iUkRCc/LGG
2c8NFe/6gqCFqMOxYNEgEhsTFteR23J8j+H4Giei3huD8K70oORXE/DKWws36MZV7b2yC/eBnKYn
MTtIT4OwofGx8V90ht77vey3jSuHJ1XE/cn1itdUp90xRiCBCR5A5kAjeuh1Lr3VZETqlNDHsdiJ
nIuKyupOL6koJMm4A5mg92QCWC8kOIzXEMqHeMVod3g2k8Q45Hpwr4s6SU9W4u4qO23WuGuYPjif
JgPiivCLfJuUdriSiGAfEXLU+77zm1uY6yZm+poEnCb87rMkWDPBjffMt+i5mDwcFMnU17HjjFdQ
R6LPQ6CgQquh2tQaAL/jufoHWVmPMXA4HBGpfMhC3kJnZuxqiAlZeal9HjhVtyBmvoAKNNgAOPFt
ijkyJyiP8IHpeg5N5ylv0HE0BI1s8d4N+6RFRZ5MWfil7edp70xJ+4UuhRY26AOmC9ZwlGPaY3VT
X0aTcyUQhbmLaFWzpWvM+/jV6F22Fug0VtJP9SkI5pXMkLBM3ZWsyFwGs1AMN05OdCPxpYDlhcyf
UnQbDxRV2VXZ+DzqXZOGKBkzP72tqs7cBzKqbwhe2BWeXe/9SbRnQlHwgU6usY9Tp9iJ2IquJYlV
29ZK+0NE18ikjuyfOwZa0zF2csauft9u5hS5BzSkL7g30jVxNW69p73XtzVboMWbbJ4q3ZY71x+n
194PfQiLDcEpYQYLACAQxNuVx/5j41Z6+lpitPjiYY8QlLmvRRSEG97Ij6Ivml3KnKJaz6XRHmcl
/HWRZij2dQvrF+d+geAHYNK5niz2MRlq8HEomnhNfMI3wiQsoOd65JHmwbt2g2V9k6W31L3rLhGw
fSxP70RY8wQdQxPbIKofHsL1JvZ9cQhtQ/zwMZivOqRlq75jrVF5XbQl2K1dUXq0W0JT713ilmwm
TDOjn1Atqz8L3DY/9ZeFkHKwpjDcyrKvQT7MKmOl1qs1Owu1acacGXQjQ/m5icXivunlEs0l7iVU
JGvFJiK9McfO/AqKI4cFjEIRN1DO9gdhT1hq0uMe/CnsU7LVBz+uvoJBHth+wrMMikc5xVnmnELX
T7KrbvKD6nGcB7416PSTYcyroKRSXqUtoVMILHNTDusShviGlKdMbuY4KjdGF6Yd4pN5+l6THvRt
DHiH1AjuZ/6d6otBmNFutob6yCARYpg5EK8slJ+c+sFvzk3N/7tSXvVic+fZ2dxi/USxmQUMMHpG
RPtEujVknXoqv7WhMM9VMvlH/C+aO5hm7kb23qPG1rNq2Hp9c/JahSuoVfUVse/jlk1Ae2kXg0rq
QWU2ihqJ1QhmmECXmSFsPPYHJ+/QZ8YKJkXD9LtyKGGsURWoUZLs4LW5s5W5a12JUkFlFi0lgCvI
Ks/jaeN6M+4hFGz1lcjqisz7wXnGBIV6RCU1A2pUcJjmRY7vnG/uMhIluE7ybn4Z3fA2Sn2+VpEH
0wNLtGgzpFESrjscJ2dUU9Y67XCptXYOo0WB6e5xJNQ+NvEW6DKVVn9MFXE1K1WXxWmCvvkY+Xn3
0lF60jMB65lLHT0UrlY7nIPNGS50ukfwSvflgve6MULwJqQCTMPW62txxG7cPIRhIboNErgU2E7g
HjNoiZcuCkhSa8zmUxu35mcTWOnnsoo+hYUU1w7epYQVDjYZ26pJFSoR8K36QVzJoKgfiGdS5SYM
61KeSSNw7su4eZW6ZblT6wmRjhELvQZvxGM/0RFqJ0EowG2Wz/lzihLwyU/HcA8vDD/I3JvWnlao
e2KAM34bCDdb18R0wOOP6g3vqNylQDOrzdSWmml+5zLTbwi46Raa3iaM3fFNU/VR8Rt4cNpqmu8a
6UPILoM8ubQRgTACCDYrmRQvlPINsF2SjEg26ckx1jq9JiAXQB74hxsCK2hgJ4+LSRhvuV/pJxwi
obvCRMCHYylUoaLKZthNeBi48kex1qnUt8ZcsWUgsZuIlCG/lEudZGuuq1azasHGT3a2lTGKp/KF
gh1UhzINTXivBNnSfy6FrOm2165NcZ2UYolt0OgV5maUEGiJ3Gw+Vx0+tVszS5WNVcejGWvwWKJN
rFQM/CX2GHeTZeLpbwa7mvHOhPF28NBc8gcHY37uyqmeHvVosPhdGR0Nb3fXC2VLZNu9tGSNoaqd
xiu+ktYn6y1C9L1G8lmxp/mvwhlU7LBOvNHRtA8N2TzmeTF9+kn0c/eX0eNnWPC7Pv0n/4fwUdAD
rXIZDQumO6CHP8hq6mYaEaOZ4w0eDHdjBAux1xr4RRbQHav06ItV2PshtU525u4Mp925sbn1JVL2
Xm9Vhc92MPaBTkkaS/a/f3OLpOdv782zhLl4RgLYHB/fW2EOTSlCa7yp6/ZG1tSK4SEZbv75iyzo
E8k6EIXAr18AIO6JpncYbxILWDv/8Yx8V8pq9/4y/ycZ/4Nk3ITfwjX1v0vGD0QrJMmHmeRf/8r/
m0m6Dp4RLk5JDAlhKt6/Hemwsv+bCB6GlUicl+Eg48p/TSUti2klebboxdByL2TS/69LM7GniIDt
r2UDOfqnjnT3owHEYRYJQBvRBipyzC5wvD9epEDdcp2if34ALcixXetCzfhveZ9rDT/4unai9h6b
evsVzpf1GMeZcWHfOe9Lx5hxsCY8y3I14YIWYT7ShMO8DAzGY9NQvygh+DtMyPExG0OV3KUtpiyY
ji6ZODExgr3DUPE9ys8yxHTH2mjcvIcDVsQWXBB660MABQ2QrtF/L7Wh21XsjM6twX6QSR4gCzaw
3fgaRPX8Ku14Tljz8rWt42hAidNmrd4hymlO7mzUbzRC6WsXjTPjE4JkiAWaX2b4zGv8LZlEp6O7
70MbmUgqcgfWoTDvo9gjY81IEvjSynpahGjZHyxs7964f58T7z+BR1fJr8ogGkw5l8HP0sAChAnT
TuU96NYOjq6Nore2YO6sgmrCxmZbTUd9bhXBXSVr6xrkJx+t9vyKKiITCFridN5K6ZJrpvvhrEM3
vrHI7f1Gi2w8l42rLvGMVspN0vTcu50Jd20RF6Hy8fdRjM29V3Z16/vtU5fb7sGtmXYB0Xm0YmuP
0/Vb2gAi/ekm+Q8Hd/BxGM6Hdha73iK+ROkJuOkX41FNCHdEPEcJC7QIX8zl14+qirLCcqY7QwpG
sKndHot0xAAcs9BmutjpnWLBBfhgEm91ZvI1BO443S6JA6exst2HcOafkORa3626Mq8iyGe3ce9h
lAYNeOf64Sf0YdY+SFBvZSWGXC/LxSHBbLWPjdbYZ0xAN3NF9rAWBde03YnhSmj7W+n112NrmQfm
G+5hhipAVk9obxK87NvJxdqNByEm/uglr4P05DjV+DWJMT7mnT1+rVkhHeWct4cWl/wqjBl+1EO/
65JxunBTZjdygOqUqyw5ZPY3QQIDOYAhnoJNBkLhyqffg67rT/0mSVRD7meKSk/jybcSBGOyJIlu
KvmVVl2ZpOciXtK9/Nx6nolK+e7nbDahDyAfIrmBGBVSosxdGSt1CKY6ucq7TpxDjGh3fmkOZ5fl
KX4NG7v+tol1epgJsQ7WkNisi5F0063qTL5Qa9HhaR+4gLvcm3DQgQeM6tkB4P4WkMB17Thg2wXi
vT898j6eWTzwKfQ8xsM2bhl+y/e8mJ+0tCwCyDMdpHGJ4THeE3xY4ilRCPum0d+0EraFQ2VyLNpK
fyWFlnxojGDz2gE5/42ufLqpPSs8NZ1onmXjwOTE7bIH2o1MffHZ917xBIMYG/TQulDdB1JEcn77
6ypE6i86QloxVUxY2CvrQnecOSs581HnnmbfWZzoHFfzbnBYwnOgVjRzbt2ZW7czrC1IQois6TRM
N1j79f37ZVunWOWTxJvPbYO93KxJ1KhyX3z2jUI9B8TTP5eGbkArJHjOC1JzYwaIZfJWimzPlNoo
1jALeuYlfU+m9KxJIsn8mDZBNKj3fn/rWr/Yi/j6l52FFL7nWYs4+pd8Bga7Cu1BG16stiZApzOl
uZrbxnhIdcAnMFML4U+jDMZaCTMcd6qD+kwxHk97XyQ8XmzuQbY3eROe/GyoX7PBY3sQsKWFP8Sy
5wUlHR9mkaEem6Q3/qplPiRO/Fw0/qcPgA+Qt0VxRrXqsnP8+cAtNf2MGSN8zj1AK1NqTjdNHTGv
8kLC3Ag00LuwGTkvLI8jBpaosQUcUQOoFO6VOUKG5N4DqGHN1as9SRMe8YSp2iJHc8cmLXzMZUNC
V1xGiGR+/+W/P4///bBYrn3bgTgBtcwC0IJv9ON7R9Sa0CGM7qXqXVJTwXCFP7iaQ//Qqjb/ZOpE
n9NJTbe5HMp9R2ggauuy9GDZJ8OJKHUwAcgkj7k7ksUnG+MRgD9Zi6ND8kvb9OWt9lVyjSJiuhuZ
icJIVKP6QeYNMq8gcd5UOPZHobXP/HbJf+1JmS73EvYLvnVCVqdFg9kRkftsEQ59ADftnxSN1zb0
pbfLlR3t8L1MLzDl9L4dhxA5AD4RXcqScYtlTd/NSHFeWYVDoI2qLXOr7Rr0a5W9mUh6VWyXDVOC
uj7mDiK8UnKrUxNMd++3HkaeiCGBEdPPZvyXPZI+9iitdUHRgXq3SMEVoGSLv4la6V0K/OaFK2/4
7uTFcoIsX00qw1MPA+7sYGvFkFZw8tVJS4Qn+9lHUTMVRy3iJZ9lkX61K9ILmyiejtloqXW7aBUN
8kGuieFTGxeN6E1K3mH5hwuBIpFf+sOVQPAWNQPLV5bTlIO/lA2c1WA5sqG5IBTqYHuSG8rAYTmb
c3Ic9jPz+7WED82eT8fRjlKsfvUIGEeZzpm0jQp1jI1GEhyU5sSXohokTVskkPnIkVwGH+WuaxDT
MYSV4m0eRf7E8d+9WeiPvveJdIwN4KRCErXtM1wuKcfOQ9kRtSDFzHXglORb5XYe5rvchJnKbrro
Dz5ijs2sa3kkQPoJCTDdu2TuwhrDSvZB4xn3rEZmArx70X9jOMwRmZXxhrTI6jCZWu0d7tqDzJOl
5Fx+VwYP3bMiww86FzrvyUr0NrDnZ7OGXUdkL6MZMccFbHNuiCDCdCRTSzlsVnz51ZZOsWmHITsR
DSMOOshnAxWUbvYaJVt1ZiznBGsg1vEnngPJJ2WkQMkJ6bBh7iRF+qxQPSO8zhovOsTULYD5bE4D
UhiZgxmBNC/GMC4FDhGcJ+GT3WWowtu0WJpIs4jByiAJh8Kh+owjL6+WvEo1tvxz2PXcBmBnsfz5
nnKcTQ754zGKOsWI3+Gpo83UfovtMJnXQJvq7MrouqX8Ceb7qEsqOG7Iw96KvOJc7ZoC1g8nu1gb
JaFdkTtmp5kLAUXyiDbfcOYYAaRp25/NSic+11Ov7xnxhki8gRleWmrLQ2dgtlgppfUPeJb+kRxj
g0F0kQG0QGvKHKvV4xYqCTBs0CHsLltmy+wuuQqThipzNUXtpoMWgrYGn+SG0NT8B0ydC4uoPFm7
lK3haiRaFzUjbDkpi/jOYtPIsD9HWKWCWd+/n6j/19n+qbPFwvxbsc111VNPvJavH5rbv/6tfzW3
PjwEHqKgA+wFlPBzcxsQJLUMJZjMQBfALU3f+6/mdsnIsHwLEYvvLQ+xpTf4l+TG4g8GbJADSVkH
qi0w/4nkxl4mLD8dkeiBbB70+GOki1IIzMLHh2Uyt2OPbhWKYhniiUpTw7yIuNHIDQn2q5rUZ9wP
Vf5NGTJ8pNVheVCU4clok/CklpNc5jzeK+GVe8SnALEGMy9Wvp8Zj35dqI2MazeBxg5NyIxTpPMl
tXC61IpErmJ+oHXb1sszN4qL8FwJh3Exsv4BNwrRSfh225FntKEXIqH30MN8+0OtvMy/Pn4Dy/iA
/spiGomOafnffyqVUzqVoRp4Vk6tOd156M330Uxpa3Xd8rl437+vT36ZefGNO9TWAhk+GBgc6L+0
dVggxRRlWX18J0qBoX6LSG1fepfkD6/0sYF0l1eStgXDY0lbMdn7fvxkmq5OK9J3jwSzqg2ZPZQn
MwsqhDvJA+sPZz/HaXj5xx+P0BcJYJCLic71l2lJKiw1FiXhEL0Xo+AwiE1mpWNJd9NPLjXsP381
11kM/AyIgBT98mVGgU9OU5Gy60aXnJ3LttA7pn3meNvD4vv9a5m/VPXL98lWhhehLQ+YSf3yYhNr
wxiJVnJs4ikn/DAmVXvTNGQ4YGPHe4s+67Zve/N6pOg4sM8Fro9PSf3jz7zUuGiGBFBmCt1fftbc
VHImLjbFs0ZU8mZSs8JxE4aPgbdYi3//of9+Dbnk67iW5ePDw5b5iyKvbcis7lovPdam1vfvrMDO
4A6u4zqL2SMmpAbIEpvCH17373cJcz0iTQMTNaD0Fqvrz3dlFqVkJXvE7ZZjMyCc5dcc7X4k9D5h
Q//7z/jLa70TsRF7mMyWOAWZtXx8LScxRuKpyN5IzCbaIFeHNFuLdr6KMEM8/f61lr/102nz/lou
vSEjCymcd6L2z58rLTqPKQrXkJ41SQNVKItTntiDufn96/zNTLtQvm04U8vcjMvV+viZei9XrVdN
CXUQdssNOwA+lDOX1iocmALFSYJNfSI8jZUUezJ8M0UUn3//Hn65dpbPajI9dbg/JcPTX6+dYTaz
pMEOdAwHFW3YxDYWySqgcEJ7Lsil8UnG9uz5D+f5AiX/9Su2OILY1jC5tSCNf/zoQ+QNlQ4liygy
a59bNponz3bmG6gJ8b61a0xFnVFNdIbzFMk1zdo8gJgrp28spBqmuJhCT1jcwkMkDEQnaKxOoU6N
v6qq/7XH/k/v0+WHCXDIAlMi6efj+4R2HI5aGsaBDtx7m+GRtuuhyQN+otwbvUNppLUkas6QcmtU
Y3ZmZc0qC2ZheOyzyrkKOgKIpsS3bwLDU3KHCq5K8TYHctj//pf8+1XrC75NdKQuFYn361sVATp1
BYUSCZDANJERVJ1hVVLd9vev8/c7kR0NP5mUbBeX+cnHryQxmESEJL8cK1Bu90Gy9JZlVrlXuXLc
h9+/1q/HOZcnWwfpg4ajPSQ2+Zfvf/aVq5wp5TjHU7OJ/HDYiLwma51bZRday6RlQjJo9pN8MYqS
bJDK7f7wxZrCXe7EjycCeaGsP2Dh8EOD2P34mfO2NizujPAgUebNR5lbHKZdAJHhGJGgcQ/zRLy9
0xsTVAlLwnkM7igBxo2ACvLoFfaU8BT0/XyHwZ2pkWrSGhs68l/EZRlszTyGoRkzYLjo3A5/DFBx
P/lzrs86ZznJVKn1HmTDfMaCUXM1tIIDVxWjdcEL4z14cS0OHTP567hk6LRBqmyg4hv1/UxkcL/K
y3i4LVrRveYhrmFNfv1ZGTX9bTCV4Q/GK259KosGjHk51OFBK9NR0GHiZRgn26VGqDIHJCE5bq9x
EJpfiUa1n0bbrkkNC4cCdRgt5o986JxxU6DLjNk4p/E5srmzHZejBZZG8tbHHN6VisjpqgzfQqdI
2bgEXCMcHpMg6tHkeM5+dATFEIYm9c2XLK/LtJEvPpgq/0J/y/XG3R9lu6wKeHnWksa9bynOTqF6
+aLZW2+mLIjOcvl3lVvxNmYXuVKTjEwHZJIbj0Flz2eeM/mnppnH2/evN/QY0ltlLO5ru4lppTVx
10faQc8+WaKIz1kUFMjEWFTUWxB7nFY4Jq/IpeGE8s3J+FJWGVckvmna0zw39YHgbb67GVEKIxUh
4kfUUc5z3wpEwFYkyjs7s2S5SR3+zhgn8dnrahxbBKK8tSJAVx227Ryx2GW9tWKK5j6kkQ2Rpxxa
a2VYfLcFE+w3kiOtndlWzmvqNpjNuGmYAIZJAdJgJN9p3QEfuhNDM90mszPEG+mYyZfc6ziaELp/
Mmfh5Ft7uQ6LsWKc2acjCoXY75KNnkwKGLOA44XdjWtJFp0+R+OMWD+k9SI6Uw0MzV0Dw5IuqHP6
eBlTp3wAtWLxQd+vuMC2glnCazwukLbJ5+rFujTdEYc5VYceseiN51bGo0daK79j5MznyMjTU+bn
24BoUlQQDkF6Rt7sulSah4hUmW0DrgH2S9UyJ4gTXLBteTVG42IKzgkHsBTZenapTwB1vIMt3fAx
6uS2cvrstfHgyc682joMXXlbaLnPEo2dCKfnXiSp/QKQHXyBU+xFNXdw3nBtAUDVa4ueb216GAWD
qSrWTlsiiOFbtT4FyXCbROV8Ss1gF8eNvRv7uEJLCbclNrBG4YKD2l/wsfLMb9cIlvLNPCwOgMWW
3bnOSyuVfY6K5LadEPIgZic0b/adNQ8c3INN8gSGmBwixolXuUt8TJ+567ojITQLcG2CE8CzTl4d
pDs8hkkQX1Q8vwF1eK0xcG9TzMgAiAjrtXDZHg3hf248aPTYiOp8PU8+T7W+tr4UtnPStm/iWiXj
wVt4NI73OAzhVVXK6HPH5JAkgXk6xXnBAewsNVJhzTdeYtvnDnvnvckcDts6mkitvetMQmiGn1Gk
UgUoURsrUt8bREaH2YRnheltCJsV6VXpyYSQaq5C8hOve7IiLfaVeGRWw2zpJ1c79m4ac4SX3YDI
nRlhc0uh5MSbkUH9JpPM9pjvRk+9JcaHuXKpHyqFKWGFkW0+Zwj9t2HhyR1xyf63FHAYNkMPoV8T
FLwoVfS5jcTFd8fxIsd5JiKw77fL88eF712jYSckqbhTndSYSxBTHh3DoRSwsgpnx0wtkvkwdrLS
U2sPbT5HUTmu0NHwRJBRIA91SuvTc/1tCsq8XaCFs+8xLNbrtraKWyW6TyRHISwfEVg4jSYPLsqh
VW3I1HDSnZtaBVJ2le2I+HDvRD+pnSf76LlLo/HKJmGxS8LxlCJCZ/OF4vgLcYxoyNzSUgsYvDWO
ZdDGJ7uhbkcX5quDHgouzJTagRYhNwjmauW2mFskUbhlRNENL6AM/B+dMxGj7JUm69TClc8TrC+9
F25CYlc/Av+ueuoxrECHWuvgZjIa775FVLy2K8jXRtdIVIxjwKbOtMhxMfv2e23BMAIVPbPCss8S
4+w5CFuE4E5gXgOSgo0WlXLfyzy4z8OGnVVohzbNfxo7jCla89HAMwniIA9O/KjBw+T2esNDGOs9
RhDn60Ri7r3sDKYGTQkBgjTfje9xCXhpSQhaGLn7USIz8fwONbefOHi3VXXHYNJeFaGZHsO0sZYt
RLKxiwFmTGjuB9flwg7Ks8f4YB0WgXVHhhjL5kba10GEabGtcTmFbmNuCn+s9rnAgp9r5b/2OJ7X
HDTNelBjYq99QpGRSqNY3MekduasNuEeYwKPPpVism964Ve3AorZFpZn5a1qhrbwNkBDOWAhh3yf
Q5N6cTEuP/LRoqvJcH3YYADejvCw5u8d7fg1a9v+vnMMpI9sHwa1NrKSZzo4i5YY8cG9oWNf7LlS
0gCY1Sk3Z0a5gCDPY1rkd7Xndrc+BLGD3aiY5V7gH4pJQ3v2kfIPGCCuqmYKz2kPl82JhuJtsWIi
Oa+D5tmJ3GbneQC6A7dADFiDdD4afcksCZ/NJ6nqLwV/mkC0ysnXgasReyps+q+idkBrUWNiL6sX
A7BvYqpuMLBvHIAMV6iV8XtXKRvrPtlmhfV1NMgkTJChkaccwMYso2g+y6Cv3qRZDixOUmPjBzwD
8fuTk+cSLs66urszxaDe0jbjzP4rCysM2oxkrOGvnKzur9QsFMg+0mynnOIfsTE3yGkJLuLG7kra
pM740XhxeZ7c2rpJRrd/MqJweHPaxH+JelIPV2WJ52ozIc93eeyBDJeswcuiPBieM58sizTAbeEN
rLnJ1BFZgQnEJ7txlTZQy1E0m2uqqOhmtma56fKGqYbVhEe3yiebd9VNB6dMxdkZk3wDqoZnBrIT
jNQ5W1SgXlkVM/tO4fyYIaGWJtzxftM5VsVxNiOq9O3UwkvElvfoBhOPEZPpENdlHixMGW08ErMi
dkGGyKzmobC3Rd2dauKavtb0RnQYwM9LrEc/mtZPvoTWcikzURKQ5WsLU5fVTgdP2OGn2bXsV8Oq
DYbu/Xgd+nP06JaA/kyAAfvJmYInODHkQfVu+yWsnYRyUiz0xuSJwhinbOiJVZw1F8/GMQ6ZfNYc
r2EeclEVnwQ5gMjnjYsc2FuksgTFJP2dow3EiGXH3jwTxWqiOMGPh9HdLFvyhemxV6UNMyGYkrcs
t0hLMeiTyU7oKh6Vi6DZsADsjd+JeQz29PIOcUBWsANDItdZ4Z0sRQiViU9+VbgLPgEXExQuA4s8
l7NIJ/Nqdgv0p+arrvnDcdX7e2tuslVRzPmedeX00HiYaKzej84QBX4YtbBXjcYP5w2DdUoY7G4V
0ywy7ub8EAjGA9Y0sM+q235fox0gedAMVvT4PHUohE4OvMQtLPdmV4yduhbdlF5n5FplGAZWsHSm
NU21t+mQnIyeAIDkTN7BbdmziWIAh9AgJcClwgOiCu8mUwnCutJ653cKWoVRbWuj0nvTI0IDouyX
djaKXQvO7qqrmR3oSBzTUd33tvGaeM6uQpFBnRLclIXC2d68jIW+7VlmdpX3hKDkzJHLwIiMKwh9
+kfaRJ/MILhIq9zXVNPrMsWtKJJxT/gYEtUOK6lL7qluwXgGhuk+VYtFUVTW2xSYFFaItDZ+bGFo
brtNYAmQkPXVFMsRppL3tRhwS1gFU+2Va9ARRGPfP2tbf51QwnroZHcNK7lxPQdz9MxmNUJ52/rZ
iRCNgYjUGe5vYu9NvR2a5DPiB3Xou/jaxZjqD/1j4zfBNlbJA2nv8UGOQcYqeug/G1brbyekvoeB
Hua671vjQCbTcpvP4uSSXfWZxVgJNbjxsBnFrLSTxmM8OqZLO4FLe9pXIwxSkSwqDW1CRgDSZbS7
uJgurPeDb8KTs3Ey6pyBDiAF5Yu9NVijfdX5BbbEVRODhMpROvD3rCYD48LQmU0p0QPdMSo6rmg5
ZnW7YqrpIIIXKd4HBP3YEjPqIQzovQTX0Xc4DhVR3c3KWJIoPDXScmLEBSZshS8+eUM/FEkZXN1K
sWJwsUKwA/dppNCpwWVdR1z2/QZyEiv5aNlpzFUfvuDDN7ah0dBjVHCY0kSjZeAZ98lvwvlMwild
coJYuJsbT9ykBiisbbcs0YpeciyNKrXX+FXpTnDODt9TjWAq9WbzWpjENZgROZpxxv4yIgLK3UQI
Ey6mcrut57Z0IpEexBu2NM89d/GwtLxBB+khdmv1DAqI0iE3PLGvTVb01Pb8aawnhKxUNOgbF7LC
TpqS/mr0ui9eXlibpKX8WwHRJ5pAg3gdymMJiHKteeQfLXIk1uQ/hyc7dhkKKJp8/EfMCJZNzfvr
vWe4zJXXHkMP1Q59wrBHYVl8fv+/4GK0LsKj7X8XUEnX1QcLJcGrKjp6MJbJTAl8e7wdYRHBNRLL
rkeX3gOU9/mMXcfFg9s1u/dBMTZZ1ihTRVBGRqRLXiQ1AtwEfBpR3LAoYvaryEvKvVe46pnoAD5A
kvIXOUf0vWLwcucmufm56AW/epmheAvHqT22bjndZRP1rkYUf9BZj+CtJssW1yqfyymYhdcubV8z
xDUbWxi6e0o1evu+z2VLJkcI5y3RTEUYXnIYIJfHCdwGmBoGF+5RKIqC6x9pwzWpvDU4XSPZiyxl
oujrq6BtFTr1PEAOwrOji8Hr6GrXZePo/A9759Uct5VG218EFw4yXjsnNrtJiSL1gqJICTnHg19/
12nL90qyR665z1Mz5fGURKIDwhfW3vuUwUydbQSRxzKZ2ZDNNsOrYE4Pt/NOA5nYDNgmUP4rvLDJ
5mvUtezpB4QkvL6oCr5pBdM1CFBrvmKzyWeS9WzZBP+X72o6ly6reIch5VKp/+6I6Ci2pRrFtWQZ
3bkSw5k5g/LCpWYmEZczoLOU55o/qF+YJc5jaPja2o+I06jYpq86l9iYqXD1Z9iGGXG21exvYRtV
2fFpCUzm5FKYrrwb+EV4BjW+jeRG058jdJRg4R0K77jlvI80ymtW4cAIt8EToo7g2ywshkoJOJ45
c8hk0spXRokFUfaFMXzsjEmc8F8NDkMUlK9BBOaogiFxpIm4hC2zZzeJ0RHR6aJ8Td222/v1pJkL
2Q6ZPiyaLBAPNAe8w8JwGH8FYZhSAQcAiySsGSf6luYTwC1/IUdgcsDOdL4bcN59GFNSMm4XrNGm
0XuOI/QrIasceurb4YD8JNh3jFzzRe8Rmkuq9TLUmch1NT/nN4iBuPl+6e2WXAkR03p01VuBfcrS
Z5m3bYcmwBCSb6frAi72iSsw6KXPxKLwt11DVI0ybbkzGYHfVTmcTjMSPbmcnVkcs9AQ94XpBAc7
M3nlHZ2PvSq4HW51fLMJTGn4im11FowVozm7shkpkLMJcoRDZbMY8b48OO6sfwn1BC4Lx4ASiqTy
t27Z2JhB0Z1u4EdAeyw+qdAh8AQjluCbixEMJgmdOgcbHSUZwqLgEIcGuJYH/7vTVBYTYgPaPqzP
hq+eQ5+M3klMzy2qo8+TisxetBTkDaPUKlwTiIPTtQHBdxLtUJyjses/xProvVeDFXyLy8k/DHaU
STALnkxWPNYbvB7QHfkFZ8Dg18FL4iiUq23MBmeRkgH3Kqviv7i9/4EO/wY6sKhl7PyfEf59lsVF
Gbc/cQ5//tBfnIP7B8tRgyKdVTNGrmoT+91M1hd/2Diosoxhyk6+nKK3v3MOlsEfYdvI+tZx+X3K
EOQ752CSTOEwnif5VsH9OqqA/8Jd1rF+Wd6SJmdgVc7mFL9bmww7taz6Yc0fOzEODKKNDlONQSYG
Z0Q52/jUHavaxa1BTsJaWX3iP1ZpDX7aBTZtpT54NrZoLejNrhE8V5ZemTmHeXatYJ2xZiLUWdcn
KlIrt7YioVC6pn7S8GhHFMtYxOTJLFnnsME02gHsDBvsRRbYvbHoeb7gr1r2zokAWBd92tjMe8iz
zloUCR70LJDNZj2IZIqW2DXzMGkDSkXL06CHE+m+3bwWO48OL5x1E9flKuvapfRsw14JZpXGyTe6
aNViJn7H2Ntd5EP/0GaGtnFbgaIOLSYxSyzx4scKOOA6RXp3brjSH5RxaLF2p1KLMFSfQnuBYXrI
viGpHjLuOlt+fY2pQSmZljr+waia+IhyaosPWKOpGKByYxfYaxpthLV7NxKTtprsoN5YnWt8ynxc
tWKzyR6FMRE7FFmfw0FW93Yp/RWORealNxKu/BKf/EgYl8iZ4QQLhz2YxL9qIrbtYjJeORP182Dr
yFLtjGfpoprc6M1hdbO13NJcYkJBonieZ6vYmeqHoYF05REbh3coR63zGCn8Dhlhf9LHdW2U5Tmo
mvxbMjj+ZkgtzIVtKC+8LNoH6uA3O8B4SgQiQK4R1dSn/COy508+5r2LBpORZZXZh2FkcuvGfvGY
kMPxYE7+dDQrd7zErV5fWZp/SQwzerVLZ1yh+zriLiFXtqIkYFTJRXUq7TqUU/6YNWmOaUXWninA
IrjPpCFJKmX0lXRnbSLeg4ah/YhhEzEirTGdZdzmq4pmey1sXqk2jeFKH4Lww+y5Wr7IvNroSeMt
EcsXSUJjU1XiaEa4pwOyvWf8/fuwt7IrVCwlNdbEtEqxXbH/sAaWxEGCg044z2dLw5UkqRCFpfpU
bmfGLg+6wRntOn13MlLLOkoq8KoxrQ3q2/aunMz5BSsPOCDwO5pIjMhXlZVmQKrmYK3qNB23aG/D
jVb3R4fAgQOrmrthYFmxgAvNFjWDyqVH6bAj2W8AHeQcZOgheTIH+AFTRD5pTNuwGnzwsK7dBO7R
GlQiXl1gaNgnl8hs7jUqLgGFvvIz6wH5YLYuvOqtrZhP5Un5JE2sMiFgP+duk23S2KCvz2PjaFvM
DXHvPGbynelLtcBNv1rMvf7J6n08PaUf7Kpx0O5Gz/fXDLlDZTz/ws2wvTeqfNpoGNuQYxfae4lH
6pPlaONyYlyN9wjArIbPnpNoBxfVJWsV42Vwg3rdu3mzhZE20K4e5i4+dTl1JjF2C4ndbRGgAsaX
m0wF2EzsWPL1OFbxJh0JJ7BQMz6w+c6ulWeH+yHhYwZ3N/e+70zXfMrmbdGlxqpiuUXnOzl3VjMc
ZGOO+0ZimL9iVDhegZ2f2EBpO62W9nm0RFRwgZWtNerYiELv+qtaIG2nVhvN/DSW9jmnGAJBtdeO
M/sfEoSdG8soUkI14+AiTS++t6P2tbAqDBdIl13MsXiljrW7RcT28HPb8JZZhVWrpsqMY5iRr6Mb
Nqe0HmbLIWeLlMkou0huu4to4n6XlU1JUVPIz3Pvs7gLuD8PZM+eYjnJz76cmEQTEFQ/1g3epzra
j9Ar8vsSj1+fNR/S0ktoB9ivVsiatwhk0Wtm9kDxMiflvkoHsg7iostWZVX4D+yGvsHXjMuQinUz
Rl6GL4AncFLUHBYqlVPkjOqtOO8nGuHeZvlQxY62EXM0bzyjyzcyYp7JzR1Hkql/ouBhE7qTAMEH
AjujnmeLVr+lWlJK5iZJjz1/NBpIfBuvxBybzdYu7fEwOE1W41wnHtiPlENcIjQeno/ZxGA/tyJu
DpFalVEymvaXjrM/Xooe+noptMC1FqNTuQ91xoZ0FQi9OZSs4w+1DDSCiciG3gV1t5exGd5HWZ89
egQNuIuGMNFtRI7XuPSJ/X6pPKtdD4aV78gViF49FEw+AQ8NeZuh7KxTaDYCgwirwtFiHvtgP1SI
1UdzGIYF8jAs/ri1fyvY+o4oHYzxrhva9gJZXusr15Ho38F4K4wcbdRkC2ua+096YNavdaPHLzyT
cbEe8/4O98n8Phhs/5s+RcznoywwYYnT4ZOWZvM510mmBOn4muem824Xvg1hi+6nX/T2gFOhj1bZ
Lod9zt122VI/yBX6I+UQFvApLpIk8p76Qdon3CWydy3RE3rW3iD91Kni8RrUlvPEc8RfV1gXbXpc
yjQGKm5F6AWhVeG+iafpLUWYbHEzCrEpTYvhMrnolrHvjbRLnDgtdbGZNy+JDNKzmaGw4CzuLHdp
+PmMfX2dvlsQ5gDcxWMGgGEg/S6CPZ5TOa65ERcrPVp9P9ekXC4RIRCXxDoGj3AJO3qHiGB8sUc5
fg28qP4Mk0Q2tZagUdcYJfqLqWaugxhluBQ29xviTxvtzdJley+bgiwOU2OL07uyanauNlaf/XBC
gCDnoIcGY/q/SuKkhimE8f9E30RGFRHi3QPRrzjja5NZYxlbZXuuuRiVvKGzuZXWVC945f6a1b/+
EvhdYK2LWE8JGxw0e9tnVvwQ+BViI1O6RFX2BQMmxkZbbs94tthiwCSKxfZJjl19EFHnrJzK0tl1
EsCZGZxwblbNywmr6XWt40rrJMRg2hFJgAvRVlfRt92qtW3/lGkD5oYuvouryU2qfeuyb13kWdG8
MA5UesKwbwWqobZ8Jma2KtadhXh8QR8zf3UooO4CHQMp03C+WGHkf3SjIn8tw7bcmBEezStu8UG+
kEOK4yfjOu6IeKvp+9jV3Tt/ttzPg91kOzg62kojtNXM2ZTmF3fE6q0LhPnk45kaLzwyYfC2aHAv
Y35V7kBv+Nd07lNvlyDnfPDSoB6WE1KS18Enb6wq7Oozi8HuagMIFctkMvSXfqaAXIf62HMugTIs
cJ8X736NNZRaW4baARvJ4BnvyOIjGk+n3ZhoJY5920uk4ZoWreamxfHONcn4CNOLPvfxc12451AO
EEessAambHgW4w8lO59cMV8nBVPFdvk5cz2bRfG9k1EbeiJ0tyhD1LqiGawvvktAMCYsFaspS7o4
a+Uj/jBCMwVThzbWt8T7hue2YzE8AvrvjYSJ1WzZ3WquzIweVu9PAhMvp2/yr1Fi9M0y7h33q5Mw
jloMuIyvUqdrPoYYC35xgOc3Q6mb6YJvk3jJqrH6u8iYUsSsZorddGDr1SJuwsQiWM1K3iscXosF
+nH8OLUo49ZijnclypFPWTBlH/C4iFjqE7DaiKA/NdgyYaSSOt4xbXJi1nVqxHwMD95M9NOmaGr0
HbFPalthhOlzCyCMXjcYEYFFsY19dcUgf42x2XxMNVEdRrTRJ95hdjKsOH4L5rgjgKHrdnlVD5uQ
zJh9nYWMUtL5U4W4r2fDIprX0Kzdi1nX+Fsx193fWr//dcn/0iUbTP+Bt/5zl3xHGrb6b1X9pHb/
/nN/NcreHyCmaJVAzX9Ru9MoOwh9TWHAxf2lBOBf/+qI9T/orF1WFAabf8dFqP7fdMTe3zlJG+hV
kEhqmr71J5j2Y0eMCbSdsvFX1S+Dw5Bptma09AjMwZgtdYxWO7SWbPNFR4asICnVwhlDWahbpfzI
Y4BwC254KNfLFP+XhS/QBS/TwIC9iZGJ0g3jfluhMMdDOYn7+RjEriTfC8ZkbWJne4ePkr7jVcL7
SFZF6XmIiuGri99Lv6xjhpFNRDdA8rrpPNQaD4QmgaHxRpR3s8vrrbgBIqyzggNABmMyIM4CG3qL
WRHzv+rV9Jm3UpwQtdxr5l72LCUWDt6iRbXL8I7pm0cRzD13P0otJJpgK+77EJqhsxl9VzOeVP8U
r/M+nGjQ0kizXyLdl0Cz/sjt+Vh2Zop6aszrarzUhst83w29MTzPvhbh95HiEPoAluRsmDzmNcv1
MNe9DaOAjsjiiFHeXljqb4YCavN5IpyMaThI0SLUUgyjHHR/YEQQ30BuGAeaHrWFI0jWWOQOSdnO
oi7CLzmTyfvBlSUyiznDvhcTvWohwtp7nvup09aE4UxrPPwhHpwZNSpQBWnozZud1MMZWyyWXqke
mrvMMcV1jsnTHYNgeG6yKxOdbJuTgXwnWo9IYmLhm4FebMic+tjk46a26orNN/2E3bFNpJ0m1kyj
J7oOFHIfU/zCnnUlBHDhBJem3ZdsuFP7K8E6yYPXYjNd+1ONr4wG11SIeM88w3xJiI3DayjC6Nlt
ij3dNBkAQbYzhMgQ8yXpFYd5jN5dYB5GjzXi5tE5tGWxn3z5wS2agRrH99svdimChzyN3NVkmvE+
DUGc9JEIH3geYi5hsLDsjLOP5cAMvtZEtA2J/3tzCMPGkTFokgspLPVrOAgbi7SKAFBferhvdYnQ
8Dp2+ClUhfq1AUvbjnU9P5lG9iHRKuOFBAo2YoaVvsWGI54cXBlX1khPzFYZ64RUpS7XmLDQeH3F
7sp7nSdszn1aDNwlorB7bWawqjludiLCXSatxuNgRfY9iegZgRe4Si+g/stdQ1b4voSjvwtKV7yg
G/bOxFeMAUtWZuVJmu15sPpLdGPth7Yvw3tztEtE9LkJFyinc+ZlKjy8sq8V9mznfqgSHu1R8sI3
iif41JtHkjazXV8U1TmdreytCjsnUH79Lotjc74AeQ+nvCN9kBWPUu9Xnvsgky6nDMRod6OZU3zn
0WJewZIcvLIVqZdNaFAXKmbpQOqfed975Hsyo4k/Ta0+0SigpyQWfohZnKX1B8R/4yMC8AqbGjJx
sLfwX0pLJk/N4HTHzi7ZaUy9mxx0bK0gFvMov4BfB3vck1AQzTrDEByqN2xN7W/20BDDR6vxaUoM
2F8feimt8n1nB3eZXuLD1Ec6M3R7Wosi3Bt+xaZdxwfXNxdVavXv2IUbC7KEsp1S7zMdqxgNMd3e
kltD8iBLDOBGp/5CAkl/1GGiNpkFWOIU1nhNSrs+4yYvSZTtzWsgR/mMBmtmwCQGmvY4uIcIY3fs
SgEtMuYrrpMODG5KdmNGKQzCQi+b92X6Ec1ttuVr52rRGJuT7VG9m/Sj29nLpxZ8FgcuzPUoIPOm
u7hsCw1aaUmekUHJAQFtfJvxN9YWuoOKUeqyZLEtPlRTOtxFQX4h5c8/G6URPkNUZdsZb4TNZEqS
MXQZ63fY40NWsf85EypnXOU0IM4QrfRPGFVkVG6IrDFuzyjnOFf6Hp/J2fLzHOi+w7wUp6ZDVSbk
LXhkX/NhFHd9TYqGa3KrKbLiqDk2boa1JR4xELONpd5p9Dm1gxt/MtImjpoH59S3SbJDBVN/SRkR
TnrCUh1IlyiG0vic9Kzfs9bOtjUV1AfRMB0J3c49M9+ZgElq3HDhgOqPbQFJMOFBx3Ko0l6rskeP
K8T4kMUgUFSorYuxyCjfoUITCUBW27uisMeDFubDNmjFcB66Bpw3M4qNF9f10wjQdZkUEAQYO2/N
eIquPNmqF0fRQ15XuN9knBJ463Qtyw4/fB/JHsD5cfaRtlabsfT6o5xwbXIVpKSVilfyFbrkYVmF
AVhLTivaOcF4hH18xhxMA1OIrPopUCgUXijl3rvxUbZCpQpL1Buy1utPdNCOs7bKMP9ihqG3LRRo
1SvkalDwVaYwrAgeiyUSxA2abp4nmdVlZ1aJ/n3C3v8uVTRX77XloS617g7TZQfWOGVWhKx+oQ1F
/wlLH4e9j0LD2hsm1ipirApb7zQrikzHQKNf+H3M49pXmFk2dhr+ObbzUsclt54bj1be2DRu2hXD
BIWsdQpec9PCPMd6UHBbQtIMywuckCjgzb2xb/2Ng2PRSdOCV/9yKl3vNVXAnB6br1bflndaWNiP
nuLqUOSZp7HzLW6D0rjIegYmCIo79QUeasyziDrrmfQV8cpP4PZ6r0voF/AuaSIMOktah4+uIv0m
xfzVzMC22g0E9EEC8Rkm6CGNWZeXMP3yRg7aofXWRQ04IcPEeQWo6T8KGxKmqFsDUL0RH+wbjJiz
B77Q4YEoGsMErai4RXDucjnq5sm7QY2O4htrTP86y5kOfmd4GCtq9deoZ4i50CRsZKAoSRdBybJV
5GQRyPaCd2d1SWVV75LIMHaTaRfLWVGX4w3ADETjfqIWMD5MpL1Khiam+83Ltf4lV/xmkFbPYKqM
5BP/ahpNS4g1aknqDsV+GjcMNOmS6DAqNtS5YaJkCTa4j8JivMVM2rHrU0ypAVxqlzzeZOqFnJqo
A7CmtC8BtemGvWp+7G+I6ug1brIyb+jqxE34bIZ9DdDewDQ2+f1wg10Dxb3yvCswF4GFzTpsRrRY
uDsDt5D7G0uB8Ax8VklmlhrLDXLJgl2PBAoFagpxS0cm0r2dhWLJmZ1dxhud21iK1HX1kvJ1aOU6
1dLxwWnoMMeZyamjy+K+S/HnQM8Pg8CK3X2n8I3WlpUaDMq5rXiuQTGNiAR0uFMU8aBn4Uc9LbOP
lkENaEHEWUuWJPV9lXb+cU4dqhUmlHvdrRhVsMgFV05LnmALT5lC9EMzryaFNicdRpALQLG4p8TE
CS+/cdDmdyo67aQAkjZr78S4DOC98xoWy1F9dTSgcMtq5BmZglj5aYwOPqzBr4txXocU/s8zvWwC
ox0qWBvn6XMR46GewXHnqSs+43JgLKDHsmUdOD4lWe5gaQkCLjWVjYGz8qpWgHhlzq9NJL+A2lw9
hZADIDhKr48XXx3ry1Kh5rqpWcsU+nxSGDrsBx6uSfiRr8VkwAas7rf+LZ8xWGhZfD9YsXnXwrYL
BblPCndHWZutUoXAVwqGZ5jg4/ouSTdVqHzpkp1GyhHZrL23iUKAevb995FC7M0bbe9NrG8QMzcb
vMcIb1dYfqAAfXZd3aKE2XcVvE/WkPkiNWPawnVUS9y/t6TluvfYHKrEWQQABaffK0m7GCMiDsiB
PHaVFsiDraQDBCzHq4EVHcEiCAu0FokBMJ63kW1H9ORNe2BhyM50LzwXSpngp4m8t3XeXIJsIZ67
nD6hath9VJh//dC1Xv7UHv3o/qIURz8rknCtMU3LsxCeefSHP69Ko8CSGaZJ8T7JMUxhkofZRwNg
SpKYEgRZJCW8VdRSBY9sYod/f/C/S8AcA60gtjMe+kXh/3LwOS4aB/OLeC+msnmbk6Y4VXEW3Xup
nz78/lB/V7XRz0BlE4GqY9Lzq/I7rpnA4izBoSqjBn8WMFeLQobl198fRwn5f/1AlSUNmmGG6Qha
f5F4paWUVpMSZwxFLDcRs8m900/GOivi7lI3aeqfBj/SY8aj+WvlKi+4EXPrey3AvHcB5sir+/1L
+vtX7GIKZQkXezF6Wle94h96fyB+/M3oMvb1BA2j5w0RTclIB81iB983Hc+zt6kf+J4xGzrcjv2/
+dG/zI8QjHt8zv95frQv3v9mJvHnz/w1O7L+cFEtmq6FtSEXJ9fOX4G93h+ARWzwTCSECpbgj/5i
LMQfru27OlpHLB4crur/N1Fy/3D5A/Vj39GM/2aihKPmL+e5J7ie+G1IGQ3HQzP+y1nFtj+eo0nb
B+Y88aTOslc7wYhs0cc6CFDEYwHUtZXYjfV4vlBDYwPhRE1+NzuBNS2FKNJ1oMfDu0uGyf1MQOVn
X08kxsZ+GjLY6LV8NZUBM9BiLj7nNp5xuiOM+yaGj8SGrDHv0JxhZ5YmOf7frZ85xIZ6j26TZg8N
J/S9PrzmZcPMFTDhqSMB8IUY90FbzkOG2VKqV9MrwSn5tIhbDQmjZoYk4U4+5rM43TEjW1dOnX6J
mALjTdPkzMWk0QTkU0mmC1NNzwXc3iMKnMhk60kGxJi7AfFfo7VxQRIopahTvcTc1j6mQ4uJ0PCT
mbiDt2bhERNgWzCFWVJelG9VW1UvJQZu576V+rI3s/YY+u34hhl88QLezYOSZZg8wvHXV1kl4atB
JYeCw1D8dL9hwVEtHTYvRD9543m2p/KCHW5JYq831UhJ89HdEoCenj0zn65WRq9eyW4FN7133bEn
dgXMgFIeqz2L+Qac7IWcT4qkxMzfphYdgTnl3sWxBcbVXdI90rS3K2ak7doapbkL5kpwS0UYcrC7
0F0lEokFz8842CMDrQ/DnEVKkmdjmRPbtXvy9NzgsaLJ7MlES/DYWymbuF6M86JPB/Ecu2nwDMs5
7auRiHulfjiNs0EeSQEYUpLjuBynYD7Noeg/Zaq4Xdp+3pzGoKmP0JvDN5/8E6g/2SH8azNM6Aer
yNYVuR/Jqhh93NQF/t134BCNWPiO0vPdcs3aiWjHMM7x/jWA0D8nuBxlS5w1aI3S2gwvhQeutuM5
Gz/gjWB+MtDaMe+wORryXwaNpMtt+jqyjsJIWDJHfRntQCnoPySBf0Y31LtRiuEBIxRauTyZXrQi
bA6mnvtfx2Z0m42DSJ81lomgaM2wyX8AHJrHZduheH1GvelcIitm4z54BFcv/HZO36yqNH2gFxIs
Q33OV76N13+d45LE95gSTdlGF3dK2rtWyOjgNsbgr0U51qcoKCy8SmWYU3Ek5QfPrPX7EMMA+pia
PxdlaN3VFNklsHJenRMcdeOWUShX+fNUiMRKFlmI8p2PZ0LtTfDoEOv8T1mIsMN7wB9k4pCa4U96
dip0AjwQlrU4WBKuR+kTDLMePMhxMOUhsqNkV4/ORXgJK08LjRzTPAAm7BMfJ/Taw7pF1PwSBLj7
iyxg++b2hCst08ooEQK39mPf24jRZCwQrFrIbCKWjmcLPOPUkVy0tWqq+xaNO4kbEpPoYEjXtOqc
ilwvD0E7QU/F5EF9nG64g9N3enJxY7JX/ZVVAYM8WjO+J1RLrlPYZ0PU2m7smyeLFexVSz0m0JMi
LExQi4Hm+65U9EWuOIxMERnU9/IK5WLg6QmvQYMVktHSZtcR5PEh+851EEhu+tnaxYJ2ZYJ/5IoD
EXV0zhOuD0WI6KAiQ3LA8IvfZGo1EjdoEh+sxFF8iQ1okiRAUDWIJpLull+jaJQaLiUiNGwfKFZF
KGrFVfxKDMjiK6KFJoe8BUW5JLNAjKju1hIEplAsTKComFS+N+1w7GY+w6DT4ewZsCyFn+ob1Lkf
UW0DbIDZeK6EtwG8Ic4zW8OLPeiKyQmAc8AG7p0xSS4d2A5Ka/zl5dFVPE+ul49DzMQzn9yOzhfw
Rx/TAYJY0UD9VHk7NyKXUCpYqP+TG4IgqmPRHhqzPXYKLpK+N2wNE+BItAx8Fpbhghv4aXRgkGnh
UTRW80s0te2dP43WxmEhwETfOjp82yc9RBWt31CnqS63ml1oykWSswmX8rO80VFtyezTU8hULaX/
YBKtEK3CuMuuqYKrHL95d8tIP9BkieOc+/Vaa/EfX1b2JNRtlqjmhcfp98ElvW9lC7vEjASca1Zg
F4SuPDOYYVMyiObjnIb9UrOJGzH8+Go3zDlImCUlBmoKEgd0jEya/HHIguBqK7DMUoiZzXB5ZfI1
+eyuV6kC0bIpeI1a0DRDQWqGwtViBa45CmHrFczWmYzWFd429Zw6iaZ/shX6ZisIDkenYInHHSG8
qfs2spp+8LB0W7J3kBtTzv6mH93sm1ICn7E9axVsN3YW3F0DOnHmHqOdki6Gy6ujvH6gJ8VRR2F7
pgL4bIXy+VMbvVk3vs+Hc1+6af/ASZid/VLPLomtnOQVGhgrSFAI/eJarbVSuNw+Vyhh5pn+SusV
XjiKz0x+2a8KLX3MFYRoKxyxKy3mYjdGkduh4hUH3VlirlRs5I1npFHZCoU4aqCBB7sdJVHN8bR3
Oh6RUzo7ey0TzncLl//Vyf9SJ5s2OPDv6uRPr9SRRdiVxY888vcf+14qCwE/LHDzcmwWRratatXv
tbIwKKNZeirHtR/KZJVyaFgYsfBDty3s/y2TLfsPG6senHRhiHGz4dX9F4tXDvFDM4h9OHA0tka4
fwnq9L+5SM0krDMP6R28gAk6XRbx1Cs5cwfXOtbt5x8+mH9t5W8HY8erqn/fohC+mY/80OeF9mRl
btRZV7Sl1UthMc2T3eA/pYhtHIhTvXoJUf+8+kPS7P4/Dm3qiLo8zP3/5qsWa+gCu1JY1xkL5RfE
4Zq/HuToTmuySMQH05tQ3bR6YxBmHcy0nr8//M/bbfXOXcMysFejs+GL+7W5N6gPCp/gg2uWs0pd
etrQkYcE7Vsd4lIdjsLVO/3+mAan6S/fLQflVKGx5nrHfO3nBqioiqAPK9/gllsYHwosdfZG7sz1
hm7cf6o62yPiVuk5elTq7TZC9PbuVG28RQTG51A7uITS/yfTrtVUgOtMKu4rnRboTQCYKI4YqNCe
x7OKfW4r5Z4xZYVp/lfGcX9+dqQ2kxVh4FNi3lj6H84ab6T0AaU2oKU0zhWgLMwMyEXeINcWH7JY
lscptdv33396P1tWfT+qz+WBJyIH/nXyQ0i2m2ARJ65kqosPuDnHWx4F0TeErnQ3YkaOaFXibKNZ
BINluL39/fH/fmG6tK+m5zpYxupQ8j9/eYPvF2mdToKhqDM9xOqCkT4atHCoxb95VP3DiWIKwijQ
PHBArNV+PlYg3Y6StxdXK/anB62KinQzxEJlvZlm+85423rlIaSuTrRoyNtHLhYtcadLAoXwL1/3
P71xEyYFHEVJI349aw1LK/0a5+Zrj7KpXlpEzpUngFV9AH9lNvX7j/mfLhLUauq65D/u3ywnibnS
Y80cDJbmnbcqYHrnpcXa/dgzXj/mTWLtTfRZx7qOOctxpxHnHJgb0xiW7uNCJDNerM4wPbCBm0Ii
6Ay8CFLVt3QOAQnRUI/8ViR74LnFNB6YrPXZ5vdvQvzD7cU1+P501Gv4Rv5qHpVkYdB70hfXIEj0
ejO7TbO7nTdTl1cvTZOTxOmN3PckHyBuDf46jGEzluxG8bGQOda2cWrVrFRHXJiQFej4ETXEav3+
df7Ty0TDSJSAxYtF/fLzeaZBAwyMVsTVxmmM6Z76mKlkqhehB+JDnTX/dmarJ+hPt0Bs5zireeYS
rsOw89cj5l1oJDpmF9exMsuj3eX2a+BP6h8mMa69bgIHmQ4++/iqBYgQhoTGgLWq/xj3acySAn7w
3SyRFCc6dwBd4yKImVWfSMspj7ePqOWp4aDGjfxTO7jlUZIkfELfZ+0Nlzc0y748/v5j5B38+rZ4
J3zPJmcuHDh+kz9/kDPjZ0ITZXgt6fBJw0AFuUpYqN3XZia7XTFEzLNoRJNuZdha5izjIQ+ijR+R
XrvI+N06JjgVclgW73jtde5mmEOt20XEEQr0xaE0ycm0g3mlmzPTEJJstY+VlofdSnfLklV3KCMb
/xKcoFe6oXNlJO3Yr3kEIC5Kk6xEGFQVV/a+0dFr8+SEmVd5HpLArbEnaXRodOJhnwXmhveilNmb
nrZihTaeFZYhZ5YYbO+jd4kGxzl0MipWBBl0GDL7NtFdtZmA+eh0+suJjEsUJ2WrY90deWRAua5W
PfVFlowrM3DdR3ZR0BM1nCj2CMbAuiq3w4aNj+NLsk7YT37BSarxVGfepbt5mjvq/x7/u71Ry5jx
oSeskxGihl1UeJvpRAc9MgmgSXIhqZurNprCgg7vChsLB4O2J4/Cqrq4YZ41SyIKomBFHJb/FEY9
j92UcwTujEvOQWC0rhEeh2tKA3/tAqHx6krbfm0JNoiXhcfdhhKQG/FQ8RRoY8mPSRdPjlVgFhqe
zUFmLSaRZAyrUnoRnswiYru2nIuePd3BZE0n78hNq0/aRJbJJpQIDjCUjAlks8I4Og+p3715Reow
1oQUUZZQzco3ceFoDNKXGqQMyCiql1HX52ewq/hgqDQ4jzrgiyQvfmnjE73FNTjYGCo7LlcpcqVJ
+G19S5Zj9vg17FXcHKbmxUpHXV8towCddQPks8oZby05sXKdESYJ29i3SBVi55FmZ9U0PpMdh9UH
7ZZ2NxReS/Rd8WcOHoIITDOmKJOlu8pdnLfAaCUexw7ekrYfYHi9EMZo2NWSIDBoqv/D3pntRo5k
2fZX7g8wQRqNE9C4D06nz3JJriFC8UIoFBEkjfM8fP1dVGYiKxuorlsP/dBA10NVRmVIcnEwO+fY
3mtvklmbbQQsqeFVXyHO2yYfN1UFuYf1nLs7TV+LHwaTtzJNudLAdcozTjOKIVZw+U76omMGKN8r
spOjkPmL1nLH5rBjU5hnZIKD47GueAC595CySoJwXKbIOwkJyvSxKlZvXkNoiA8Ll5uaKNTYut64
29EbebyKqOXWpwNLdiKjx95xaekXOFbvoQVsNEp06tUuc1mN8tF6Z7TovY5YAH60S7we4tgsPJJ1
CAO9F+RNXLebmjeUcMXc5NvPtcWHo+Moz5R14Wtv44BO57w8pwVRQQjU179UZt6l6wbWZ5azMERp
AYKOVpZQHfgBE78TLGbjKvTVxo3usUx3rsXFacQaDksgDX+jiQ117QnBxn2MF/MS1SQTeU453YRl
s6knGivq5xpJDccxsMUm6qi6OYSl2/6ovfVSeo00ntu25x8/P22OYIfhZS2nh5Kyk7GRlcwP9Wct
kma2bO6LPG0OEeq4a79wRwZJZTiL0XgejMULoM/Mtz6h3TAzJZ7VKgyNu6kat/NaPc6Ca2/kM78U
ryQ/KY2H9kfC+fhNrf80QP4AWqSoPvV0sN6JYPYCby2Pqozdtvai+k2lOdXvBCru9lkoLGnNme6k
MvtdTNT3ihTkt6bmwzCDVD8YPMBIShyTcKVa0696zCttlyH5xgTtlbj9oSn5Yv20RVmz8bQlcQpM
om46IsnaL0soHJaRVm9YHNjN51RoTRAKjyq9XXBIDzi6yTpoGz75wNcMZBJDRLnUWlOQQLIWOMyx
vSAlAfbH782Pue7Js/JUvs2sGVqR1NIaHEll9xIFyuxe4tyCjOjgl9yz7fABKzEx8HM1ohJhZxvh
90wDng0hYX2FjNBS026YmrUMYufpts346Mqx/UHcJPeoCl2KO/7oRQYbcCEZumzLtVVJOQvdG7NB
YaDb5tHmTl+Llhxbfp3ybKKEvCVIaGec+RmfdujRJo4jO263Pp5WkRlXPVLsTIgz+M5qoFyVJEj1
d9UYafEhJ2qBKs0ueGr7eHHRxvCfiwgtHuBOokXewJn0XgGmOM8qdess6Go92ZvIeJINoyHrHS09
13Sq1oHn5yKQZuZ0m5OCq4LGxrvYM8FZMNd44ez1x4OpcX21vvVZZ1RvygDk70XcVcr9+lCHJnc1
Ea27hX20XoeROwQ2IHzV1rSfaY7s9waa1jmFdJEHBCcgc4os3nggEHySzycRaYjRnseEJcDCA4xm
sMlYfGRUR+2DN5Fvd3TxSIRAlyRLk8A9cMgbw3tNumXyCJhe0EcsiMBQS7lgHRFuRvnTrCvr3VTK
eBaaSw+A8oitaXINQMgNF5kICMaNrPMeCq3EQ1UWVbzoNereh8/fkJ2IGrm1WYEacGD7z4Z3GVdN
Nud4z4yhxXPC0o3QkZb2ua/5PwHCcFu6tUpb3JH79Fkxfm6bCJd4oqoMHbXpxvzui1V5l0K4Ggc0
goiIvqeTWa9aU6FU2qrRyJZts36c2Oa3SJNQwgrseF+LOMJ/A9Ltpi+ziaPfXDgs4zgJg08bsRwl
KS+XkIREc1DHCB5rs5iA+aXhdIsTwCXBODj1YeYELA8sr8+s29SMBdyxUaaLD5fEepfTurLwt73X
YtJpW7NeHlMkPSQ6gw3PTvkAUIVohljUT4YuRh6RMOVCL+vmkqjPtW8SStuXkcEiTykSrS05MrjF
j3Oeic8L8PtatDbugxKsC+vCyjyZHefz2Q0jsOGbqcNDNTHK/g4oPHz8fD6l6MM9R1v9nsmvTO/A
KqyIBb1vDtJKh1MczRBef38gcnzjvyrAH4Ofo20+QGvzcENW1ntkM0v5fCog4/BSpCI0rrYseJHr
wrgqa502pK2GYMwuQIWAgixYiTCEaj72UoYQjYWEZQMOmq5qRL+L+YVzxUaO/LuZQqjBECqMqyH5
FXjkEKbFdjluDfLNXZ/TBXYYR5jmrqx4aHqM66+czRj3liOWRzp1HmpdM3AVdCOL9ucKCCIR/9qK
vma4HGrr9t0prpLpjLw26waEqjriKJEEsI5FoYyagdggDcpaUPTrp1V9x2tm1jM/N8L3css5CgJj
R6v26k0zhZ8V8XsDdibMcxSEbKJNbKbVpq1Vy9NgML0lp2wo4nujVXoJQic3ro2+Jo5YkEkXdv6S
p13HHdA8d1ZPEYIi33vF8ZXsiwox+Y5XZXyQvXCeenfK77F7fMRaqPn4/9uDldUETjes7CMo81+R
2ZYbB7LaxrRpqf2hZAJuTmyPCtlP7c8JtLOOkadHhTLbr4h9uM5JxQ0trXGZ9lqvSOcu3HkgX7bE
MTugHMeIou5M2RoGVnArP9LZT4fCqIrZz6oKflxplr+8KaNesMXEYkiRGW6A13Qgo6a200/1uvif
OBxhEOnFiL/zXuKHE1mRHbUSIXDBlA0rRhaO2lOkBLcHxBv/XXsGF8m0SDdiAjiirhqbg9msi389
UOPka0lXxy4x0eSscMZca35fj7wza6NMohwXxvR4VT20LSE0Ez5euDgMmwRKwK0MRz7p9LmZhDHr
NrrEMv1ZUmOyu3iVF6h1Dzc0Fb6GbsgT9NkYRnpUVCcYN3hHm441rbTRLp2Zp+FgjEvvkniRPI6V
Z1yjyfJeDa1rf4hldrc2iddHejDua2EL9s8G99ihzyNWq8VOxPPAT/Y/100U9SyOHhtmMNcF70S2
1ptV6LkXHNBJvgXSwBo9yeotzZCKlVgc35uaV6iDWbJPQi09aaW1s6N1ZV6Wkh2I3i4+CCtOfsrB
1tuzVfW8cZ1GHi5Zc95F+73CqKkeNHbmPC1cyQn9gsOVhm3qDlg+8PRB/9qXXUseuhTCpVfprHcd
cuuz6xqM7CzkfT5zHi6JozS2jTAUdBK5zcZiD7P9HDOx3i7gJo/rkdS1WaJ1OfgsmS09/2XjfEam
XOT6DvuC4wb23IkdPzl+jpt+epngNJASPycvVR9xus4bwupMt4OPJxO9w9lorgtETpX20Gh2OfmU
0wXCh8acDlggtY++Mq0fyuuXn3j+BgLeppZye8wQQdmzYHLR6heDomyfMVz5Kvm4zbYPQ4CJdQ3I
OajLqT5ZuA2uyQo1ipSdfMmrLnqyqfEnv88zpMKtpe+BZCB5NKvwhUSi9KOsZ74TlD9Yyska4POw
EJNOaJEejYbvdDpnZ1gA7bfPscL/nvD8ixMeTj1Wjdw/V0LdJUXxk2jh93884Pnjq/7UQnm/STSb
DKlZtgx4L4y+/gTOOETDrioo16a1YvTPz/pTDOX9Rg6PyYgKIOQnjOavUx4Tgg1HRZwaMfz1+M7/
zimPYYh1XvwPMkqd5pLMMUhIKO2oHz758/8wRTdRE+edLPQzkd9lXGPNBP2wnQyCBZLOmKoglWZX
4vqFnruDaGWYgV115s9pypB05ighNxBK27tpJmCrXEcwy5dpyaR8NcAJw2loje90ytFLju/FJy3D
+jJI2aEEj7oHgLhauEtKgmuJb9ccqNr8S3+wJ6/aaypOD02nCtaBCb3FZD1mTWd+10YZzmcaHWYC
0hYdUgJPFi9mGvbOpV1WWXxPNAFaZJmb/Q+1zIRmipb32EZP4CFfX+YWrElKSLzZ6KZP09K/jcoa
44lj+ZzAejMhAK9ucqfapdzbJ3r6nEhsAd48qLIweTFiPNZRPMLYbEDR2kdAOu0Ph3CzJ5vdFpt2
F+/pf35kNK1B4iTMVHWUnBCthdgrkTzPqZk+2Liv0YzQ197NjgrzbTeZyaErCDPZNIx0g87Q3hmz
T1RctPbHpnUQgRWeGdSeWLEebjxsl9ipLSo+rb2Bc7fuhk9DUNc7xrGnfShRO3jh65K7zlO1qnyb
bhbusQk7k3qjraxszS1geXeQB3wdMHYH0D5Ae8I94hpUw6bup+Jke2UG4NLhWvY5EfGC03IdPcU8
njkfilxfi6o4cDjfvuH2kzii2a/ZRA2mLV0zjxu6ucMMDL0AyzVDkpZhrXbuHIYHiSvna7UQt7FZ
Wm159jKH6RX5vk5ykJgds9ekcfviJUIiCgq0LyRM0mDs6BTbvejVrJOAF1kFwguVWfA6kKg3EXcO
5ZdlZYw8SIkTdSXRloVjMOHHCBCBG8dkgMQSh59sn1VTU47KTyyoqJIYJz+2vQ4BQNe6m2zRTOYe
lhiDbAkHv5lcpjKa85xOjKosQQZCc0cTrABJLPD1y5VdXfu9le7llIcnfCDs2Gn7gkf9cSKHb9Pw
Y3aMTTpwRzNz7hGEopOEu3CYn/RMtce6iWParVpd6lzT2epkuuvCWpw8DQkSU1GMgVpMiChAfYCn
WbkbSe87a9m8HPWaV1PYmXjxZvGt6JCk1xjaNyruNF92atiBMe869iDyedpk/E7nlZ3W2dK5BqcN
sjzXAzji+1IDBCerHogsw7JUq7dJrhV+VGuYsYh7jnEjxD+tpf7qMGwESVFW2AV1hqgoiV1fl+64
9fo5uhSrnYAxZbWv1fLUJbCsDAK9NoOwoJE0ynjg06uzIt4ZbD+NyNEwzf5nlVUzMFMEfw4v26GG
p5M6lbmiDDuitmpyd6wnWuJb6iYXJD97D603rrHlOcFdVuqtdyIA+daSmlMsYCldfQ4ixdWP7Nh3
B/nS1vXenac7JTSKBqunpAJPFQzhwkwnlK8kCELhYgK8NfLsZyb1hhDOEQ9RFvdP7MF3bk1d64Ei
AHtjsQgm7h16LdSAOYY7jn1R50AmetT7uAhyslN9h4x3nq2qpctRsb2HnovDI/Zw3DfZB2465kxC
9042y+Wpb0wKzNBU15jm49C7JqR3J1njrOvHQbXBCkhxl7K4TtAn3rN1NUv7EEKMq1rtjE1f3hJR
26ey6mKfG9bsKub7b04df9W1doAkNP2Ku5w4AaftfeI9sXkhMPctLfROPYSVoGVZf+xMLCPRYnvH
VDm30G4eR7zBO5YJ8NdKGx2/hV7whXWl3wqmg4wczE5dwRzA8+zSbq9zo3Z6WfdXi7nEzZwm766Z
9NvSaB1I6/ytjfAxUFPdz1OOvQj0wLTmysDvvAGeZHUBWBz2utopE26iBQL8HRXhNTXjdUAY+hOz
232iuueMkfVO5Ev4NKbjXaXVjNqNTr1wCvJiRUytIWq8t4v3lTrxKHq8X5XRV7s8y6ZNLEYUNsSp
2mrvCUhSLrMQZHJRvcfW81EAPgzgmbYHvRPPVeikPMAp4NAclMbZqkf9GhvmrfeqS9bGrziqFsJx
F9i8EmBEWwW25n0DPN76prRQ/bGWVpr74Lbmvk3UdJu4dfnawDPssRf3WxpGxtfMckmZNB1eNQ37
CJlz0DOHYKjTkwOvZ2cNtTgTfeXS0lQJc34PrHU6Zy7tTL8c47I7dJU6DUmY7rsM9T42UsrlQQM0
m9IshJ6zcUdmudhGevkhNe4Xwx7NvTJKQZFBeivT3Ka+y/oVdT8O4I+VFX+vJhsVq+gvU4JGtxiz
F0MOhyIs77xhYWNVYKZE0z0Nc3utEyf/GKbi4LnzV+WkWTDw+zAKKFNfWk5yHmbapCY3dpyJEIoS
AXTF5CizAX4uMOZ+iY2zlVio4zRzRmAdmW8g6aobx3tpAV+KdOzATVmZhtwsHiJtwJhdNrHtd+xr
YHCKw1wSAWYYBt61vuo5tilCJmqiwjyoJxxna5TY47o9gyMrV2aVi0dQd8QrSufiXo8YFm0xnHA0
AqZK9TfoUu7Ra9PlNA3mi5z06rsGgAgyUV706c5yRrPdmJkxNhsyxOfhwD4rAnyqH7k2PBixw+RF
jt2ttYqHsdA0v061R4A7/X06JV9a9JS7frKxLS72F7eV2TP655PQjC4w+PVWSWH9jeVVHkZjDt9R
mjXBaIXN0YTWHahyiPd2ZsNlcavUz1PJL9sObyueP4D9qd1Fw5i+Vl43bvA9ur/s3oq2Pfj2jRWb
2Tsi8PnJGeGGg3J6M1NOSnI3d17p5ZKtBoTcF06snosI4Pg06u3ec6BxmuZUbie5vkTcMEbyk5nu
ahfXlPL4eFHT5kEOqqRJv8+65tzo0YYvyPyg+/fxNdNTCz4OWzaYGyP33aSRsb9UjdxUepOdiSot
D4rjN2qEIrozRHbo0jBFXehUQd975Q0oMA5Y4cb9o1ab7mFx7PqLtniHEg/tM+FegN68BFKzt6TJ
pei6H3XqfrA6Y4bk0G/bN2H/kijjbBeAziuvgXiH2SQIK5sNIvEAhqPLBIosdBjppRJXNC2JD665
vjBapQ/r2vmSS4yMpOFOZErWH+TSrHCeLDEeKhruJxbIlpEQInkwhd0Ywz/ncGcHlzFl82q14q12
PPMcMSDeAbdPGOU05uyXLoc7G03O5hOZ8Mb3IrPg+SQFHeXSwUjCe7PRjIyCoeeaC4YkzD1dyuN8
ODlEu26SXt8WprgPaVRM3tui6Qlb8rJtTuXhwz4bQG8R+ZCP8blBDLnD+B89eQi/GwybmefnxfCK
Jv1oi/FHGdr2vq6cZZt31RT0YWQfQ7A/m4XmnXMhQNGNPFlKYpKGU7vNylJtJtl/Ixup88VSMSOt
QnNrZWTEwgZbMxnKQyw/MykqCLV4hQ9mJyTINTWcCriHYWNeVazMlwRz5j6rcPslMeNz1cW5nxJ9
MS/xLhvq5tbEg9zrxvcezT5JOWEZqDx8AYANW5D4i1CT5pawqAq8UoNBEVoWTi4oknV2WEhiZnKJ
OwJCqOGX8Df8RA7Ar6ea5QTShQQjixEQ/eySxt+Aa1zIYvN2usslzr3qZSqLMiBEC2pQkp9HO5m3
ynBzBLKUhrg8ZbaJnIo9MSuPZSlv3giQE6zAR1b0L2U1W/eaDbk3p08RnTWT9VJIv6k61OQzUO7K
au60Zhp2zQL1I2P2yblaTvpy1+Y+51hsdbPGkbMBwcgsM1/FRCljBCjLC8lGL/ijpx1GZeDbZZhg
/DS2xuSQI53wlE+ZjbNegmuY3PDFMbJLHffy2kivYyZW/KL4BegUt8GqbPGxlghu6XA/YVHZLSQH
vzRSJdtM9hG0Dea+2DULim7X4txWZSRHsbjMY5rvPB2wgO2G3/UW/bAH2m8f4yh/rGdH23mtbfhz
5lD1GJV3r1fqWkxzz6li6efMOv2lbWD1SX2+Ehpx0vCNMflChOus1Da4NOMFY9KPkn4jM7Q34S7v
UWXvHaPtQT+wDQuV7sZs4fA+HYJF0/ZZ/Etzoa0Z9jq1aVV1qNPmoU7MM2EXLI9x7fqY8/VdVdHe
DqIx92aHQrvEXsq5xxm3ERuo0k966r4gNSBOPlneJ6f/QGQHUx39N7wxREt3ThlC8Fg6lOBF9E0j
Tw3aRXZkjrv4kelcFs/96kJoaDyv3KdsjhsRudWV8ZfCb6MTCSOrRzVSnWlMg31EgujqMSPr1zQk
QSBatIferskvSAkoYUtQIb8uO0HNaLuKd7PrtseGJ/jb3MQ/zXTkGQlHIH6maBFuyKwbNrGVv2Wl
yssgSYz8ypaFBXZiDEyBVzbOVsRN8Th2Ao6/NiFUVHaKtVSL8LGKRo/9Mu2qN05WEx/Yv0WTU9Uv
Y+9mxwHlyZGqOj0iDSn20ivkDnVKdB713t41Rf88M8eDoOnde2RvPRScy/+ykrY/L3FinyrTXUeY
cwoXG2+iNcrmWRZgINxGvNPDqzt44DT4kX6/LBGYr7aMLuaElalHbnrHBA7O2jJNexM+4Rasfrkb
HLnCBB132+DRQDVRcMJhym00aTRVNQe9CY6VLbMNjXwMTCWyd7GxKjMQEPzubWRchJfP3928x+Ig
nHcnyrhiFLV3RZ8Vh0bNR9BhxCeMw9XIyzX1LXbYiz3MYnqyrV3H3Ko8hkJQYWmX1JXbMeXbt97o
97w7kT1R7tH1w6cEPtFNwi+nSe1iBOVH6sYjYndFyFo+7FagccBqPnPrrSLgiHGvYpTks+beegQK
e1phJi6M8t+QdXhU0lJP79iq2YVGuoXr3Hrnoi3gQ6ZKbkXoWBiZcl8baD9KQ9QIU1odkEuWHBBa
GH5DGOcm7Vr9jJu8A2lj/qqX/m72yDpYewuxJFeD1T2AOZg/qIbbCHyJlKUU7GuWjb42QqPlOKrb
prWrnUepHhKRC3zj+V1kO6+l6yEeSY3anzAkbQjJ2RWGvo9G5h1ZZ9HLWPG8Q4rFt3KBuiZJ93Mp
q0e77O7mamYOCs9iicyAKQN9ljAJHiIdcTNCGhYhsVW22fp6PLEqW3p4iMusCZa0siha5tPIm+r3
AHA2et+xRlpGs6UA/D44CmO4dXRl/YDoCDRIO4stLeSZJfq1CodiJ/spoNXiSUbC5AOMHDe8Dfp1
MXqxx1LGGGVh05WdeWwqA/oMlAzVB8tgp35dG4VHo7MUX2qpMTYZxxEKU2Y8s3bexBzN/Ebw2FN7
pPNyQXw2tIOM3xnPV+BF8MkYYTKekJZQx8niO3GY3qOKNG6ka+2xQ8VbG8jti2vIB2fxIApWhsBo
oe+61nI2siGF1KdQ1rZ2BuKOBkc9Iw/76Rr1tV3EOXXtd8Tnuyp77wwSXTr3VwMQmTY3maE3kWPT
5gBXVeEbqlKM6IdfVQcZKtPSb3EN/K7mNNFvK06fwBgzVHGZlSzKi7ZFwSwghkG6YdX6pkr10MQs
0BgwG3vyK4jc93lPFIxGTQ/3PgLcOw405UONVKvt2cmrIQWJqVe47doJ4U4MGnGs4WbnxplzVgCL
4DP7Kc36HVOc6MSWZcEnNNCdKWOu+wuRLs1etqTTcwCAxivJ6vDBZVXDT98ajUWUR8xREThKzsCf
NWnnACBc7Je7BshC45tGzKjNpkdAA1SLPtkpYrxqsQHzNFtYj8hr0Wb9gnhHfm/TyUm7S2h4LROL
zX/LvH7/s7y+5z/b/1gPAj4oLljn4u7//v2P7e9/jn6W2/fu/W9/CIou6ebH/mcz3362fcaX/p4q
u/7N/99/+X9+fn6XfzGJNyQS3P9qEk/S6t+G8H98wR9DeA8kneWsat6/uZE9G5CdsA2y6/EeCFLv
/xrAmyvxnQAjyYR+NSP/5UaW+m+mvfqbGdy7aCz5qj9/8T+cDlyzfxqvK82/68ktkstMSm4bp7TH
GJ6ju79LNuccTVXhJO5Jr/PprDEmYBsQ6Q3QSfqDqnshF31lrTqZBXc1/USwmiuMVdlwWUOn1R4Y
7UFrjat5eGBWH76mC1aqc72CXeMuUREqopW8Gha9SZ/5iYE1QsBDTPBfZ6sbH/umolttyOWiKYDc
8GPgkb0Mde++Ek6pAN1+Emc7FpZ5W5S8SQyEjvGKph1WSK2KTSoo+5NdW6wYW/AC2c+Cc78oA3Gr
vGn40iW1vAHnhYDbo+751ZlgcWll73gl0dZCrVFvy4rPlWE0fJlQhvlibinOIGJw9B5ZYPyayXmo
bKJPt9NstriqoumO2YRBmdbI+ZeTa9pjWaiRSnBAqDgQ7HG0ZQWADpoPrN+xNFFsxipVlC4LkVGg
KGNSqaICqFzYBtYQxm/GjNbJN93c3berEH0DmD57mo04vsedCYsXONkh4bRvH1GxnVCOE01TThXw
jTy36c8iRH5LEWcOeUkwO9cNtIcFnSKf3eJt8X7MkHwQsgKK0X0mR8DEPRAZIkzrUx+mKlAt+UaU
bqXtZ/XknZtlINWNE/diQ2vhXtGveZgsB6e/DU5eHziXhZSGSBHHd+h2vkf6Z+nLxa6e6mwNPHNc
mL/MzB9LLwPmo1VFdm84ISA8N1rUfYIarGfo4gxfsx6uG5KuzgWUXzprmObMIDOMHA+Lrx122yhH
zpW1BbK6eIWYMv4hicuu6q0cJ8KSOJzsTp1CWAjCcIoe3K761fJdeoZmS834wOW4f4xSJvwmovJx
k8il+ygaLJ6HkLAkoFCTOg5mUQeLNysOeQsbfhQR3g/22IBxhRy7ozFtGGebIFKM0kMhOiUGgTIA
qtQrsZrhNDwumgudCfo/MHfq/yG5jbMTP+QCckT2g7sr4JrEeZNwbSdZxFp70ZcGaOJVt508vEZt
7aFCpas1ZDe8jdZo43U1BKcQ/IywZd/IlifZou0fC5w9fmfALTuEKBt2WskcD3q97RN17JyATae7
Nk+JrlRmww5LuRyl5PASHLKBx1EGrV7lDEqNcMeZF8o1pxNBMnk9m4aJ4C41zqLzjLtS5+Rgom/U
pXfIRt26LBWjnVlvoHDrxXwgQIDr3k9IzzbIHMNtQYEMm7qo9au2aqa3q27FB8jt7RK1dCcBNTFA
zOEwOPLGS8+4ezvWebqvLRDlmzJf6rPd1v1JqD6/zUZBdGpS2tYecFR307z2cYl5MdNS/UIp92Jo
LAOZm2ISKOVW2Xa8KRPVPmu9yK7ZONFGFIx2k8kynhri6FBE5HhhPfjUG5B7VPCpiDdE77r+gB5m
M/TpgymLV44TMp/4TIrl0jyoLrrBNIyDnCxknwIPfHCi02/g9XcPzWIj/07t9WqX47NuUiTp8O+P
TimXQGT2sHfRt9/samUxZ0saoMqxjo4lc9KwODsjbKft75Ah6EE9qekC0235YnKi+dXJGSLGKf7p
qYrxoaPveYZn0Z+r0WZ87EUtawqWUOjciRVqHzqyWLRhabTc6ylvL3ZB9UCtl/2kHXYP5SLlAe+S
uoyG5k1B1EYTkd4LKqRCz/2xtYjySdIavcuQ7J0mX3G94h2hOZyrKBl2U0hcNbC7jhOuQU95DYv4
cWTwEYQLEQSE4WVcbWEqXlQMr95HgjeAa24OCRymqZsQXGvFJYF4f69ad/wx6JYWDEW6YPoWeqCj
1UeS5PQ79Jz5V5zfLtJYpEx+xO3/qgBsCavXrlY6FfcGSsvtnEX6s/BE9qudZffmGJF8cqC3PDLR
j2DX1Pouq2AZ0wa7R6VL5rQZFImAwMCMRTdOOFWRZnly49Z8N1seadOsx8sE+ebORVhxIOPTuG9b
K/WnDnZEm4/zU2TktrvJNbIju4GZjI4x/gJLLzzosQUFVLXptpQuS2YW3VNyqQPyluSBRGOHZnkg
xhBNTcTIuhMkbHXxciJhPd7l4DmuichQXxTw5Dd5ZbXfsNom6WbRhuQihrQ9tIL5FSD46Xve9am/
mNXybA4mgOtQMd9HfttFtETtSx2N4rIAUb4AuR6iTWbriuetjm+W3TMYjAaxW0pVbeexxpKOaCX+
UtVV+2Auq1+oLQGUsDDVB3b06R3WZPZsxpJzPmyKYFNHM/V1unXcHT0He0332HEqr2AhmEbXfdVr
ezUSz9jFU/3rrJFbcCgnp0m+IEEICwzipd2zE6W6q+6XMh6oW80+D3rDrrec/U95UOnT8sPtBjsI
0xnkQJOwBMfQe0i3auB4RvHc70c9R1Q01fskxb3AQxoeuZXZFipn9miu1A6r4Fgr0qptbTfJ7xax
/1Wq/Kv6GNMs3r1/rlQ5vxfte/uPMhWMn+uX/Fkhy98wILNUoSmRkuEmVeqfPmRd/KZbUlDukk60
Wo7/qpLxaf1JfcbHTEAS4zZh2lR3/575GEnJf1alYGPWHRfJjGW6wrb/kyOMvDoXpNpkn3PBNNgX
tmOMW9sgJYBT9VaruhqhImxnYlpzswyvZTGzBTeWrkFpWDqeyqesrHUtP7WtbTZToC1TI8ODG/JE
+705WC1vZbZU1zSWtuvsEKwyub92eprEE7Qch+pAtprdRTTHiD8ug6zbjzQayRJOHMIThOb4MiZK
Gx+ERwhPzawIkd6T5i6LcVmIYydL3TMK0Oqsh2rZCwMt9qWYjMzyFaJ6DeUloO5DVrt9/aC0MH1q
6tB7Iw3RhJDAprvOWQZVcR7RxMB7Zu+rZoKG50fM9hJMXiZWH66jFxtzLvLALBP3HmcBXErHGbea
V47fkoHJygI/YAeW0/KTJm5WApFAd1CaseauJ32kHy95dlRMzL/ZrVV/Fa0Jmofzee+j9NyPbJqv
ro7UkMPOfD7yX+Hd0NvmfWIl+sGDBR50ysRxAwOGv2N69WNPuN7o6/OsE7IaDVj6KlR2G0pnlkQZ
2jNTEYvTQm3JH9AWt68AzmDmIxPZk1o1P3qtmAmZxvmBaJzCFQ2glhzQ8yc/eB6sR5UOgxlA+dbu
45zg5cmycUCUZPTRLBXP8eJQgrs90MuF1mmYSPH0pduJO2kN4otWInhBpyDM+1KuKaoEDBIa4DhH
zK3LmfkScQFJL/GtiaIPMAQxbtDCaWeO5nKAbTuVxGXVyzdtzkmFTTJtXyf1cuToa/kADeQc49ao
nhZ9Dq+9VpeXUov6fE8Q73zPmaw9GMZuGmS3GpH+/F8YK3KI7zRLVBWZSTpxBDUnugibmpOq2mgs
TnBUxqzcOqhAlLcTjQbEwnBHsuHHrIWDqMdEpXz8t8wS7pKPpmzLX93fpwefjfBfo4X/SRMHmn7W
nP9iRWVw0X+k89/X1M8v+lP6Z/zmOR7jZW8dEggcqH+sqK73m8UwgmWW8wjX+jT9/8nR937DuekZ
qJFNG+yCzjr81wrLFMQjHA5ZIqHE/97cwVidoP8g+5Ou0Bl8rArC/8feee3IjpxZ94k4oAkGg7fp
bXlzqm6IY+k9GTRPP4uphv4+PSNp9F8LEBrdUFUxk8kkP7P32o7Po8D+yw3WkU7UqDkIT0SYIw1x
0CQ9DhZBrs5QdPuYLeSJSFikHTCsaiEGkn2U/6RL3R0IEdN7p7bqPRwf4lb/dBr/mJD8Gevo2n+Z
iPDSeHM8iUxb2sLCF/37RGRskVmktpJHT7tVee9TiN+rWXKv5ybp4t3ry+cYIL3YxnBauxBylFFB
781pmIIfCv/AY2u5qm621eTl3vtcGUSHR/XQccNurY88Io+lIRivIppVSwNXjZvY5j0AJuZ5GyE7
Qx2GFJMrU3KMqpgI8GuQKS68tHmNJh1SOhl5QswQAnpCrFr0ulRigH9AiPkn1fTWglojnb3xX7i7
R02/9aEVPJBb3L/6JaTpoakhq3MHRzRMyHH9LZ9y80kEDptSLZiur2Pm/NgdUyTOOx2wczh1rPTS
XayhmGItcMQjFN4NZdawK5rgbQxCY9/Ec3Nid2Ht+95pv8cgeu/9nHBAmbRnKyzhWMsW8nw8Plg4
EPaIfrpzQI7paTS0sYm9mTsusefyrhbOdCnCCCxtktLD9Fb5ZAj/w3SSdmUgbi4RUGZM+oMAmY7Z
uwOk4tJ4JPEFXaIXTe12iPV4Cb352ezD7L6ZemgWKKk9IgQJB9ih1xDf0AQgG6siIOBspmeezGYs
n0yVVk+a8FVW0gpAup69SNO1WumVtqZ1XpMQP/BoGTHrnnpLo0tstZ8NL5NpgjmPyBsZZeWiv86L
XYUUM11bjWT0zAhjO5MpA0Y4qLbMwNmBYRiieYZBzRxiWFt1KB856/UZz1GzS7zMPIVAV06+JdUJ
6XkWboLCzL5UndViRKLxrQeABciuDMYtbTwT92ePF0eb3o/Qi+SOjJt6C+cuXlzG3TqbdINDq4Sk
wnkXu7ke2C5XaRV9TbnsMUw147rjSkPnEA5PpqeHO6I20BcNbb/NIDHsRR3hOTPI4rEHFFpz0TlP
iLhQjJhkWIRNHHFJI14NdgMtyrSeayG/uPyRtTFmPEuV32NHGqyvdoiCL0+m6SfKieBaEzm2USM2
BFEJjOIdE4wPnsQzkX6Aq462lniAy8GZEGZ0JJrteQKznfHcFo2kXeeeDceO3TZeUn/aZGFGejgy
UePFHVvQZMLIQP2PjXX2K5cEtpHzeNQeZsFVjnjhghO7IKl84OxhzQO3oJdZmGaxP9lusipUIL4T
uzPIVczu+2UequLiZ0hcV9Vcp1cXiuPOKf1gbat4+XZh+yYeh3pD7+m5nWzDEGV49NDPu+yWSnlM
u+bVj4b5m6fncRsMrTj6MiFOTU7MGCvLKO+4Ew4fOmJYt6qUnEz8vcgENik55OTmDAUL1LJtvM8i
8GD+umS4JQz8LKXvIAMCJLHo9pAGKA/ivEascMGUjI/cn7Q+lqEsXXQIGbPOhNEXyZIkXq90HNr3
QP+GR9loi+aywEfDgLTN7gVfjP2AxIV0glKXBn25hSayYuZxJ7kdnHO2gDiKkCu/UQjVT3GPeJvd
vk0OFAugC+ou0HjeQsmLF16eRwmVbaw+Fhtz4elJrlF/2yyUPT2jNhjsKGIzN8DwX2h8yoXLF049
cX7VQNd+w/aRgpF+T8IOmF98A/sxnJMPiD0x8hMtOi/kNiiAtrMAAb0bHDCsGtnsxMIMbGanPk25
NXyEKoIUubAFrQ7KIKOTDT5G9KDhwiA07QQcYbeQCSM4QIS16+bZdUrAhYElo0fLte33Uufxk4eE
0Dq0TRs+CFbmhJpOHUo3JEvtZ0kOBrpwctvcfbMQE4OFnRjVfo1U2Br1tYNaiePdGtwIzbsCs5XS
id8b40JidDWZe/ACO0wfNuw04lPIFvFk+4myj0OEvjlfyMRzdsmEsrZJ7XFbDxAguTeMR4RvwRfM
cRb/4KLjPs+XPIWHhu6iXIhwM8wU/4aWTBbKpHUDTnqTvcAnWziUAN/opzVzj3OnpLx9bAdDReec
boKxH2x9W1velmD774kDOm1QAtluPTpvMQS8I4JK78F3Iouj5t8x1YDI9N3UuR+N6pIE3PpnN7uE
kwqgZpZs6pHQS9cY1wxYDLSziOwqUh3uMPN4e0HjwC/Mo31f8EUnsm+Bd7oLxtO2extN5IQVu+Ef
sTKNz2SBfza2M56FW2MfboHJfODG19/1AgxNMUNsGjLu9ktdglMYsChXqYs/9cYbFTf26LRgSNsS
McGKx2lzdtSCMnUdBPxrBFie2LKtJ40VxKHv7KYGP+GGWD7zTSZdV2zrBYpKtCt81OnGSg3Fwk1F
KTvNCGkWnqqKvIFemqyRfXUjrvbabDBYR+kbJRwfV/TVEIm+N0yRPk2mfE7HwN0nN46rIxqQj0Ub
Qfu+kV6XHvw+QJkAdTQqP6cFCdv1wGGhpfJ5BTdmrOEkxafj1jl/E6SsbQGXZdCOmsFbkLOqbq1L
y+2Mb1ELkja80WmpuyDVZqpjKAQ2Of3KguujNSy5ccGMoO9K/OqUwNf0GLIrJEEOpNcIWwR5Q1sD
cfvTEJGiWy55ukKSrDveQnaXvDg8aUv2bt+2T6E/8LB2lXuN3BKGU8lX7LLExLgbcHdA7gYwUeC2
cwGLMmMzHzBI/j4kY/1N+Wi1V8iU/JMn2mEpMF27Qf5HYjCQpI4I2SVHWN0ihf0lXRiQD0HDQLTZ
5o/G7NHgJ4m+1Bb+1dVwiyhubnHFlCfNu50sIcbaQTi3J1ttBFO2xByTqkLkMU4FeQIVxpOAMI2i
PqQ153MzDkEU8GgV1F9l5qjncSRNubwFKwu2K2BbsF+tIt+p9qqUWXKFBJ+OxBB4OeBQNb41tl8/
ATb1PutAJftSQhpdpXFKHqEVLOF0Xl3s67ZhQUbchokh2Jp5ZMBa6PdxXlkPNivY/KSq2CfE1qt+
+YUp4jX+LQT+KsnMdVFqY9U6vTQ3IxRWpztLNdksgv7T1v1fFsmEmUk6oX/c1uEkCeMi/m2Z/Mcv
/dHWee5/2Zh52Ni6AIQWOt//a+yc/5KeJzzwNi7fCsyVfx+VOfjAKGD/QWPHX3OU6YEUs22GXf/O
QtmzmMf93tlxeMdb0IG8CtP8KwNIaVmW5RRaB6Wmgv2aLtW6gY+Db2iqL/FA1E4RfE6FcnnkqDB6
NUGnroUJBymOQvIqSnTDfqMdRMzESG8bwGAP0RRWqMyL7IVJG1ZYdu1HhnQvgQ5Gwjb7+qvpVGkT
I6Zqwte2MYo3e+FcVfliz9fwJ364SETP5eKpFxOkJQZjONRHG7qGU0l+yJbCf+tkafxEHDG+pg5R
Qj/psH3SkmISfe/YR24bzBIqHJMz8TmV2ksdFIAGRNgBSzaQK/adbVnI1EoDiYaLlnSOCr3lu7UM
4VEOtjlr6A1O8PHOasZs06SR+szSTNnnttOK00JFe7DGIbygQu7XfSrZoDD0LLeBGvAwsMEgDr3l
OZLPxTkcsJ666obPFumXJmkL4AoBSGJmAhj1neGNAnl6gt1jhUfWSvG+rPLqIfAxxe65JQMNGbXx
wYgx3qAMHl8jsyUJMk5Yj9azrr03uHt0DZ4cgVLMRHUgf0kCWF6Bjxpr7c2Mke5RK0LvM1xM9g0x
pF/7SgCfk/BoPkQIlEqSEPQyDs5yllOLc4HL2HrxUxfn7g2EAv4VuEWGqKpadU5mcusuwQu0joNg
x+ta7O0OS+N8q1yNuEhF2GvhF9RYiocCjtXfUBK3f82ADhFGUcmG2DfG/rj4o3wRJDlT6l2qAsqi
7bMpXwPdCt4SKtp47S6Emk4LzPAZ63MLER6+Z1WmMF6KDjQChD/WKI1i/rCs+oFNEENDQO2yF0Ot
1c/7sfMhPkRYiasxwy7MBpvMJbS8M6CMhQpDiVme7dDCzZ3gZmL8u5wUu0a2iogNwveJsSovYLBq
VrrQDTm7uQ6qj2zIcXmHsJZznq6Nk9Ai4U/bKK+U9h0U5yHYtV1ghseu0osnvwSacmN5xOnMfws0
uRAeyhowSpYkwC8QFmu8N9JYSDmC4FnUrnJ582B98NLPNrnA62ZYogJvNme0RnQS5N5Ds2gRWEqU
RPBXKt5EQL31gHpbXm5HxLwF/xAEinMcMotrs9Y255eFavA2NCkoBJwnEM7FYBP11DSW+MqQFirJ
3wAaZlN91Da5KKvapQsECuaKxzDpIcE4dVQeYwfo7lIy4zev7Zi/Hzok2u9hJMF/CTL5jrlsMt5u
r5Iaqg8P2URLsGY/zot1K8lVZtiOdec3+HRY/bXUD60c+JwRnNc4w4aFG1Rmy0dq30hCkFnM9q6b
fIgnErba1GDrIt8uRqGp2LhKVsIILsiv5YLw85pF6ZBxh7phg0RuWtMurqvs10w7gwJRGss1hXuA
It+FWLIve43h37Owp+LK4nG/KLOGTefb86GdJR34AFdJJ1P1Ae2X5TnhOhBAMnJ0Ia8LvD6d6tdl
5ZJq7NoG2vDWbv1tnxchdCgMm3dysbInPrwHPOsy2mAXtmAHTcSkZyTyfXSib4Odl9jjs+Yq3iPx
zXezYxEkpkP3sY+79ntiYLyl4ONrkZFX9qwkqj7PbriwbSop3gwn4CJNYfDu8pTMp7l0i3bBWWQI
7f0CHwynTM+H0Xc9TCO+972uwBOQHFfCCABlABTBRtx5DAmVPTrFcn4nuP9vjedxB4HFrTlgPtwz
uRdbAGd2uDU6B19njYxtlTeiQkMQO3sSjCL2FzwxHhfKw1MGbYiInRSs9spLIzyJ5eztjKGZfgov
d05B08WHRCvrR0as2ZsKgXruWMNgfGxk/NOpx+Gld93pWOUsOejZgnUZG69QHJq3yBbtpqhTDMqZ
r2JIIIh32RdkF2sskID7Y4E4P0edCFb+J8tvTIkO0/Kzcgc6ck0VKfAwB6TkkEd/7hDD1mvmtjhn
wWJfcXa6eEAGHKF4Em1wedAfLm5Y39G+5j9d14/ElmwcjSBgqqdT0Y0KmYPxRL9E62dC6yVpVGlK
+Czlbv44Cyc6atPfs0YdGT46GvloWl2HvihXqdEHD4VuuJtM3goFdNU/WUXxxQkZzK47QPnhnh27
c6nSwrRfA8iFbzhImmfGkw8RPrCnyYYMMqBCeAqIB3jG4xmtsn7s1H3N5PoQe1m1JTTF/BLaA41Y
oF7m0JbvPTLWfTm6ZbN3h6L0+X5gvDzoZly++MMBxyDaycp+aNuwXMm8itxtZkbmZSBwcdmEdOZj
G5XMGWzsuVlCJEGL0IVSmolHtUWoUpgbWrfhM6hGUgMsQe78zgTclR8m4jdAhFsCT5hTl2s1mt2L
XaTqIyYcnPlmjPa6T0S/ylGxH0GzcVUPTvI58ng/D1nf36FU+BwaVV+rdib9yBrGSq69IugurZyT
jWYQ/zz5hiCkLrEeMSR3v7QYm88J/lD9dezMTD/GRH6F565BoB6C/FlXdfOFwVfwCG4kIJk5RYqt
rPGiO8tZk3G+0p5sTn3rGPdN08ltazvhBIEv/5l1zK9qkpe2gTvZj0mMeEjFMkA4FckHoCAuO6AB
M25awBJfwams7jyWf1czqO1iE/Wm8ShS5kKe6PEq58jItCAwrWrz4jPuO7K3yuo16CsI7WZDOEip
t+RJM0dKzA/LDo/JkLQXY3LFFwIsmUl7KRpZK2itbYCJ8owNKrx3VNlfe685qH6gg/EIYItMq+eu
WVajuAwRDZr2lsVrBIwM8bPds7mfDJg9XCpmHF1y/LoLVOQ9QB/CkE3mjDdLAdqoS1EZZwyV8Dtx
L6zENhox1DGmZ6IeilquCskjfOcLh2EtFjznkTQ1+QA3p3suGwwkq6bQJe8n6tbpPO5QQ+lr2aQu
oIHwVZq1dS5o7TeWg4qOcCzkYF2eP0MA0Ui9KT92NhGtmxFAGoFeJtvDvkNoQaQLsyw8uM4udczp
xWS5ep4YCb9j3OMGJcPyyh1IH+KRteymy/1HpzP1vip6YJa4kaqzgxzqCY9EpteM44ZtXxYxEjnc
Xqeesc8jwZ/mpgkQinWJupRpOL2SfhhIWuT+LeqjL1j8g7XrWoqCYtThq64YXnrtiPWibp2TJNLg
MJqhjSqMqDXZSz6HrkmYeOa56c9r5fXMzaY0cvkmkMuwrka33okY+9s5iwBy1l6e7atBKMx9vHFd
jc1zkJTejmCQINnyOBwOWIOxH2R+ulJg/EzmsU944AsEoAnzX1J62zOGVeFA95z6M2tzrOW2PTo7
fme8evkYQVTifvMjqXv5S5EdsY1T6c4HPMqkrnogr4gvCbbZUlpVhHOtMj3Vq1ngglhneSK3xP5V
26TQAK/JU70Oiww9mLJuPel6cXh7aM2TXN/NraqcV55v6bUrMocdQO6P+Am6GABT6pZPfT6G8ilD
DjjjCfaZnTKzJjV+EN9SyzbDnQ9Oii+QSS1IInF6DxvmOdTZeClS0l+gbbKsSFoVPLaUAVcbIBF3
XsRASL10wYpj2XZggP4Il/3HHAxJxQA42hE4M13c1nXviKBlbuYTYr7pS7c/saPpzqNVT3t127K4
XfsSDfmJ4eu5UuQNAW6oWTWV7Xd0yeaeaV5zsrQbgL1UbxRqw85rm432GvGY3FY9rgaYt0O+HmYn
hJSDtYv9eWaDflsTlVnByii35fzE7qT6NqY5KyVueXhnqyKH31SA3Ckc0mbSvjHy75Me2wdyLed7
nAZNvA2r2O2/odJ8wepSpHjj2XwH9p4geAfGKe4sxhDeE0Gp7wTZj9EZ56kXXJzC/NoNfnUdXQo5
Zsl1f0wZT/I5JxOpJGkSeU+sHFzzPc75t2ZYNWkRPJRVW+9ckqGBw63daniHUMlu3mlU6D2EdlU/
8PQ74kjPjeHwp07+f9ks/kVTcmPmk6JgLRwWS6Dq+H2vyDSrn+yQutZriDYbHDpRN47slxlw6g+/
sf4lqft3yDDEF1OA6kYA7HgmMqq/orqZiE3sOdvyUDCPvHQRpTujRvdranQg0e2y/x5lphB3oVY9
fpBGOsG0bi0oidfETTLufHyxt7IuYFiiT7HuctyB1alBvvOmow5QfYq2eCXmYolqzmX7g0GS49PQ
i25+tqUB3rAeYV/GfU+ZiW37a+nqoXtGpui2O1iYFl50MlYd8Qk+BKdwoEYatjBwHWr9cAG1ccd4
yT0Hzms2tT8Wc8ovNevi2fFDKvqubvn5G6DfBETBuo/eyFjunSYNlmUEyHDbvt35cKravVqIhhM/
2NyLsrLkHhyoHLetpcqPWy98Yzz98w/9r3tu3yQxTzCpQdhkMpz5y4eOx9EOcPaVB3da+mU3TugN
eouR2/GfH2j5Q39eqN8OhFeAMgDiD8Fiv19dqqGDqyGGHW4ESIYTgBjZwPD58N0TX9t4wQSG5UgT
MvOU/fh3j65MrAqENggcBbBTfz96ZUyWZ04jOdtJZb/IYVAbggMn6sesWbbVHFV2Hk2AcYPn/fOD
WwjH/vLelYlCbHHFeo7/P9476BwjKIOmPLCNoinEQ9+Lq5fW9kuB9jLfIGjgzSNIhkUTVtSoJo4/
Gr8i9LJDKEbr5faC/qMD/Bc6QE6/Qk3xj8eb17Lovha/TTf/+J0/ppuWKf7rJuGjyTFNbgNMF/+Q
rSxZJejKF2WKaZmesH/jVaFY4f/io2fKiTHm77IVIbDLsMeB6me6rvw3hYHcP3+/1ExXmtJy+J+D
JBhF4vJ9/xOuqsJHiORgiu69CkAe1rKcjm+IbHft1jKdDh5DowJjYBihV4ud6hraGchM5u4/2gBS
ygr6tl2tlRnV4zGaazyBZevJ7zOz/W1exIoMoryaLiUu4Ow9nkV9KdvZ/JFgCvGRnqQAPunrvGkD
x0E7+xhC3CssHc8+YhjQCCmYkQzXhnTVbdShi2bAtvgyJ5leMTGINVV2t6KUvpiE/TChqlSIXa6Y
7Q1etk/dsyWxUXschR6Jcp8SZf3kIdJjo3YAGPiKsE021QUWSCGj+Ep3PRwJqPYORtM3R13mlCjE
u4+Pujb2qPbtTWn770MxOvuI/TsGd25CvCooFu+j21Zrp3cgbED/jaAlNodkthpGqEOKLoiSJkvY
sAH1dWmsCmI+CShuWgJnA7xz6M3xfLN06S12xLF7EsncPrTVkMjzoon4zhmZzmnrJwHbelnNx65B
UynOXgNvdLv0iRXb/LHaN6pC0mCP9nAtE5HFIlu8tZZlFjtAKLm2WDWh2kH6Tzp5WY9Uf5XuvTMB
TgVUgrXVWhYN9xClPVBmhPjNaOujlQOF0eR18/iRZLlZ0lf0d8rwvAqxJom8CLWtp7adxgds/Mb4
A3VKlfzyoTn8mgLTHpw7u2jd3HrGEWLtZBd7DLAqnDNfKlrPJa/e1xfMLOlJghXhRDUpa7Yp65Nj
jMfZ2cJrfrSskgSBGChQEKXDfTtRmplxnHBZYvLeTNwQ1wZj6xOxceU2ZFKxm+M4ZaQF9zOuxqcO
Q04MuSCzN7FPljeuoC48KcUqi8qJsw2vXyF2L0zcoZkzucd8NJvd7M/t19Kusu92V1vOzk9biSe7
xmXZKeQGK6bmDSyl1rdOrQMKRDiUmEkOAuMgiv4zSgST57kULvViAv2gFFX4GTbChFUp8h1ANmPP
Cg6gF4e7EghZ7S2U8I8Fs+PF04+UnL2Yhx1SDf0qtc30vLB0sMTaLa541B5HjYnlLu4CIrvGLhMX
qZL5VBCPTRlJCFiKPYvXCCfMBA7TZ+GdjFoCs3shLzzt2y/RmAafURP5O6wq9GqJI7bEoxSnHqb6
a9LOAJ8993G5su8DizAAz3SAf9XWdWb2A3e36tYKrgIqThzsnIHK/FVak3lfumn4hdp4Pje1GC4l
86tDm2E+nWIZsvDV6T6I22AFngY455C2eybe/nMoANyz7LEX7P7bjKqscBLQakBTLkyA3AuIHuOQ
JO3w7tYlpgIwndgbYsf+yN3FadVPc8kMJzOdJ9RxKFCL1vlleCrCc8fZ2C1I7mNPn0Ul4MOeC4BC
G/1U+xgZpHiuHExYSB10+V0oMtqAcITmqkwb9xtUCaCwINP4G5VxzFRmr/HWGUzpdXYcTGAzRIMC
XkkSZhcauqhThOqAtDZg/1rAFegl9vPODdGkYDKIz5Yf9S/kw+Pw5fy80GLSASeAWOzpArfeWLtp
4B8ML6oUnpPaQxlnxD5D00z9GLGqPPiZig/g+osfXmz6m8xkgLWqchOV1lQKE12EdQxk8oS2SR0X
F8Im5ep+RpeDvwkxuH3weydYDx2eZjOxNuyVGKzQgMZ3SUZPX/am81lm4bDKox6o4WCJZDOa0v1w
yTrZOFY1P5UjRBjhNcM7cAuW2U5SLn1gChndG78bI+sjbTvdLwxb+Jbdet6WWdTuR2E7X2ygYvez
xTZXj2p+mAq33C3E4Qe7aapzYAzms2cxU1oT/57Wu7Jsw22LLP2rqvpmI8a+fEqItaHvJYB8HSW9
gTSlC39h0TQPBbbQD8fuZmMzc2ltZ24566ibtMS1F0FNh9l+VMOiI2fnd7XrOSQUwXBIaF9carVf
nRUqllPpN4RiWKznQT3j3pj8aGIUyrDFhTSVMMgPok1rTgQ6RhYckWBkRIOXzT5ih5v6tbDrn3mO
zoyoax+Yrl1eQXMla8Opm8tclMNj5hkIL1L/yrbBjVcgzKLgiJ8vvTJUqjfwA5LPrNWw9eHcX71K
Tc/mYLUAbWTkPwkfMqxW3XgsxyAWBEmLYa2j2LxvdJW+535Zv4eqaB7AKgRvVRrE536sGS4Oan61
8H1uI7NM9lOjp20wYQwwmWVEG8G7LTEJ2WZ3LLJZU3x7/asQJqrKWLTFxojBLkgX9x2JIeZD3Xrg
AjwVlKdiMODU5OkwnXFd5imyecveqlI4nMdu+CJG+AiujuQepREkQ/hj88mKLfnd5u9jtQyK+CHs
UMDLxPTfp9mFGCZmHvSqIORnBTw83klmJhcPOPJL4GkGzAbriZQ1k0KKpRghMnBnEoxXqvjP7v//
ZiL36Y3+aXH8NS5+/qbn/ttv/FEaSywuDteDdGyiKSCwUnr+URp7FrnWlMRos4lUIy3q73t/4bH3
h62qPNzdtIUm9fQfgm7h4KtZLDcedTbtk+/9O3v/v84aQF/imOHvQL5H0L2oHP5cF0++g/V7MuYD
0A3SY9zpytP3T2fjf5mf/M9DYOxB2GCxckd/fpOU/6n0DoY+M0J2t9yxHdAJamVMxUpJTunfG5L/
j6Msr+JPR8GZOo5uxFG84rM1PsvxZ+f+7RvwD033/+qN/KVZBs8p0NlwiH5+9MzHiWno/O2fvwuL
rogX+ueBALRqC0CAh7beE5Sff/lE2swg6hoi1cE1iuZ7SZ4bc1JzsLfewKHdgKxvDDPkBmWguIBw
9LuxdcYtLliL+4oe9nHVNG92xCZwHc9tsmk679F2c+1u0IMOF5/t2I6u29w4HUgoSwfBM7KwPlp5
eZ/Al1UjS1AvObdSe2tVVp/k2ZKSrFpSvi196MFFodaNzJWBtnmT8py+Mv+kV6l7tjxxA82ioZCN
zMw7Q7iSH0aOY3kVuVN0NWtDnhH4Ii6GI7mNDFfT2uf9SIxyl21QgfeX3oc5FXf8Z1RFwB29mpFn
7p2COHe2ik3ppvVmbDF2exGp3b2OxSQeBwxae6P3sm0JqP3IApc1cW+JXUvSxsqDWHJVZppvKfTG
1WiP+snxOv5IqroLLJFpW86UH0g+W+saEPB+KBMfF23ZR49BoofvrAqmRz07fbuWwQhWQSOWN+L5
51DI4EvEcznZ5IS0vMoBERCJwtbPpmGhuHZb0f0yakF5RXBL9+bbTHR2IxP6R43We81Mh6h3gUl7
clmn5ASsYeJ0JUpZNlHgBZyO5w5x7wEVKe7/liBgYq49RHmJcZeE4mdHa7Qapm5BFo+vYrZ/+hAV
PkYbG7DojfgL7WRyNCcM7gTp1NaeMffPuSsbn2dhPR+Smn1KklV8CCR0dW9sklhujryOhJ32KWfm
90ZeoEfbUXvnHF/CdZHnbB3SDPc9Ij2sw3ZyDAu2ktQMDVN/Ze7Rw8zQB6QM134wBVs1EvmxnjMV
nsiBsQ94GjiAPct1XSfdfshVemB6qZ/Tcu6fO2yw67nxediDaAXgHE6ow0mwOCkI2CjCy35Lxom4
Vz6nE3o027a8qewN0wTvjgFzkhwTW+YwZ7BYAV8hfRA6UmA9oRAPHyeij54TgIvjijBp956FVLKP
aKH2lmiCb3CMMIeMthHc2YMP1CeNPK9f5L/9KgkCcT9Fjb0BrEOc1ByK01Q1NSE4rOctuomj9Cv5
EBiOsUet6jygEQgvg3DfgryeHzvkxGgyXW0e+qiW9rFuOgRV/YiPGQ9h8K0jORprw1B2K8foyeeY
IvVLEBjzywiDbt2SqnxuIJN8i3zT2oZ9LdATKGVujZaAhQDnHecjwDe+IVQSjnTLmWz1mG0JETMP
dLzTIWcid4FBL15M8n2pfhRmXCK2rL3yimWZK4Yvyg406nQ3ejTz2jzoGAf8RvRjTMBQrB34wZb6
bqVAG+q8z+96Zxy+No5TQLEK/Xv0685L5ncT0qlWGduxttzzYIfTg6PTmVSLRj0w2y2+Evs2PFIv
jg8je7u7sa0lO3hvujIDcM9p5RR7q3b1GguwfK5QVm+6eZqJSzeUXrumzQGYlXLzyuyge2yQRxUr
otXZRzCfdjcx1AhsMIP5S9DK56soK6PnGnfkD3eW7cHS3IRSIycnJECdyr7R3VXkMu27kpCaTVux
0OOpgj7YFDUDAfbCiyInepntHAktGyH+phtEgH19zJ22V8wnXm2IzqicT1M61VSCNoEVbgBiNZGF
SUp1nvhHRcWwQ0YrWdeG/tFt/XKH7g1GqrnYcaI0BgQh2ZvQZSZQjH2z25pT0xwJfwGZCVxu2qFK
NbZesIQR2SaoRR10nIexnNmOojp9YIRbf8MU3nEb0+ljhpV9H9EdrwnFqz9jtkHbUnvegTBp/RM3
6LyDG+eeWYIW+6GMYXwpI6nIDyutb7g22gldRBz8agmkeZtaIr/xo8EWXX7cLqQLwQT80TQyJ0MP
7iH4mJPxvlUTWGSVltOWa3jm7JKKKSwQ36vbIeO5SvFUtgKo3WT7C/u0M7+lMMLePfCEG+3C2liJ
xjFAy8npWlRhsrah/j6JYgw+EhGVbzrO833n98Ue/muwjWfLxPK1kBBqAt3MsWfMUvZfMcl1R0X6
IeVyn7gbFaTmAX05wCyagDu/A7aMCQiSQQPv8ypTZP1kaIDJnKxyPMC0RpSuKouVCzxPhtFK5yeY
K2PK+lt2PTzieQbCvmCczVHOB59S/dnCwvKla/X8SPfAR1flinVCpQr0RnJRalU9h8X2HpzGWYG3
bmAfIwg2XqqYefzKQNiwVQ7e4JJxGiM7J/rhW/w0whioMY10zwEsk30o23aDHQeNex0Yak81CtW1
MtK3AXjpvihq+ezX0ti6ovHXCl37PkxpYZvlYccoB4FV4o0Pg6Qpcyztr0u/RYgcIMZ0mkkQZUZg
FRHA8wmReXqCiI6K0BQgJIRZ/Ex4hh/t1mxfADrPb1xI4YOMjPC+QwX2XLCUXUvRQlpuqmKvGkd+
6ShIQRrGdnDJhiJkgZUX/t4OjPGhQ1fHAsjUP3URGK/Q9AN8Qx2NujLkH59T2o3Br8nkxY6Msnam
WDK6cNS+hFAGHjBHTKeEVI6t4Y7xR9G36tEndXNnMBF9d/pJvOvGEO+JW013PKnkDkaXsZni2NgY
iCAPBNWVVyIsmyeirYqt3SAhMlLUn7ez3rns4cpWqXs7NQmuYePrN21ydpvSgkWIabjosa+UXIg7
5DHmf7N3JktuI9uW/ZWymqMMfTOoCQmSIKPvpZjAQiEJPeCOHvj6t6Bb9UrBoAUtc1yDm2aZN1Mg
Osfxc/Ze+wK2XbkhsLndF1NrbISE7jrWqslL7HjTodOn/IZYyIjWI9JxNDs8y7OrETGkmC51hWte
zIT6XDtNGW6QdtD6BS5DSj1D1BtVpsXenkb7mxdiWUJSaFqrpS/lo4zn9s9yvsqaar7SZLN4j8jJ
wWKdxSyBGiN8JflRZ9N4zaIw7XURljdOPc8+mTsoKqZGTM8qCn5rBcsihRM7NVtHI/U1B7ID7M9J
bwwye7edoWfg5AvrAlQ/LkEowMBXxXgjnYZPN/BGaDrEUxl4+Qon83WtDhEuajHTSEwEe6/G8MPI
vEHU1OYloaFOWT12tJy3HQsONVDpYEU09fZG4mVY153dA5HP56tp0MRBhn/gdhpJj3TxlMdGVaHl
0AGmYjZhVOU9y4YaNbyarQWDEAQmSBa3l4R/ir7ctQy8npcsyU0hZspqL9F+qJE5XZkFZklzGNQf
k+fqHcAgNHKK2QC8angxE+xDh3kc5rsa+cHBHmgruO1Ug/zRaR0YUy8kNi4bfwCKG1Y62nLznQqk
PV4pRl5N65C/eWQEGAG9xdh32bUKbBr+1dvUwNOxIlA9ZD6WmruE7NQ9DVt7N6BWXM7oxomhO86e
FV9rc6I36y4pHnQmt5vKTUs6P7Gya62KUAgDTREi5QmcrF7KB0gjEw6lRLlAn3rb4XelSStj/B/K
L1fi+tdM9GMdUOU8nRjaT31Gl61i5bSipt66bj3Qzor0XRgmPVT9sEUVZtUdHWbV2VAhxgcxW7Qe
4+lWF6Rz0UIu3p1SeW9mdEx6Y2z1cSiWuk3u8c7o8PySx6GK0a+6wLBZrXZciH7N3Kn0oxCPope5
35QSXRzMACCASSNJQR0WtJlRkyLrtsq+tBAN5Y7gfPFpwczt0IazYpdXowivBLls64xcuI2d5BUp
pEbfQQ1I49eo660gA7BA6l439ht6ctWDICIEoWWkSlyGenwRp7a4LctMfFMi2OF81YHPI7V7F0i6
lnYdTpEcava+66f5oCceEQ7A/gMlxorrV5E0b023nm/TyK4fBHieTV90zrTGNln49mzbm5EgjXVI
fMMu9+Z0C6mdLbmaJwd8ueQfaa384dVzQftUMQJMtJZHeFkVgdjfuhAKs4um/EF5r32nR+peaV7X
qutatyomOindPnQDAylUBDiSf+vtUiVutkhQeRXRCBGyiykNBVXNXfTxJv0wYxNsbg+Bi2Z8m96V
VlttO/p/3+2a+oqpSKxfT67XkgMVOwcSUcsXgr/VcCXhxT2ryxfS1gooj7EbB2NZdhcxU7KrmFTc
F5ynVgCIZzjkVtRfDMqUvbdmGiKKIsKQ/msb3vaOKH4WDayz3kZv3DRphe0M1/BBg3lwWbcxHXOF
DfZq6kvYomj9u82ktOaTUTrFJgtJsoRX38fXlTL9ypClfdMrp9ygh3LXUZTPW6vJ03XaFxMm4njm
UxjT7l11yggyZKpZydI8DVKBSlPYjsrt5Wt7mNhV+BXREii+yWBqxOxjs3pU8uTbWNJFjFjlVzRu
yP72CJPMNPHCIMJAC5iTfqKajsTuSWW8qzy7eKyyorps51xHxhFSSm2iYgoRAJsIATolMJpBQeto
osn4NbV5h6MJ5JSG7P25VQCUsu90d+xiUNMqSfiUG0p7yUcxv6VUTN9GzaieUpnJb6ITo7MTCi6v
FVobhkR9ZYWALDNKGlNpyzsmqkMJrDcZX7Pa1olerAfo/3r3KxrcgWxUV7sk8Le8MKhs30tBku4E
RNCnW3s9V4BxcR8p+a7NEMIO3KpLUmcZU2Dnaq/RPkTXKcXQihkd2jo0F/KKKI1w3dQAtXj/fwKu
wojIN81bdfjS0D6088Grmu42U2kymFEeP491g4p6AhuiIX2/a9Cx/jAU8WoyFXnFG/Iwd3pjbh2b
ljXhodoulTMru1AM8P5d/gDIBit/jO7q3lLzpWNtN1sb4SSC2r6DfBqbuCIrcxeDZ7nUM3ticak7
qByE+jJ70aMfEAaaFbGjFf1+BSt6NDqPbHX4nkRe8RoWjuqLyHsxR3O4UFGn7fhTGNCOsn0wE/On
k7v1TQ9W/kdEGsy2zwaXdBhjSq88bx52fQ04zwOWtcOKP9b0V7goZE6/OH1sPiY9jd20S3hha1C8
hIugJiRrZmsp1q41Yv2WPcgzC3J2M4rZPkhJuEg7IDIV6NrfqiWPLq8HNwByn17bhP0ytVDYxeg1
1S30BILa+qG8L/GPU+Eqd0VRtPvWnYq7kGn1rSPVCB4A3gVmAsZvLQKfVqWD2NRdEh1CqH43pLXE
l7mVWQ+mSL2STPsZcOP3tMQ8HjPqKlhuN71gbjy3o0q4fGeDo4NbUrVZtZtwdD60rLiA6LCMel6v
7uq8e4y6GaODo9qkT1fTDmn6Kz4SJ0jJkFkPFIIHFlIlKAxmqpRyzmEwgTg2kcyof6vyd9emPYTx
VvwwZIqUym07yRZAxtmPSk1T9UITXcjMI0x9uiXE80WN/tjpyggwG0Cyd53kdQREmXSRcWXUSPa3
shxntmZx7V2XU50/loVXrhjEebs4aRb4s1c82nrzaxxbxv6QW9a1NOqDOg/vjsWuAUB2saaoYpMk
+wkMWJbui8TTFoRjoGD9OfD+W9+cwn4uImpjM4QdSVWY+7Q73hs96fxKnUJolHxfp2EIyHx4c9iC
kJx7adXqHTWUTeeMNpHSudq76eXDhVkRDGVLg0ZKBoYxCrWgJ0brd2wb1i0EJP2uGb3fcjSV54hX
70nXnTr2LQZPi69rDH1YmA5Ecavaqd7YASOQpQ/oCKo90U7XXzdCP3dBkWkjwfJMsm5c3TnqtaIE
1stecYngNenf9QrNuERUPJNyx3682H19tE+dXXc5GhI/1YW5gu7rY/PYGa2ROgld81RF1kpt+Avq
w3GTRyL3//mhNN0gadbS0bwcU0rUxha0HzVOLHajxzE1+WSkvXaltgAlvz4UqNujTjJIGB1TGswY
Et+8o2uo4dOacoNDlcimLrOcNHq7Tik5eXhXMhoxsfQ8XF8f9NSl1DVcJfThYLQcH9RKQhBXFXwq
ouWtlW7yF7umZcee1Dxzfp+AL9w1XmhGGI6p2siHPt61jMV/FkKpA/JPAI7nhK2yuLnpHsnACEKv
lrdi0ugg5nN81eVMyb8+1eWp+Nip5/iGwfwG5RIzmqOnZopMEatZ1ARuodCAJ7VyZcvh6euDHOsD
8Yp6hs6DuXgy0SboH09y1PhcYCqqgxYxBj2DmCoicozwOtfVOZgnMJ19BwSyqimSvz70qecHRaKl
qx7DG22Zgv09UvEsFHaRbqDtGbJpIwwLL126NIIdRWXqa0RUYFPchpuvD3vq1TdMNGEmdxZXOKOv
vw9rNJ5dOQmHdWSaH7SifwJcOQeRzVOLqfPfPLAGawyK2YVUZxxd4KiWqoaFj8MRKPoodblj8w9/
AcztmVVGWy7Y8QODyFI32YGz0KjHF3Se/8+9tOdueG/+PJtT2P2EqMlQm4ToK1rK6s52Z/UtDpdm
EhPlf/HQGp5rAyM3dNP99NI4RjsPkVoHhhOZdxaIjCsRscR+fQ9PrQLcwmV8pTL4/DPk+msaZ46h
2ZkFS8+fVYC0FEYR3jTi/03FmQXn1FtooiF1TQzXjBiXn/LXoRDWlejdCegdBgmqZahebbd6/fp0
zh3jaCVNLExcfKjrQNPbK1QVO9Mt7r4+xMmHg+cPJhCPooWK8uN5eF6KKENv60BQu15FnaofdEzT
67kfkm+xwgojy548iZoxC1gDde+GxrkV7fOrZ6iqxQiF98+jdXG0omGNAvVdeaChcebC+Gvt9aBl
8jJXUrnPhFf6X5/05+vK8dCeetRRiwb46N2TbKvcSRgExpcjBYo93cELcs6UEp+fRYMZOrw0Wrsk
py7G+78fEC/SWkx5uSSXNFpiBCqyl0R/6aTMMr4+nRNH4iRcy4F9YRmmc/SYeE2SzNOEwYmlDWeQ
0lwYk/Mo6vT56+OcuE0aQlrktNA3l2HxxzPC7pMZXu1UwZyQt5i/KS6ZPbjPEhkevj7SZ6iaC8Ht
r0MdfWPpUdlhYXOorvdo3Jcm7ukB3epq9PpuI/tyfsIyVuxQ8oa1L026+yo4yu82W9ZNO+stMUoO
A4KGNlpRGzTAC3PODpabCsBko7InmmO+CnP2gaYsDfjETIvYVyFI1Nu0PTiYbq6HqqODPXU2ye10
HFeDncxnThTQ6PHazBecuR6CZOyViP4/XlOAzorh4UkP5iZuX7yiVK+13r2fbDt5K+YlUzHPmZ/m
4feazPst7jh6JqO9t21A2Jjx1prECKF3T0XIxqglJ7KsinsxuFdzSGOpqDK5abKBfmMCGz6sUwPk
1oAvve5BfSspBtzRrEyyrmdcxK2rrzlO6tPCcy4zEy1DmsElQfoV+15EnpETjb7J18fjaulQYRBt
qj8cFL5nPlonnjXdQ4eAggXltO4cPWsh9mqqj4nrkoI67zXs8tz1MYjSGmMuGZPn7DafCx7oAI5p
4oNB9kLAwscbISuz7wdRVIT+tdjXk6rYSHgpl7Yh2l3oRu1lTOv1EaBZdPH1w37i9aWaUxeAogtS
4/j1raOpV+LOLgPaXNO33h60V8m859HS7PTX14c6cZIIPFiN6HXwv+PSkbko+82pK4Oir5mKAFMk
R2YBiytpWe/J807cdcOAHbsWrvB/vkxRVxnYa/5Ae/WjR93JIkJ6qrIMmhBppxzKx2iMkHqkU/2P
ywBzWaTwkCzbK3T8H+8lPSCcvzgrA911X6apHHzdRQiPt9z4x48p5QaCKYRR7D7UY/CvACzYRX1H
GJvWkdFs03g10hvIG/aWxtPPr+/e5wcFrAknpi9ITeQcR49olOSiNHOS35DVGIEioH8wQ2Sm05Bc
3Zy5hp9fQA5GaUNpAJdFP/58SbQhsd0VnJliPsaG8iJn92c6Go/RYJ+pQZZ3+WN9yqHYltqcGmv+
sfGM7IVkKhWEGIbINwa9Uq8C9uLkpFHNZU/2DdF6X1/J00fEsouMbXnpjj8vpnBcMkOzQGr9IfPE
WzVpjwai11UX2zn4SP3y6wOeunUU3gsk2uPTefyOWw37jpYE1kDpugOK+sA0M4Is1DOH+VzYmKql
sjU0iOPiYi7//19Fae+qY5LwRwdkiYCUcWB5iZEv4tcn83kV4SiEkEElhbNN3fjxKER2jqRFaFlQ
G3S06PSs87T77ZT2XSpbBuruvDbwTn190AX3/ekpWRYOMEEWMfTHrxrZAa3Hti8LPAv+2ZCTGrku
RTZfjR5T+rlkiN2Q6KUD2DCzGNSMR+Y1HMddO8ponzNH3g6URfNkyXuvyzJs4oLiYCkLJKGYF8ji
7CdPH+wgahvrzK8/eWOWbB4cGq4Hx+/jJUOSEOdMNvKA7nS5SScvPSgjfc6vr9HJp2whkXsahqhP
JWdh4nAuoyoPytYBGlb1gZppj67TnqtaTt0Kz6a2ZR0id+joAbCc3CiFLFmIRmEgZAljAKbquP36
bE6tQBiwaMOBVKfZ8emaqfoIOiZDPNQAv3D4TI1W126aJv/Rp4DIvj7cqYvHKWEZc6BLwI//eIvc
NrEBHfKKTln4c7l2dWLfFXX48vVhTr08CyvYQZLLxuD4MR6bjOixipcnTwBVZZPGiC20fjJsqbZ1
ZLnvQy7SPd3C5syn6tSahyLWpK7+Y3w8+nrQOlWJP+izIILX2ZbK25xGW5E+i3R+4EU8c7RTDzzb
Hp2HnZ3lpyZZzjk6tmiyQOCg3BW2Ba9ZTxX/64upnXpGuIgO7idsdsiXPt40r9NHsoBltpAh1OcE
af2WxB70aKnR58zmnOGJRNNq3VVtfyMxjBMS6WAtc9F0zpMAdRCRYaHJEFbt4KLH6Lr03O5WO3nl
IZ8tb6YBW/vodanDRrWgMvG1GU3GBK1801oPJrvhNvvEcV9IEBJrh4iWy7wkQzcb+mZPLvZrjKID
H1p7EOSu7ukieSt7Ig3bizmPry/kievITJsSFBIbzcXjD2Lu8BuSkXJ7KOefYtbarSoQU4Y5+pXp
7etjnbgciyFzqSto1FJ1f7xnOn4lFbo9pX2o/VRpOPiFpb7hMysDxyuXlBG7PVNhnHjpcN9pNhUN
X6xPJXZf59NYRxWnl1rf4iRS1jg/cuYY9bwy9Ek+yXqQPmqMPvjn56ppdDHpSFEgHq+U5uJEq108
9ezVrqU91HSl8zu68UDNsuh5cq3oTGlz6k5yaWkDABXzWMqOrq7NtLExZRUoagRESetRJZRGezdI
rwgKm43012d4YtnkBKmhDD5sFItHb2ARknudgPALAIQwuTDrwVdlJX0DRey/OZSHYdy1KRjd44+o
cMykBapUBZpXlbdwiEkrdVr7Iuk07czydeoZNXihFh/C0uk/ekZ7JHElZlr2KkX32MUV8CT5SGxB
vUoieed2RND888toYLrQLej2VIhHt00bmbXpzVwGsz6j8XOGe/yxvqAPcOZAJxZmWuqqZRh0nrFx
LPfzrxJRzAMKsJAtYB5ZL9E47txZPp45F4M/46ig/3CMo2fCU4isM7ECBQj6tRVQU3FowI/c6x3m
vDAfGq6iOqysoSbX2k6jp2qoQb9azGo7qKY0/zrUkCUktsokygeYmLYhSDgPEqOtD7Npxne6R+pd
OfXh91Co5a5oEGexu53WyGDDfQzkMJjVcby1tBqtLqBX7X72CsRWpdZAbCuaeqf25JewgRqjG1im
VIdVkqxKUNk38ejEO/JPpn1uIdHsDRAXPdidwM28x6TKmjVXONsW9IrqVYxQMECcSF7IMItN2MUW
YuEME6ZJ3PqQpN3268t76tnkK+5oPCeLtfzo2bRlQ+KSzbOJTPhNju0bqIYb01C2BkHIuPiqf/Ha
UXNT7NG+ZyB0dDySa0sJLqoMoFkvPafrQc/2Q1ueKV4/j9VMeqUMtuhl0qbzjg5jjlkMhMsjk07N
7oRIajSD7rvMnhhCXyFIWXeWjp23PLNlOk60hLWxHJcuLVeUzfVxQeaJQkIHt+iJVNOMQ5d8Grc2
lTuMLmq+QTPDHkdaRbhps176OXkNDLdLFnKJZ9tC5W+lg7I31E7Zaq1ZrkOEoTxwYse8kwm2l/6w
NBjdw4gUMHNmMsRbWCIJIHk/0sIHPTNhhM4WqXRtamarlnzHTcrv8dtc/MLzod0ScQnfeRzkFkcX
/7yYrXXctOnGURz9WRrWuVtxak23CR1ygGOwUCzxSn+vEYmKibzMiAdU2zdyuKFRDuou08A+ff0k
n1qL/jrOcWHUi57kR28oA+CuwITpN6xJu9h8fZBTH0TgsuxWdeZt+Iw/nowqdVFJ0t0Dhk6wXy1A
Hiro9QwofdxMZ0xnJw9Gv5I9CwFTn8peu2YxKnPeFSUGMQbqcdebYosCFC11m5y5fKcWAggWdDAW
y96n4jefJsNOUVFBUanv9Max4aZNLxAPfrUJmoXYPnMltVPPxTLzZgOLhMA5ntPMjci5vtRp6ZjH
uLx0IABzPex1evF+ZSgxSQyyXQPgM+4TNYwDMLzNLqoS0vAiN9t6gLqeAL/wRjVhRFb713f65M9j
QaSNRP+W8fXHOz2MYaNkMWXOIMUviD/wFvuH3EBH8i+OQ+4xRhdEG5+Kg6ZXpligxwvYiQq6OTBM
JmXwq64+8yE9VbbSnEK0oS5/cY7eQ2PwcHCgvQxaPCNxg8R1KO/qyoKVrt0QGPZY5N6ZRsWpB/iv
Qx4XrOlsguiw1CIgSmdHksEv7O+I2+1DXfVn9hzGqeeXHSlDMspH9sJH+6J24f3Po1OwzOjTK+zF
30PiEUKaa+6a9i2YCaFAtWVF3iRy8Roo2qLMBB/aeH3zQrBV/BJKtwk6HccCrjZ8RnFbPxB0W/lu
mefksTTudnQG99m1WDXJ/MUzDypsJA1maW1W+m910LGzVC7p4ipR3t01UhyxAYD/K3F7nPiTkUBH
nfQHgeiaj71unXmaTl0Fb3Hq0uLguT0ewOa5aIinFVR+EEfmFk5Jq5ovlrAu6JmSQzwNZw546hYv
ziyEMg7N1uPLLlItmiTFUJAAEUEX19ViS7Kt6xvREiLfLJr0r1+Yz5BvF/4OZwcDAtHMp95dpEw5
U9K8COxi9tbx0NkPZqz16xI+wgVp9vmz0AuX7E6Uk3/sAm7c5s9FN7cbOGDeThlIPj5zGU5cd4qN
xQLtYQz8tOX17MklNdTIg8yLgD7Wk31VxpSNU1o1L8BeZpKj4h9nLsSJJiaqBLo+y6rtfNr7Aoqe
RdjzRjdziJR1YeQgSDW2TQhwjGQuY8WTgnLSyjdQYWCzMJPBeWFq/tc/xDixVi6+cOQY8L8YtOkf
10oVaQRExqTAt5wajEYWX0Ni5PMd2urSuuDKOHt4K9YFFqtmAWYqG00pmKOSydffDsagbieYM99i
k8Ib6oP6jbK43MUDjxSOKQKEIffukOT/InRuxZLdb0w7jeG9KKYPb70NYls6mzHuHN+NLvQqMx5A
IY03vLaY0CZehJfY7bxDrjrfYQ9lZzbmp86fCRgedGeZ0B83jmi3pXnTGpx/no0PMbK0YLTH5CWB
Z7f9+lqfOhTCa7QGuNH5bBwVIAydpCTopgg8Mgx9Id3FzTeK7ODFefTy9bH+3LejrRfbgkUfRhOT
CerRPrJU7LyDmcbmAEgjeYkMjDF7AbPchaLq/dLJtQutUsPbFnrRta4r0Z3eKh5gnlzADlXr/1T1
/59tdo5tRguLFee/UQL+W/v2P/4Dfrh+K3797/959VZP+Vv582+CA1q+5T/6f9EN6PKXwbDKdpLm
AAv5/yU4kM/gsYdntslEidC+/yY4kNzAhJcn2zOX0v1vgoPh/C9qCbZXNFtNh6+h8U8IDsdfEfBp
Nm1ylxErMppP2lXIIGldxBngg0iz5lXYm+Ul89zpqSCXCKODdQ6DsLwmfz/ZHJCgCJcvFr/8c0e5
ZeBDiJg9BeNIuauCM1vb9nCOgnm8C+UoCPIX7arF0vjp49gyqeulFY8BaBZg/TqQoKyqWRsdExi1
MuQrraHFZcpUuW8Ggh/+egZu/3M6H+IEveMvxFJU8uIihXJ17vHxNrjrJvj4k9MGpMLA1BzRqWxz
J8YKjVCCZOm4PpDyzdcCHwRIdxEaIShckVApNUxZHyokSRFUGhcv8wAwinAoLEnuPGRbcEX8u7i/
iDMwcgVu/igwB+MkbghbRXI//aazkN0bqZv5M3akIDbxQIeOLQ908OU33MTTLuwL/KMi0iY6HpK1
bUXDdQ5UOWqPaPLEdQ2M7RHUAY5KA1bEYDfiDbxkouLz6KffMVTYbV/m/XPekcnWpGN5GWogC3Dm
gXAeKr0Ezq/S/k6A2GuRyn84jIl32chR31CRh/de7xSt3zdCrfZcqoUBqqn8tyGLr7Ejm5rTVJ0G
dgX2tMepmlzfGcGTgUMqactA88dhpeOvcZL6rsp7UoT6xaSRtiRsNzbKoBk2PI2IYvCNMKkPWafL
u6ZowwOSnHFnSy3fS2RGG81o++dULfpnmc72A3dH36CI0TelbuVrCFTyfaoG3geHaicZyukJ4Wr1
neQ77oxkvQ3sBa/hDDXuv7b0Lm1SAgPSx6ffA/64J8iT09Ok1s2LjUHjMhwjc49nT3vs8pkqpR3K
y7GqvMuioJjxSaA105VZ4N5Z2R1UsozqctOIMF8PZa9vKqln9wKK0arTIoT6elW/myF/G2UIBElJ
p/cYKCOT1NLsJKlavM6u0k47O+nyfeVycydHDP7YpTkQJgOBN+FPTb4XmFLpXFgZvnJl3ClamN1H
SPi2thvLa0inpIt4Uf8rU8kXKjHa0jtTVRYNrXpNRtk/M+6YrzwJ2UsY8bQTBCmutJEz9gZFXIfZ
8rIr0rpRIrVH0sm5wPLzVq0HaAzgMI9iH5f9Ly1Lph0RvOZNZHInQsRjK7MUC/2Q7CUf2ATXlTD7
NycnYYaEpTT1W4IrSqxVYXhvAzV/Z/g8X5VDPD3pfEh35A1gQqxltiUts/2ppqSWkBs3+PHi5YIZ
SzhYxH1Mu+VSL49oXo79r4n0x+2MzwnI9cydMG08JISPT79JbSKlI3LCQ95k3weAs4c4qYubyP2t
dp7arxKlsGM2yIVOMK/1CmxALrmV3XOk82xiucoSwibYsZhm/mqCY/rVmlDZ4eXyUAISXI8xNwpD
dbsNpSluRGGYN147WDfdFGqPZdKI751lV6+Y1nhaHezxtR5WrwZOkosUHsPD6E6uwJjt4tguh+ot
cnEAUx5OCo4ML/P/nJwb8xIAhlbux0mUrT8m6XxFl7Z5EWzD7yeoeu6KZiwA/VbDZZ6noHcHNQna
SnfwIYdjssMlXb/TVFC5TUXWOTiLXPlNSzD6Qgwg7sHWDXnd2hi79Rear1pmf+8roO3vSd2Z3xMc
WVkU9MZcmsgsZ6XcILQbuqtJDqF1GCKjM+/xZOPOJdbkSQMKsK7sLi5XGoEhvpSzveU5tAjqoykP
gG1sWZq68rqrPH2FM9A7mEp226qNclep+b1iddfgNost3jHrbq7pJVnOaFzXVvQQWiHAY2n4Kj2+
INLneF/o2VPD4HIDCazbdOb0I3GLbmP23U+CJYq9UkbvU2fGgD2ZB5VaJy4rktM2udWDjAyj9qeG
33QTJc3F2Mpwi9pYw62feb421XBRHCtCxBAl1+aMZVjxRD+ta2zEduoelExIP8llOa+EF8o9uhtU
ysporvFTWasiyehJFnn+OxJz69J7Lx2gKua0JsL5fiqdZKMXineRQu+4okU/4FjjhcXyrV0kEzr1
znOjPShqmPtar+7VUumDwsFYLFrD3VSDoq+F4fJalgviREWoqCuFejFYiRd0kfZgFKG3pbnSXGql
ZwDT5Nq/w+IcbMionoJykaRRsPN52wdYeZ2trQ2vJfygy67R83Wpqx0aTk+jS+oBIrNCW/pT2Lwb
1dDtIivim8cH3N3iJO1XMQHiANxtec94VsPSmjVbVFsxVLYMHqvnjq+u1SPwNLLxohwXa1GeZd9x
KVXO2h7taeclfTKsmWi7vme5qEt606BCNJgFabq7JSHCcPb0GXXVn1hEgCFkQoe9yXt1ZeYN0Q9z
CPdCV/U9monGN+KYt6oBn4nmqKThsppazToAZRyfZvIi1vXCLmAIFQy5b/RKddBqe34TuWrRbSvm
R5GKCjt+4wXjbHn7ogun2yQzZr8PO3nICPNc23qO28vO+lUO83PTmIZ55zS0mKtwUR1ENU5oVbhb
qfTMWIAIrQZSj3zTM9Jvjh1hk1engTzYCVem1ytbYlwrhLLFXa4pfMuBQ+2TxBiNFcpJP1Iisl7c
SNuBQ9U2tlHFe7cfSbcbQvOqovOXrEAS3hft6F5rcp4OZJRicYXFC+dELvkkJkEl2A+cSwh7hJeY
wxJkkqMbQ6QTg6NtZm0vmLZIwobt+iJfclC6dIlEcawlHkVfklLiP6EpxCqovwROwtw30SWNvpqq
/X6W0luLQql3ELUtEOFdktAIIrrFbKPmvTBSW73SGrNnAqeV5Fl+xwuo4pjKGiy0VYkKBcBitl3S
BH5UqVat23xY6gIh77Dc5T5i/bLawOdILoiuRbeLMzl1ePyKeI9+vr70ZEPoBDFPRHIMlZVgUCaP
eZ0mlXUz6WESkP8lfujCVZp1LaZsuTcq6SSUSGlq8B1CVwGuqCkvPT20WJxF+9NNwoFgiYEtNDk0
DR8c1L/Tb/bRLvNDJbwXTB14BzLKBCdUBdEeVkdBFCfFWsbCuoHeqtzDqBScbmLE0IiTDIsxk6B1
QZEXEzE9QuoXHdOteEmT0Wa+zsiiCUL9U3zJRNceMYs3P4noSV1ft2LOTyuWbtI4TfqGMtR+GIk1
bLDeSwnYgjBRP431fE/jvrzMIT8EptoMflENLMZ1SppPIYjq8WOr4ePuFZVyX0Ze95yQXHITFVQa
pWWL62j+8ys8+c0gezWBbyqXRXkupt9kWrirxHMoT8g70G5ZBsufBplO2HQjuh0NZeLBJnIkXNKA
+KjBnNjFmkL0RaJy7zSpuOVaLeppFxX2dKH2KedP7oIfLX7QimLrOzrTYt1MS/mLe+i70445OBJO
gcYOwqtinH5jNEh24xxWmzKFJqolA0SbyQLXu6pIKMA05skzaocTgHOyOhHFLMF6uCqOmzu17mVV
FCltECm6PIS0cJdy2CnXMpU1RJ6lvDek64OtFK/NVGMaH0oudtda5zY02nEPe9nPLL+EeD+Nn3Ns
zOsqgvEEusDATKj811iQrBvHbvVNRHzRYTIpCGOPK9tG6njrRMiu08YCNNBWr1FY8mCWBO42Rj9d
lIOQ37rONG+gQo1PAxX3mU7Npz7l8mMXLxYzf9RZn1yEdG8yp1eMJlASQ131TWk/TIIXTdVSQnU7
njo+RTxgWs8TDywI1wHfqUNWjtVbKqibHWA8V19vCf/0Yz9ufEmTxTO1/CgE6sfCtAjbsO4l+P2K
wpDGGs3C4ont5OU8KP2urrvYZ2meNxONJmJaOyqoVCzBYvHymqL4uk8HUx6wVIAQDK3qJ6mlzp1r
R5idW0BsoVJXciVb65w6i17qpz075hp30b1COVqGxx+7jFanIOmdMEmNmL/XROOKdAOEetpW08jq
lKDM9ojr+N3rE0E2rhFtFU1/w6QBARy8aUIQDSidIfI7lPlXfa3DwBaANZLZyC5UtTBedbSeI1Yy
iL8XMCxcALxa5hNTOm+TkRe6YCkJIg/YmqoR7kTWKfVqXniXFJDzFsz4dIF+ZfBriX67WlYYHXjd
fR/V9oNiOdPvwo1UDKWlaRK+3rDG4gil7h2qfN91LGBxWFGzs1lmXxJl/EuzuTwhNTwqPO5LrT6W
s7wjhmRZU7DZ+yZ8rm/E3Dcrk/T4B9PIxEYfQ3GdIbG5TDtJDarRcoCp1D9HsxLhsrD0/LU2iHc8
tPnskDMbDhEXKUkgsY5NO26sKIvVdScITYTfYBDqDC6Rzl5j+pxQqT/DqSXfSBJ7uXfsOY/25AVD
6Z6XfxBS0Ie+2jCsWYcJgs8eXRwZk0w4G+gBBsFF5kBNX6txWvphGHPGUemRoMUiDANtpJR3RvBX
ykSRz3ZaxdXIRqRxzeZFBT2yhjFhrRtLgY5TeALNbs3GzY1N8WNKu2xbJ22y63qqKzUbeCLnlg1F
XNrdc5vkrw6Znv/F3pntxo1sa/pVGn1Pg8GZQHdfMCdlKjValiXfEPLEeYjgHE/fH1VVDVtVxz7V
1xsbKFRBW2ImyYhY61//sNGzaJ+DqbQJ7VyykaaSexeuVgYnrVcM2k2Ne3wd7KPg4LgrbLIWY/ic
9YYU8PLYu0HzQrRh8+IsgtrQKi0rYtkWe5voxVs60eC8SBPzlomm3yvr7mNd0cvMuFkQeslu1K+9
XZ2GuBpXPfnGji7nMUICOOyFTqojTkx0LbVvR9RO/l1lq+HRFIO1s2qreXE7lR0Q4C2XraB73qpa
cwL0jeg+WjmAkpRle937GVYMhP82L31cM5AJejqj2HEQ1DeuZo105oCn5Sz4YW9q+aVZAyqDSq8u
vdSbbuboC+bo8iRbCSpnMVCL5nA9QtOK7dJdfACgypJPUKGDs5iAWTALDM+JaNUpW/z67CXcOGaO
y4HUNnfTBPX4yCiU9n5askOwIkBMKtvrqgAf8jPaZIaS+nvAKtW7LNDtc+FVt+Pst5/7oafdNt3k
RtQOdjZTyoTa4Y/WmDHfvX7q2QkBsQIIZGrTMPc7L+TdHcW6VOd1fzeLYtq2gCWfXDljOarIY4py
ZnY7sjRBRtbmNZtNGvh0duSdWSueTJNTiryexW2dkJ8C1oOvP6yydC16wXVsLCoAVvl2pb9c6gSD
t3kEXXt9DVHJU0gkNe6D82BgxZSAeNjdIu9eEZ/a5vVBi1ZuPFyksNSnC8Y4KrsoHQqqkjnneYhJ
U32FB4zE4DZAy/Y3AI7c+hXI0xkuekULIDSl6XcV6OVKs9zqzbwkFCMEaZabIAG9Mtu5uJctFKiI
AhgnclQ9MFmxS5MDDlN4W/GIk8ksjzOughhJMxYgcZslCKkCCC5eY0ySwnQ37WA0O4KogTMA7qZd
jV/kBiU+FpREYb2n4DEVwBdDVWY+IIIYeMknbTsAZW4/yS9YBVg7jKeWDzXWN1FsqfJorOAKija2
NTr6+PSK1KBoNqOAUkNtap3xlyoLsEdqtjhbcPlX/Ob1kJyJXwJcIVKWXNFvpqnXctk3eHxlRbEk
OwhWf7yaGdBl6wAN1Y2I701R1ue2sYotEpXgHPSdfGoEGJroEjA16Lv1eUJScjM6dFqbxCQdUxlW
9xXNWvNpTih2lCnD8+SzzzZTyi1MXam+mPiIYutRDAK9XAWU41GeE88Vntf3Wap1G0a41F0Spwci
GWY+NW+h+HUO0eUyg07zkK6oN3XJegrQoH0SAa+Eo4fu6yDj5oVsvuTGH1pgI7W+P5gX4UYEDll6
fJ14Rb9ey9sgBCHF7am4r6YRFMnhmPSggz28ng0CC/vTgKf6DfGUK+4EiDoarnPjJ4bLUTGFwVmG
lCFyKawHcivHTVjhc0iYKTEdtMOb1MvFQ+vhT5YNPEgk+OVxKc36jM9sfXYtilgyZJtdSnn43EF6
bPdKNxTnE77iWCuMj8tEmdwW4HNmU1oPBkkkh5h97Al3uvYZCU18Ar/wNq+Q4NgDWgZYvJ2SGiP4
fKb87NhNiDUx4OKRwcQb0swUJz3NTrWG5Pa2DQpKNGe9Wcyx+UTEOwD1BGZsk2l54fQUzjamB1sL
cHnHYc/L87rNzj53A+RouVSNk3ykq1/IQLCqtZ/oZlAoZc+3CtDmQ+tTtRt6ArIYu5GbabK9pSPr
qAhtTi1vbOnxbN41w4zv5wm8zCrnKjvWjitPU1sCIq5bJYIta6cKu7jByRfzXy9zQb3w97RlyPmQ
ApmwJhXoNKKM5QrpBkoj6Q/fiHycDz0fPSIRlIWbhTQhbdm0n7GLo+SQnS6Pec0iy9osvcHk89M4
utw17Rv20QpSlspYcA/60qQbGif5RFWSO9EwLzha4RYUUrcMbnY9YUopoklSTjRNTAW5jMt2HHjg
S4B+prCA1F//83VhLlXOEWOIQX1xSUW4bzlUjrXu51ucaZd9RVLNoZkaFnRGVZn4awgzs8bkBlEV
FAvtZvqq9TQd2eQvmEQX3wdHN94u7WhgX4Fiv8M9CZfb+2mtApaZrFbyTfRwAEjgG09Hv8zxlgmc
Z62SFNMeitkeQGU3uIQzREUzBKc+JkT1tdD+z6jyd6NKmJ2M/38xqsw6TOBV9tOo8o9f+nNUGYTv
iGQP4ZxDzl+nkX/OKUP3HS0fvI/gR5N5850HZZwpF80pA8r14n+azNveO7j/lglbj4GNjXDk34wo
wdh+7j8Y7sOCR6yG2NVGevG2/1AoaOUgkxTfUHOWeLPQ+PcRjm94breeMz6bSeVfG67b3GfIKa81
9IVIBpXJag2HfCcI+nif4wu67BQGhzcpSZlF5Bk1oKGvDmRx2Ke+HkRUjRl4qxvMgQ28FjpUccXk
77EZTi/HcmrOZhLiYtRY5bklgeTWb+zgQEZmeoiJ58EPvCTCIakMOjuK/IPOUnUsoKZfEXYbbzXi
cIPkowW6MUmm1iXTrOlTASpRbGcfkwsbXAJrPYtkCjDSe/iOzsQcYZqPw+pqq5sXn9D4K13YeOGr
Oeh3/B+S3TQS61sQmngzxXOQMFwL4WGuHc1RLLFzUeDH9WVqlPzut6SG2HkdHBtcEb8lsxVL6uCW
JCXM4Nb9Wt07nTOd8oLpbUQ88cKMMbe+5WZjbjDYBoYugUvpEBLvOjHr5BILO+NL7aGxjgTn+bWh
ZX1cMvk0hrOkZbW8A2n344e07fv3YdhTBTGzVJ+ZeCRPyiiKEEaws0RYfecDQtFQR0NQH9kM/Syy
zEzBAg8Lf2Ph+fkil3kaNpYzfYScY3GT6/Jzidn7Raizfi+gqH/RZF2cM1PdGDpxT4XqiS7EDOWS
6RlEJdfHgJTJmLXFx35JI3MZCOBprKR4wueWvpu7NPDXIJftrc4uL0m4izeqqTy+6Bzm0Kri4Swy
lzgd10wP5JuWD03tpB+LPkuhvNctynwi8Zodo1Y8Z43YxR4xtVZlL3BHgWG3Qwiug+CeGtC0C+yB
x3ifaopVbMpNYoa7Ot2W+O8nkRvO0/cstwa1aWfCsTGP66AQ52l9m3nuHDly8c+JavSWrmLAii2o
rlocQM8WXPuFcPOJEgayJplDxPcmj7GvLS8Kh8T5TL61wx7cut7BL/F3bFrIglDXiGkfMZXe0jCI
a1254V0SLxil4asAaEvRsYxbT5GeVIbjF7qk4shUE9O+3DBSRrkD07E6nS/xqsEeLw/7muDtPH5i
FpYYpxh/nHwX1r74KiezG4j/nYb7kdM73o1LIZ77sIxr0nXlcCeGWn5Si2ltcDMXL4Wy6aXHpV/W
eX0ZXNBvI0BQQYgox1o6sEV7xieqp9qJhljYj/ZoppfSTJ3PQJywwYXDS7vBnRb1ZlIHn3K4FVe4
ay7mcQ4RBGhyLQ2iz/x4rdPLscSMr2uYEdXVi5uk4QeVOZ8Nc2q3XqvsKzF4yze3VWTMdmRt1bs4
iOunPBk68uEUI2geVq2eex/OMhHNeYvjStOv+W1DFfVoY8/rOGPb9upOdNBAcHZgPVMxoPaBuL4L
ylZvKjRQkR5XyaTTZlsnDYedRnl2wlXbP7lm52+0neYB98HJD80wsKMpXEOwnkP3NdLL3FsUlYcm
M4t5a4R9TIi6r8xnC4LtTjtspqNltoyLagK4Dn7flsdkYVZXOPHqI9/Y/b0iG4Yb61f5RzB2yRBO
9DYieR0PxzgB+ab+m9pPo4+P/YVjwOPENzuJ6cyW7sbplPGlcX2cc3GhHW8XuRhsLpqWqzFyonPh
KI9o/bAU96Zl+ibJ9X1enFpc2V0Wk2U5YQFOe7JgbhrGtrxJlzAutpSh2J6mExIRy5gsjF7b90nR
tcR7hdOl8hR807KQW6/2Tw6m4dsROvddCJ69HZMsPuYF22YjHHmYzeohqd3hAB0kJrqP2W5Ej4+O
xSiWehP2ZBdJc9ZftT2iYRkFA6rGHqqd2aSjRXlG4MlMMzMOl2j6PQRFSKfa7CN4DwTrxXfqwnwK
FrK8rShVtuh7sM+ly2/iOcZVNcy9G5FP8V6LUt17jNPvPeEnt2yL8wEYUx/HZHp0nbq+l/SN94Po
Yosctzx+nOjwgMtVMES4HU+ndWTyGNSexSYFz/I+yNr61hxILoatKvdA3NTeWeFch0nVbZoR2kPu
KoyDGdDbm7lasuvBCoe9DHDOolOuqusc4/inwSuQRHTkykZrughLPUTIj6zGO0vBx9f0PldYScfI
uHQfv3cC5R3x65ywXjQC4p3GOP1ma2O5qY1kwGrdkA02o0t8HTKseK95x4mRLc0vhJTpI2bq7oEx
KSBBLPWnAnYw6klJxEwiymWfkwQObtJjHtMzjC16l/1oyIS+hLyI12aG1rKa8ltZDipypWXfxE3Z
OWyyBXWqjo+Nl1tXam4SXLaB+FhrQ3ObaB+SEPfzATNLcabrwqvJMXw8QJVxU0BbsHeWNREkEer0
a9zT8GWzMRnE2s0t16GjPi3aX+6sQk2HcAnD4yiG7lHFDRiKcMcL1pO3RBjEYKbc+mHFI6LriPD7
Mbd9Tj+1GexQ3k22WeHpmdtM7GE8MqfJaA1l6dzguRFfaT+cjx0HI8QdaH80FV/MJgu/iM62MBXF
hPMJhkf6yZzigpm+0R5qOzXoPEa2Gl6/lEPaKW13s/oq7bMxL25hbEyfaKKmbYGe5dlqMmzJF/zK
+3TdNKGuW9lB44Shd0pZVvO+XsKnzMK0eTdizdteyk4OYmPWgZVilDqFzxkpje9dEXby1lMdVn54
C0o6ac8rmETlQppnTBQyzrFQ1CYB6T396YaDnzvfWHp5r2SyxQwAdMVOPX/fhp6/SWuCUjZ5Mt1p
YTX5Za+wYKXTNNInt7Xd7MXyWOIbqFGmu1MTDYcXFdB2tHclxDyPGOYmRWYOJ15ZSxUnf6w9A9lV
rJ8pe+ePRWHUX/Jxth7DfvAfhEzak5TZg6z9ZQdeXx19SWqlP4wVmSvzvVfqZzZAciGICuy9Z3+Y
hs9201FBONAIos4dnn0EdBeeH5S38Ix22IoaZx4OIQAKrLYuevnd1i55cX0r1xQBaWPnmg1ZeaGa
pb+z3alYNsxJUhm1KkySh8Ab1K5CWHiXErKYAddMbmX8p3v6b+V0YTa3zrR+1T19QVH8Uv/cPb3+
0l/dk/UOqmFI64+tK+xMj4borwbKfOfAXAtxJSJK1nU8+Ip1g8n0//6fTvAOxS1UQY/RigmRnU/x
ZxvliHdEhuADgrSNidvafP2f//VT3lT35r9/5CS+1a8TBIatJqng2IehGTXfcqXlbLCvlp24rIHh
erkZkyqbL5S7IuypWXvwANMFQ+m8EMb0IZtxHWH0krLBdWHrvpDbUlukHZpo8sn6yT2N4Q9GNk5+
mVjSoFqIa0KWZd3BavzhTv8DnfINSZXEXT4wTpZMnmBfM9b7ef4UdMNUIqBRl4wk5nuR1oQ8cgyd
l9E3gUWWuPxjFfx07368V3bAs2p/mNZxSbyH8FjAZDXweJpv2N5GVpJ+MTTJpeeF56b3sdUvR7rh
A4rYRELJk4a8EMpk2j7JkGzYwaFuvgi9gWqeclE0x9iHzUn1hmNSxO416IPVk4cR1BmMqKYe5luM
HMRDaYleH5y4bi5zugsFUahm0M+BpbxIKlnpjYtLIQjbVHOvDW+c70vN2NcS2n0hMKTpolwGXCpM
4zHZKT/Oq+3k4qSK1ZnRBRuPJyI3Vd8Nwx5t1XK1ePApFaRHCne7dF+UDUNucYwQG6meKAwVNAX5
HEm20FxmIbWSWD85tXQJ3SpNrAcBuK6jzO/4bthwy2cjJYQn8SY+xkxG1Uy+k9U+W+OEb7TXWDK9
mdOKTxQupLwvWqTzBwVBl21MkkL7YOWp6JAPAE1cI7r1jb3nL177ZAFlpqdedbx/SVdqImuxQL7X
qgautEtr/tgGYjY+2VbPncs6zNU4UJq5Oao1C30zYt2nsepmHhmV7chP24GIsh2hNdBNZy0ZgRnY
OKfr6KjzaP/qlSkBgyhbPfHcl3xK4sdh8cLHcVD8Oog8jvsST5HUg7y5MTvJTcoWh6fgOX1POCwc
zfbC0SZR7NxHeyD+3ea2ZEYJyje7zGrfE7fKYx1XW8NLZE4lyMb6SPz15oQYrPP88Ce/5NxcBPSv
3qDOx9fsKk3IijCIkSZya2bxrvyEgKFTJvBTUQuLsIRchxG/50/+thmtcrf22dvS5dxjjDQvD8zs
e6CSkBSyKicxA6RvgBqY9+7VQlP/aIy+uJ7GtrwlBiV5sSaKncYonWDDqe+/1Ekxfmxtk6BWQQzn
ZTox7x+nsQ9IEsUdg7qbCJWTNdOf7jBFDh8NlM79nZVpw9u6o89rg1M5t3fKKk/dmP3soptxE6NG
5zVIWxCj4ASptrc5b6T1Zapmnl1mt870fcmXoX3mX6v8O0La+T4D4nnIPbQmmybhHelAj4dN2oTi
gVKAx1MWBrmiRjzxbBlJlhVEyaZ95s6wuHwyvPShaBvq78402u6pi935nsqLhWBQE860ligEDwUo
7KULF7CN4rlTF8mYM3EEfppvsRWVFwM5B/PZJhEsIcxn4Coe7nsaR5jOCHcQ3bkvBCkyFRoIebms
08JSD4XWhvFoDL6W595ShrpdZlhW+3Kx2X51NS3hh8wxq+KeWFxG7xCe5CYebfuoR9Q61I4V91LB
ws02szkxNAnDhBtBI68uYoJ2573DrkKWhoQov3l9kYvZ4MGRRcQ69sZ1UfQK2D2aJwbObOaN9ZAN
BhziQASp9zSXwWDd5DGjEUZZomi++PYkrlPykhO4dRXXNIoknwm8SVT+SQnFODsi+aX/asdBX3xU
7BCC6LpYu+qmqSjigmhOjDjc+SXxODurQB8YwTvIT530eeZ9qcR13sPb/hgMsSy+uX5tWTJyFknF
WZmjZd1UnD9agokzkT7GtRUQGdU0nmnSDNqaclz4ZMcZeBNAStbALlkSXNdIiJ7ccYjXXJ33PiYX
00ZUzfABWrlBH0F2Ky9GBzqXpEe7DGMY45jhR1WGelCAppB/6FfuhdFN3uoJkEsj+5ikztDtHUAU
+u6mXeKaTaY5tm1gPnZuS9JxZX4yagr9vma0QUNJEk06zcEFIRTJ57KL/W9zgvl0LVR9g+n6eZiU
XHZFqeY7bIyTT6491ruKQ2oLb82+D2RcfxJOWu2t2kxi3LEqDMd7X92GCck/flsQSUNyXnmVtUn5
wco7PwrNrt9ro8cjeJwxWyAqZ0eh3t6Mpa7OLjTW3QCicse23n7KwyF9Pzrl7eSbc35QkkgEueBc
b+ZNfRizJnufdF75ASebLtmrvobCxgG2pdnWp9IIiz2KiCwasQVcx6RAeKS9NQ8cOu1T7VZtus11
V5N7bTYfU89bb23FbBu7YxJnPexrrlsPKmKSjRXBLX73nU5cbQk9dy6s1eiIrEDrmhQZ39mmpluT
vbFQDmw7ZY10IlVzCEq5YGda2s1xjbfZJ664y+OmPZho1LY48bdPjPvaiVNq9I41TOpxt1T+cC17
J34ftql3MDpdEIuAhBVfTR0gkPO8ayPt5SUb9kLgeb0cJ0OEqDyLabd0ilQZyBkbOSw509zOexiz
UX81zTK/DIOQLG/S4n9nBP8GEqc+weKH/wk2oxCE/Q0lRzaVHZC6yCisB3YpavjZ5kQDEjkgAlto
ks1lzCq/+HUh9ka883rVVf6GUAhreAyofi7EnFinfjq54Uky4HqGP8/G0PYWNcavr/NGa/d6Hehm
2IVR7VnMEn6+zphC7+4AkU5OsVYYvqnYs1eOhDvHbBj//mLodaG1USCDtL25lYI1bCQUgaegnMJd
s86yO2afGyMbwt2vL/X3QhahFTQLanET4ehbR0uZhH5LJBtZFN4irut1RurSYsOw6ZvLbpUv/+vr
CfoQwWuCxb0bvJFmY5nFsi0r96TnNH784wiqcZ0nQ67uqEa6DIft39zO9Xb9XDnz5ZAlc6g4PLy3
xfpSJU4fqt45gadQXeH2TvHDhsoJXM8EH6Kh4Lc2RjXy76aRc3z8+kv//SUNXOzRUdszNrLct0ps
0HgAuxKO1TBkq683Y9ZZTL8zMvzHqyA6DXHOW7Vsb96aMramOs4670TkNkblGaNzP/ityPufrkJD
GWB+GqISfLvMvd62pGvwXaAcB1svg28AHeL/4zVh6mebmE/DT0Sc9/NyK2QlGU5jSGDFkDuQBvNS
jAuyuN0S9+K6b+dR/6al+/v+xZ7OHsbXYv7FZX++ZJ2N8TKVnnMymth7EhAhTtocKUUGrER2NfwT
K/I6zSvy65fj7zsLCt7QRgdl4pD2txWBMWRm6pbYtWJgdccN+2TvjcFW5zB+fn2pf/iKvByIkqnB
Ucu/3Sx9dB5cqrJgK6zz8Uo0l7rrEQ05vDDF2sHN61vz64v+0/fDvCNYx6X/YC47wqGy09ATp9KT
RHdUjs0oLUgPNDq/XekrNPFmqYegEy4GVH7oB39faWmgApP95KRVB8EhF5WLHZRvlvftqNV1g7ys
hjxPmTxP1HUTtVZ3PUr0BHsHSiPNReO+QOvqvmKLYVN16rpMb4PCa3/nY/hPnxToY03csDwAmnWd
/WCXVWfulEGi5w2vbC6UxVBi8tngvMSCklctDynrf/0kxN/X7upBSV1ph+hAg7dmsUkJXhJzxp2M
wKDWBWWnfyCrAa6/YuSzSdt4fd/zTFzLoZTP0EK02NpZON/LzpIlOU6DlnuqJHgTsB3T7a8/4D/d
E3bK19QAnt1bAwlTouAcA1Z9pQOKbtPNP4nEsE/YEDNqnKT5Oxjnb++mR0g8qwEoh1cUfsDPD0Fm
3Vr0k283OjGRbDBK82iRNa/p3NKN//rb/dPFwI0wc8ba9u9pGYEmsyeRxGPOuKPd5jVaNJixdDnM
Y+mSfn2xvz1qvlmwOlCZ9nrivfXWqgpDtF1sLqSbujSWSdbzZrEQ6RJ/fSHrDRXbwjPP9tbiweXL
4Z/35kUmvzWbvdafqCBU2t2a9HDDhqFbj8EWPkXdZZuPICFOAqkundKKJJvWt1Uky/UYbOR8n2YF
OIEx0SxtOgHRU/tKXZiGB5QF6mXvTWyoac9lQXP8Grrc1wh/qn+7Eb+atEJZ4VzDUPNtKZSRJtn6
VdedgPyD7cRo5BJmaXZIzOVfV11cinfAIYkASO9v7o1IEqx+nKHbKdJGoLDlfH+8DcMdDsjN5ZoE
/Dv8cD29fqiBHI41LOBXV4pAuMj+3zylWldEUyrXOXlydr7h1zmelBOHj6+AiOeT3bKVunQ/NPNs
/eYAgPfw9uIsL9vzbK5sIYRzV1u/H/Y6p4z7zMGw7iRQYFYa0VTgYcm3oNmwLTTYcfAZcn3hbMem
Ex3jwIYVaKsku7D6BZ4tAWLLvTlUoIiaWZMGhPTXxgJqEU7eK2tNVV6Xo74S2a3fL0bNXyIH/SIk
2zIHuCQ1+87NO/2I+wrHncFhcIDzQtDqqJa2i2D7zbfuNAONdXEB7lcAHDF8lSPsgwAJVHFFoFih
tqYoqrsJtOFaeb1xmEnhvsXi29AHohgLBGs9ukjTR67HQDE3SSD03YFceke1575wUDX6TNERBGCU
QwOtsxM8c7GBhOoy3R5EKlGLDpKAFrBvc0Qia+u8blgzuM5raPiiFF8nRf70OTfgpG/CuV3BUCat
6e0IFyXBu03q5uiRkorxiyKD9QL7YbqiWmp+qqX/Z/E5FjHIS1iudY1sWWtpXboI9esOQWIhyBGC
bqMgIhyJsJjvW3Ju01ucAEuyEBM59ned3fFArJagDCbXVVvcN9rkvFBDL+RemN58X5hWcE48rynu
/VZ0X8mO5lsgQ3T1N9urB+dKSbFCURORfhF0a36Rr+6+uMiG9PtWhE64K6zcOY+r0A5EAz0kBvh9
Me+9Fk3AFhwE5KrXKUB4UC2evRvtmL84eGksPqN4rI9yzgfj/UwCuN7IQnNqhWbtAOGkpd1ZN/U0
uv29yMgP3Ra8Lukt/SqscbH4yN8MA5LiOKqOjF9opMZGtzW0bc9aLSA17PZTXY80EpY/Zf7ZGWMx
HVOI1jHnqhiz60aVYFpBO0CTmbHbsSKiVEEZk8Gc1YOoXVXCfXd5wfAIIovQyBRnw2sdAGbP2weJ
HKgh9RpwMwRRyEoIcpqZYpN8On8Pex3fIhGZb/+A4Nxy4MPYKZYJTm65L1mcpvGuG7qpvfhjWXkW
ews50/Zx8vFjeKnxqyV31V3Eg5hFml2A9oLNW73DNq48l7dIBisjNi1d7qvVrZi5nXfD5yXDgGA/
Z+Dwf4xmSHZ5iV17LSQSh9ouaHznpRL5isQq4PmoxbP2AjkHCPzr8ed7AyBjCnbln12S33VUmNmc
79GRmd1lhbBfH6rWYNJQLg431sEMxIbDYyXZXVdLPogwwU72bWl15DwKOX8aZt82EKb6blHcBw3m
1FfuXGIgkee1sxmwgli+BQaTjF0eSMu5W0QLCpwu1MaEtYjJrziPGQOkDVnhwODbEJIO8bCp09v+
RwrzgtAwV/VI7KIyG1tUvnGsK7B5o3TzU6k60HpS6iYBF7vWAZBE7sSnyjRnoDYQ8j4AINPDmE9/
nPj/YZn+jmVK30Sp9V/PSa+/jS9fX36akv7xK39OSYVw3pn4smCEA6ZCm0JZ+ueUVKwV4V9jUQsK
6Sp89CxnNfdazSv/Ype6/AjTKyxeHDxy1onpmzHoL8ei1noe/nBYE4Dgr5ehK6Q8ZXy01sk/nJdp
78wjzm32lR93Ppx4xz0utjAAknWJDjytpMRVrjl5IpQiaoQcd6bGCpKDqTwMVifPyEAH64lpVnHd
wKaDdjaPtrOxWjm720E5C2Q0Z3zqi0pt+2RBqtDSFG3CMSDmuCWoaDt7+F4chmkR9wPytOd6jMcb
zXlCTihptENUaOVzEsdq2mcVyRA+ynIWWEH0rA/B6eBxNDVRm+ZzgWsPa3xrLHDknWXxsUOfybq+
CB2hyfgscvMzLhfIV8ulKL5KTrCbLHHHKpqYtdwQXd8xxcXwwdzikbC67s5Z4R+bRTkamtIwt4du
sfipvULcq4RhuZVoL5YjMxxi0atqmY1TwAektoo1HiaNRPJ4ZwUkcIZOntzrvBhvZDmxQ/llv6VK
DZJNjKvMIZ+Uf1GFZS03udNgwMAKhuhPznS9NRwF1nllF9aHvm17X7fbCX+ZXl7Ews2GQxVbie0f
AkLtCVhStPnmlsmLqs1NUQfztQ1YjulrT0zP0elEMxS430i0TDktEtHcqJ5Ko5w/dm3pALWPCDfg
0nmijQJiKcf5upCjEzKEKDMVRsj2VbVvgzZIooGpu5dsXCPN45tYLMZ+jFGETRsXa7LVOWQY/f7M
hGlMt4k01zwsRNIivrRUWsbEXnXj+uIgZNAzZ/XemIlMjOAFo5Q49f0wtKRJwefvbRWprhsnXTHM
sqZOPCVxaln6ec4wK1Vf0fj0VRW5jJbK+O51Ff9nw/vthsfu8+sNb/ofp2+q+7b8vOm9/tqfm55v
v4Pi4fmwGfEqDMFM/t+m57vvIHsCD1irldePHmDQP3i9kH5DJ1kN/VfHub+2wOAdZl2A1vzEpOv8
d1sgIu6ft8DVhIwWDIIKLsA+cNWbztySjL1tZpMXGERkNjMiu98t9AXFJZQC93ImlG18n7hdfGrM
LB2OY1b3d2mL48ShyAWTJ4UJBOLEIoQ2EA828mXFvLmdEzaj2MnuMPo0D35BRFsSyhwVqDFd41aU
2lsY6vHDbNXuk1ePLyW05YQ/9YCpt/ueXGd916nwAfIy/AtiYpyoQZWE7E+ggCQZXV8N7NdYPeeB
uO+8xoZN1ZtPIXNFxr5GZt3X9VScOjX2u6YKsg29cwctwjd22GrO19XcdFthCHEfawxEK+a13zsi
rU0WuE0w+lhpdWTcC38VZ+v2xR6ZtOuJUC3t4CPxeqNeobzVZJLnn1HCdvz2hGH/0S2UDg7o+kmJ
yKvhqLFT3/j2wC927gQH3cLTKI+8KqzCj2OuZbKpy8B8whVLX3ntGCL9RRFXQT8ly7NTx9EgN0WL
AJvUOkfE02V9yBwdPmqUgrm7q0c74qWps3G9zINh7RcS43kYMBRD8sDW4A22OJNkEJqHyRXl41KU
PgYCySCeVLVySIrZ5K+VVTrfBG1pfNdYQW5mm2hABNrpV6PsGNGBUx9eP1+3firebJLGcv55tMqe
h/EqS/Q9SKl7Uw31AcLriAIVwVzWcJNh9PY7KC5Ygfp9Zp2TAC41+e09ItEzBXOaMr4WWNJ5Xa/s
ferCFjjY2m6aKOc8iWqjKU7aaY6jcnom2Pk47PsssZ6QeJH9IdolMA+8KqsSreJdCPBozIeu23L1
bBN2nZtBgnbxWENw+6igkbyH5LQ8yTbtzkFthw85uNg+teEIbIHG7RP84OQSE6b0I4bgVKKQWC6N
locdeDm59LBQs83Y8CVz7Ro7V1tYaDKgcKLClf0UeWHvRYSDQBmsp+WAmjo8lKVlf588m6YnVlXV
MAhlRrNNLJiz+zA3+/S6KBv+FrHd7d5rPAuas0MZAfdzVI2f47RQdPcxKnxk9FOxsaHsoLEy46vK
g9cFu2sKDgSUiL0qUxuTtoD8loBWB14k6uftjGtogBu42b3vG+cJcfVwJsDjI0flgsZ/lFMa5YM2
GBYzTq4SxNzARR6BaIGON/B02s1AEvgpwa0NfgaG/zecOs1t5+nqrjNsbz8tS3WL6kycBlTmkbBk
sqtgWl1ojCN2mF7qE1lKRRkV1mRvptK1P8zIjSK3WoKZjEM0fBNyj8hhBIhTECMDOte42NeAORgN
9asdRpzTpk+dcZCt3V3BoYWNHWAqUBuTe9v/X/bOo7lu5VzXf+XWncOF1Gj04A7OSlyMoiiKChOU
JErIsZF//X2a1LY3l3zI8twD2yWLIoBG4+svvEHELijVsX/SzbDRygGckm1CS/lX6MFjgz7Ntvw8
wr24jhwHFacuy0ATAh5aePVrg0ZWRasFHXinRmd8yaiitzb/5tsK5ivEbq+bqyNiF+2HVtmIIkyj
k+yHZPRSgBGYW85isfdr1iaYD8DMXu2mBg8jljO3lajLocRV92gMNLa1rwBFwcArepj+DJH3AJ8E
bD8ChcNMZLJ3Y4B6yYT85/sEVMMnxfN71GikDOeoKki9C9YYRmmUJVtrQTaOFCHM+01pSs6N3Q7D
luFtTUukarptV7jJfSBje93OBVYNLozsyxFWFDTKLoUXk7lBuvECEBGdGmekn+Jqi0ndN5oO7b5L
FxcGUStv6mWw7nP06crN4EJ3VdOceVyi6IH0IipO7paDtq2YsEA2XN8D0yUq6WCIvjxFljbvo19q
LvOLouYLBdLmwDMyXxHEVhTMgMU/IHDE6MuCgQRZoR6JGgsnTFcH1dkMJfO8qXCW43OY3Dug1lyo
T7p5V7nAqMHswYycbPBMm2SyVHXDZGi50V1eL7u6RpcYCtF6Da3zt1PYf9OlN9Il7IdIHv738vB/
im86f1EePv+Lv6pDV/0D3U4qw1B6RnifzupzdehI4LXGD5KpHWMc4LL/rBUliRJzS1RW/VCAoDUV
3O9ESfBXJtKGTHUkgxzvP2Iiei9bq+Z2HNdB6g3tDJ4TKZeXpWIoR0Q3B9v/mTDZy34VJeJV9m5C
e7ztd32fuctDVtD9P+jFQ7VLI8gpftBebqorpxZ16x4ay6fVmYPXrPNNpSLk9Y1KmYFD2qWFPXnn
w7oNNmmEfpmFCMfYQvr2imEBHYUJCS00UsZGdpvYbsCJJf1AdwXjvhjvXH9RKZ22dbBFeOZBpG8F
TZBMqG5bTLMVRodqzHSTbhedIMrzxhDkxIOaCSejLhflHf4j/D8n/7UOsJvXq/jZ6GlUyCvEMgH2
1JET59cqFopLzk5alb9aGDrLPYeI4tbcZADkAwZqit+SLXoaKf2rtueWJNNz5HYEgy6wHeTJL2p7
mblzWesufnSQXEN8zE9jkzsMrYYlbgVoEmxK1C8AR+ZJA5Mmz1B0lkhTNHX+rZ6Ri2g3chAWvSab
FDbZr1FMEY1mCK9i39MJXR+SLojw1w7WvA1u1pUjNdmXyoeNscExYpDqjcnJy2ETkr8sMkBy8A2M
NVBjd18+U5Tkc2rlRfXTBvocfBBVatV3nGz1evu3L/P2eZn+joLmi/pbY8RciGLF6NkLh/kl13t5
oQWzRbUGc/RIfes6HnrmUe7bkDL5wmdPZv67SdfCSzZLIAqr3zZOLMe7PBVV9uv1O3k5zHu6E0BH
jL1wF2e2corGdvCtsdWcBY+jDrvgRpA2YyLdlRaYngsAaasI/tNFFkanyYGL7NCG+sPQ2WISKpEV
8X4UQwsfY9cuVDv5ZiT5eRPkYTbh3zYp60zg8vE+ZsPDlpYnL9RNAQc2dKUfZyfWqf/TRWY/Sc4j
5D6yi7huzRIXHOlvwpH+2EngHwwfAQ53KAi6JyAMDxJNp7Jc/5hthd3nhnZMON5FrgWl9o31PDEd
Ma8QmyOXBBxfeIL3KSonqzFLnEa3fNSFL0p5TKELfMR5iRi17WUcxc27Wa2RXV7VaVcF9l6MSb4+
ZFo2pNw0XSDMkZaQ8L7PMjrz/jZhvl5c5Wg8hcuRMtAH9/r6tvvjxVASGzr802TX+UNd3lF56M6u
Xf2oGF9xFx0Ax+zXSIdHfK7hBNfeDofrun8LpHICHWCxBBU5FOYQ1QkztDwJWxHqLBDLhPWdTMhx
1y1uqumgtzKEdW5vHYDvuoBr4Ofy24L6/Fzv2q7rVLMtLXCN92m5TrBOk3Be++8x0p3q4EEMXC5J
rX1wRK+v0kncp3mKDrmRDeBu6Z/S0n0ZJzx3IurNU/4zpGUB4HTCLMkJYeut2ET/xGBHPq56iM6D
yvq+0IqHDxuMzVsDZefl4fx0GwgRePBoCFYGZfDyNgJUVvEPk8XPCEb9sAt0stwy80yggxcBTojr
qO5pdAyHhWnVHh3B+QsAFrD6CZKU92+sycut83wzvgcszBbYRPwRpNdymMaaXuvPGGX4D23g6Du3
sKydDJb00nPK4QbIB5aQflWeF7PnXPeV1D1uyfQ7UY8KOYMYlV2l1uD9IlniIA/hBXx44y7Nkvwr
8pi7BLxGggSYE7cBtBpeLhkIvKVUrT/8XKasjT96wOk0pGPo+AMC6jdk6/lEDbIG4S7sRP0rWW2Z
b9bIbaYzj6Hwg1BFfGXLKf/owmtPtwO0lUOXdQXLHWfIJbWllb8RSojDL26buS2jNxpWhGWFQ5Nz
GktEPDVdOXT19yRMscfYZHQUVirPuSOIrYuNFfuZ0o0GtovuN9Fbo/tG8lEF8C2Tvcr9ePlBwING
EGgzayDd8vOVdo/j19mv5wPfjxpOM6g3cfBZx0pFPfxGmRMZKdI00aDq+oC0DyWpkQiQlJFJCSzN
MGvZuQvY+fcRogfzF6yKSVk3LeqRfHsuCqAkFSiHB212cP1WcJ60yZTOt0hZZOXPYBqc1Nl4faRX
ho2REp+x0CMUIt6TcY8OTioVbrPoVXzOdd1k1X4I5mJ9WJmZjfdj1wbjHVqjBT+bVBkn1iZhoEmM
cBPMx9qNMeqmzssgOHGwRNha8jC1IcHEKF1UQSVgp2auUYR30ogfSUEslMEZcsZJ/75naEfyBCY8
48jXHQ39ZZ8BbB3vrXRS/PjqTeZqVowx642n8rT90jJ0HY+RP7bpdeGD7jubHD1XlwkEl+FimIeZ
2DWHkTlp0bNzlstw1AnJmQ2Wgf9pw8glujdh22sXN0E6gfnx9wOIrE941AoX+SDb2XZksaDCrgh3
GuNhDs2ilLZVokUFD6jcp8xLymyrmxxWxe/fgcwaCC1EiUSabNly9TQz1sXNDSdxL1249NwkHMaL
V/NM8fOq+vSrWDnBuJkfmKY+yS+qohvQ/UJSzFzRsyRVAtKTAcvSLLLl8UgszHapkUbIfnk5PDC9
z6IgK+/QAWMIcMhwcmO7NAKiaoXwslLsmhipLt6ZN9Nl+EUz2YnkoY97oBYXlj+ny4+2nEfWsJ5H
RqP0DWEjRh/CAnRUtlvlALQZScVqBNgTr5WpFTJnxnZstwRUJzxEpgDeX7deNFYw463OvHfpjpw6
+w7qOw+DOJjZv53X+vwpDhGxHC+UHvGDAWBR+3wKQ4Y6G5OnuJfkSh09Gm5p4en5P6chM/fiIxTp
B0D9JZ/gErY5O8WDG+wfR3yBub2sTENTJ0QjMOUbjeuNgNTsG8yyQtmA28p8Zda4HUtWcKBDxHKu
IazceldQcvjHrMeGUx5i29iqbU0pN943YcV/txxLfMAy64kNlCorWS1QGb7zBVyaCR7o6+bfstbr
zCftK/NLOzrwvAmhqVMMW9fxxnuZ5ghh75NaNno5jrMNOOMavQVwp/u2Q/Sg2DIiHMyu9tK0Q+ch
V6sjjnNYGMnyzL5XcLvVuGOKL01kwlccnbzAtg4CI6PGO/T5EvuQwxMDoYhHu1lvxbLMbP9QG3z+
XpUTQx8S06kObgIhxhwTS7svWnsb4JucvqvBF9AqpzY0b5j22WI7B6YKGJ+dp0BDUtgTXQtSjRaQ
1tZ0ia2E5B4jC8OAH62PnJ/4VuEjxcNUUcY84IMq28ivbmrNqB9eoQ3OqNgTiAk3+96Ls6Xdxs1Q
K+NMEIToZoF/7GnnImQpYiAKOWE2+LFOwkJah2C78MyKkSVCOZuO/nISX+V1Mjjypkfu0GyeNDMh
RfbT0jaHnFkBf0LUQLOHIi9t8/iyXuuVv2tdCHpIlgiPUKlbfOTDXZnzPiqQLshgtTcwd5AfOWSo
i/CWKgeAYrLHRWPid6nWNlEQaVjFzrXTJurHg903Ez9JyUx3EaYUo71LsBJjOb9XSMqxkRJ/iAlP
aPsFrF+fWEQHXCsk34Lj9poNNbbocdTnvP2WpnEIw84/hqi4cOMAVwYu7TvFzP0TLjmOxqWRZJVl
JMCw7DHpM0kdI0DUDjYzUna1RRLYLcSHJUwsH+mJpWviDSFK+Mem7SseCTgNMgPoKpiU3ragkf8o
SSDy6991L1HfLM5Utx5ubJBhQqBwMew9zzofsnXtmHii4bpDnLSK9r4ND+tD1M48fFqTbC5ItaC6
1xwkhpmsUl0mkg+bXjHl2zGENMEK/t7WZTqZv4MdCfZnu0LH4s6D2jLhXlv4YT44FrvS23uyU920
ofJB6W8jrTjly/XDCP+tzZQ4CFW6KWF3pxWKPtZGrs4SwKyaiu6DXc7FvWK8n7GHujZtL4IKpic9
83FofjQlZ8wlMq6Wfx1xp962rhCa+IqCRrAeclnVxaMP2Ku7K+ug7L5NdBynd6uyCoY4VgEto/HE
1JgJU6VEs22RX9fDAUGEcLzp2iSaawY4CLNdeQXHKiow/ehsW95RR5AHOWRcoiomFTNCjQhJUEKu
3bSgmC6XwmWO3FlL/wWn98H/EBT94sdb3D/g6W3gVS0RI33F80fsU4wEzvuEk6yA9lWQcu+Aa652
d4hcBHQuZz6OYRP0Oe1O22kOo5Kxt0MgYF7vcQRJag6+oJcXelkGBB+ZnDjYShPhkF6Ke612Fn4O
2dZwKrBsFUV8hODR79ranlaoRJVtnzmTk7iHqEG3tN/0slhTRKY8Yd02eV36HwfdMvM/sxuUYNq9
qvHtvWd87/XXlsao/s63fDCBfcWuBtMTBN3HFR5eVW+KPpBdcxbOIl5hmo2yCXZqRgzwLEp7UHNr
7YdMSFDD9hCZQMFHt+F3p8zC6jHBFXScd3nQL+1PlQmPNvcgm1puXOAJvX2GAGsrwt2ALkQRnEVk
o8ENEl7oTp2NQUMZlfxMmPkwJ2FClQ9uvXNEv6zBPvB6z4pvOpeHyW5/V3v2UiBMfDfFZQ0iEqdh
c6A2pVc24uO0iKbxd02ECQzYOduOyVFgqENXBho88cF0aA2x/yury8igkDAczbGiCCR83G1o0kf0
R0Y+h8QPTIRjHmMyzBRMlBMdMkRq48I8WDOFl0wLLVJSkbRMJ68FurCcMn3FyAOwpZT8zsMgapP9
4T1nKlWZOYjkb1GSxm7ybGjLNPgMCwgA4hmoLJkbY8ae3lYztIIwKTTSv/dhDi7YPUPtlSwYiVKT
RatlaohlWZiaQwOn4mjiDC+1sJHHqYLVA2niFqREuDt4xJRyKPG/2ZCXhPQ3hSg7ExBxXeaMnqAL
kprAde1ZoKaS5uQM22nmThENlFwbgqys1w8jeo38HapsM78MOmLEt6RFjcTImUYTlYgC4hMEx9bN
HMUdVVGjkQwDlGnyVRVBd3xw+6ELvk9TW9UHhHLQyY3rbORYBFFicqmqkSZlSVRv1qivq6B3fg2W
XjDrmApnBDXKeUifCtBNhFg05MpOsPzE8MWkSE/txUCX5pT6fYL5Ts065viOENEC5iPcveNFFgvZ
xFiT1BjdlBQdxWCxsISZzNwBlLSE7fPXSiCAQ3E4NN5KRiqrhN9Yl31Q+rvcAUgNltVi0pFuUzT0
qFnKORKfYdLS63x+jRyYjvNAu2Ho7+GQIlh0QAXO4R0NGr53d2No3VNyu06ZHakvYy5Flh+TJohL
cICko+P9Cl2PpwLRa5qdXQd3LTnHJtckFXafMYPcTO5iGkfgF9ksJZW6M2OWZGPujli2S5YS443A
cTnWTdeJo42+1hjern2C6sxVANCS+1lW33wHCNHZPCrCmCRbCPiYT4RRrGmwVmgBajyBfJOoOQWt
mLR1zAbzoiFt3bPWlXhj7eLn0zUZx5hDcwA8yQfleQ1ZYOB1Jt/sARYv26jIzNQLKTtaO9hWVPyB
/9/8tJHvW2+nIpQcl07CfbnbJJEmNcyDAfeAneM15m6fPw/GwLwXfPtAy591msBXXnmzN8ZfR+BX
YDEBLeSSrxp9arZpupATZAe/883eLSqca66RZo3HfhcXmpn4Bb+g9EhqETfl3Q6gLbhWtXY8gt3A
laI5hrN4tlNjTckXgz7ovo3dkHrIC+VD0xNcQLN5V/6EVQpEHIFyzq/Sdk0RmDWCis12ZvNCtK9I
Lyk8ec/9gpbcpTe51E8AGpZ5PJtdr82/jQnu9mRdz5mPjm301fa6DjueNgW4TGLwuyKGxoNu1mGO
Y5vqq4pb3LUOWGcxqFgsy5p/eCPq6Lc2phg2modNQjkyJl2srWMYNN5wj7C5N1hba3JYfytRpujG
eNRkYd3smCIfhr5J5GNQGuN9hEgtb60vGSDUuzm0MCdNu1FU5ChK1OsDq24iLpBVat7zVjbVpE39
wHYKBJenlRytJlQ2xOTg2Egx98m+kjNb/+iETkKpkofkUc+fXjUyTV83hVWqCo9LBG51u+vHUZuN
gb0Bt2lF3mK2JA2iqXpn+/NctSzIaipuoXBsCraTI80nTrUcN9eII/kkr7RhYsRYqnl4H8xy1efh
MDvFEb1CagoONgvxEYrAfiR0BkVe82uUjxaSOsvaymSi6B8QxZEhfKoaUcPI+UrbbHQIUiT8Q7DV
dEqRhQDta6rA58KiiFZz0/U6T0jk8ZUtMPv7cKXi9ccwY6NTJNns/gkdJl5p6gzm1ocKBHxpzD+j
vt/jqeLn17KhOcIPrgs7Cg0GE7B6XqOFCgD+K2mF7GaKa+qhSrwq/+bVs6nQl+fIoWZtEt0S/y+e
5fVe17/pGWEPC1eaAaIUfzQpw7kOJyDG0/c56k2dOSZWkQhQhUtbqI0eOp73jUuettdpU2HgKJ6s
6d2QxOlldw07rSq0+6D/LoLJTAuft0YBG4yj6/Wn+/NSGNEaCKsZUBr+7ctLufg7rSPdie+pH5n4
VAdgRUgKCdbErtev9dR9/lfX0LTfQLA5HqxXcI1/TkG1jRrcVOTe99krkby4HBJahhg+9cibL4DP
Syxm92tQEzQGZJY1TZSxaMNia6jiwQ1dCDNJwzbVdHj0c2T+PWsz6gQmRZJCcybIoJ340+u3/8dS
QdGySWzhalGOA597uVRzF5VgBSTSOakzcx8cUKYs5HClhHr9Un/sOY9BhGL0yOQR54/T+QppFJop
JFDfVBIi+3qMljCbHpxVmk8kiEDovLXlTkd2kNgdg2WGL8xEB3T0y4frWu2FMfOib42fmBjVz3xs
t0NKZL+LXTgJyy5S5PskEwt//lnAbO7eEe1Kcf76s58uM1N6IczsjLE8AO7THTlV/TxOKva+0pOg
dFzQ5Vx+hBUc9LccoE9X2YU/xtNCIuNqNMdOhiU5iWHoOZnzdahqmV+jYWlK8zSjUjuOiWuyxtcf
7SVakiEdpG/azoAKBBNl2kcvFxlHopVgsnRfu4q5ZLLvvMiEOYLiwnuNuraYnQ1iYkuitjIXCSfj
6zdgkJ9/69tzBwGbGO6tAB0K8dY7jSx+nBROI6uvbWIvcbVndrpiDdbia5E9qQ6vtyNqf5x50FlM
/P7dFLcExuQe0rR9xbkABdAsTpkJ0+Jh1LTwFeOr6VEtrIi2cyTofKpDvQu93gqRInbynmgtJ2A2
tDaWAfr0DpNPPvwNswPTf+3lQPPImbp5AqiW06LbIwyfuv15CpQhhIaVWya30qM2aZfVuZIqRqet
Oc6DJiW3kdozR3zTdA23JZ8b9JrUnqiZ565JmjIcNczx6gJwA0CXlQYwbesYUCVCNRkmXRfuOMN4
vkyqnLbs68v/x4aDSAhvQUio5OCFTrf2QGWRWPa6fKmT1iNnjZvelEBq7U0G8Ltl/folzXf795Br
Qi2DMmaCIdgTecpRYDC79K0Opy8qDkyPcYDWBEsOVHFu3dja5g5QdlQDRdTsYIxBE7Yozd28fhun
T+55UE6JnBA3+K/wlMGL9V418S6TLzlAzvIiLbu+/OiCRe+uXN3fvH6x002OLqRAkiNEDwJCu39K
qg0cO0aVWuuvY9tk64PIpNkWWdaYzOr1S7knnzS/HX42A8wA9DNFqX0ywowBAhYF3qofK93b4S6i
fdnHh5g2KpVumk2cDhsAFiX/I2nYsC9n4akHijXRhZuGti4tGEoegxdp0FQjD3VWpG3v7RQ7h8+o
pvBVJHWWmLbWbJk2QNgHNR/hGAamTYy8Jz+NJJPHw1m54CzC+stMipyxNPGagiCf23NkltOlOFS1
HftvOFSdrDdrAKbcs/lOfckU9XQNhIh7VQbD/BHqpzmZo5pRBUJKeCStD6+vt3eyn807JXgFAHwC
jkVYqi9DKL4D9FQdP7oP/frpWoOgdZqP4AE5mgj1hKBnrEcBKIxVqObKdEl//6kbB9MhsCabxRW+
NP1MasGGSOeWOqKjYOXQENcrzacKtjhtynw6W4Be8+0glkN5nK4EtfHwe/DHtMgMkawC3CMDk9Be
+buxLs0LX0XGVawnNIZ8bk2MDh3QfodRh3mTmUPWMm3kSOCvd32Xmsby7xEaXyR7N2PmwbkXRXQ5
4Hk6iHvVb5y34cvXxyjXBzliuwDkBGfhH2IMLU8whvgC/ihGT37Oukq4B5fx6DHIQ2wk5yLpD7E/
q0ucqWGdNGiDHbE2LR5QRIbsWYUgtZWOvY2yFizQgqRvP0bUr/q2mHHW2CLi7h5Tlb0vGbX9GBtf
N5ugQ/dvyywneId3BGpwdqqvOZESqEplMuY7CxDmpxXcwngBdSkTyMcr29/RNcwfrNXqKQ6KGfVb
rbpbn1MpP/gQ1a/l0o27vlnaPRiM4gHdZv8CxDRTgqzpaefVMIazbe8UX0HpiMsFTTFUv9fWRj+h
6eS9y/n8rUlqRxgccUILI9b6zM2q6n4CgP+Qejh3bkLb8uEV0bf7kg9KP8JU7j4EvtakRdFwzPBH
PjAmWBo8Pxgub+dJpdZm8MvxosAgsp/USMMmybJPQxgEdM2jId/1U1ffr9lAS8x3rIRun+Vv7cB+
7/eL/d1dev0VfTL/YzIIlOrmoLzMpQaQnoILeP0jexms2RCMlQlmglTBhz9yCt+qaf/IVsTVI+9r
vsVpEo5TUNQ9jAOI8B9fv9jLD/r5YhJgpjnmyeFOM5IIdxtqclU9BrYswaTNNnRb+qubssyvR98b
qP8ASr9nRCjzN/KxP3b+02OCDWNkQxA/RWUOQqs697vysa0qClevaCAsw8B/Uzzm6Tf96xh+ekoo
hwAPFMxFT50iXZAvyt0RbNYjekJ8M57LcYFmZOmkuzkp5F2FvtFdqiOr2diFUM3OG3HpQzdNBLu5
6IEZAg4N3nVBpy4qq5UfOW8xJaWv2D+UJcmLiwt6s3F7x3+PUWX1qxy88KqiPfsebz33k8qoUzdO
7dhYIuXxO69U7GNLlgHdm5xZnDMpGmudWh6zOsYJvR26Aw6o9je8z7wtmhjeG7nQn+AfkwaQBrEu
Hmf0aUrgWFLPfrisj9jTsfgJ1qNnHsovx3mdv1WOKr54lpp3gxsz9EBOOzj61SKq3evbT5gD+sWb
kQYcbPAgkJg4xk8OFGAnJeODRD6imVLktNO6HDc/IRUaV8WKALxfIlNY9vOAEGdTMu2py2NN3+p6
bALMRApsl96tTuwfvXWhcdZF6muZ0k/fdrl1nS6VxNMMMzWv9O7pgRbvaouXtgkYjC3btZ8Zu2S1
RpGvUfKOtHGsDyhn/lqCLIV5iHdoTqf4mMZ1866Ea9Hv6khD6i6S4SMIovy9VSEPswlmZzp4bg/r
wevS+H4qVJJtk9bmAWCZq83Yx4wAZNaC8peciR98YYVX2Lf5nxy62jgt51gavJEdmbU7XVs0W8hB
A6pZeSqeM9AS5r3L6LFNfXFj4QH50KTesuzytoKZOFFLvHHFf4flIjegxHFcD8jnKZbLsd2iKzk6
f2ZN5l/QNoNGGg2LdUmjMjswiOiJ9CLuHhvPLh7SeO6v0lTZ73Ez8w6vb63gz61Fqkn4dOHGgfw+
BZ9CPxA6jEGyxTMDBur2Ovpad2syQg5aMHiy3ZwOR1nD9O8FvUIccQMBqCxOd/RJlEL/1oKm3tWB
/Jz2GEvQ+qWFXlk6uc4DBNJbz5tvgiGJz2MhYyhuePFMG0RCXJzukPMcNh1Kbluc9kRzZrEshyzv
rWtUniBD0Mqwrp6wbuhRcJxlIm2QCub03tbof1yVjHnJKL0SqjHmlRWQkiljhsvQ80GMlKbkIvpD
787VeVIWhmEqgcuwExkXbQO6freeSitGriA4ZyaazJV6BFfjrQb7cD018Kk2ddoE4LhDt3bOAadM
3ZkdxO6nvqvTzwM278iku2hp6jGD2//0dv7Ls7hfmp//7/9+eywxPUwhuqU/+hN+qTlj/3eixc3P
6f9c/5zTH/W/+Wd/sS1szxg1IRFDWxSMzd+5+DZeUGCgbUQyntXM/0m38CT/CDqFibUciS94qdAt
XNMT8dClJBflu/0PqPni5cEubCpeOuyI0tFJQgn99LjFgQ8QG2P/q84d0uWbX9NMRKVW9v7eTpQF
qcybyCqXY4ryZWmd1y5G2N2WsrI6okhjnyF/vTx2XjyUW8tuxHZmsLNezlUgf7ZdIXcg24JubY9V
HyORA5OvmBb/Ax/mGg5I4A2u25AWYoMIg2qJqcv3UKuzRL2zwSdwJteDmdY2Aejg5YNXdbQygmns
7S9IUhh8zYqCMboeSW1XVMuhNQFyk9h+jKVY0Kil15nPyRXWBW0TfkhciT0fI3j6u+7eKf0eMdus
akp9r0l6nH1IS6uwP6WtZE6LBeQYunBM7LKyL1M+daxh7PZHYunuINtmucVstkI3mpkC/zRYrPVr
U9kyfa4a//sBvv0BBiCQX/8Av0CRPvn8zD/6ixXu/AOKAZMBwP+/9f3/ksKQ6h8S2LAPnprWpoDI
8s/Pz0f+wnwUNlkOeqXU0P9kO/n2P+CFmK4kE4Bnmvl/8vm9OPYZW0CZoXdLoQ4cnQLmpCfijEHL
gC6GZ4uES4qIQizeeZjb3IA+eWum8DLFeL4WTXJUQw102znVuYRag29Y6FTn0kNgmlEGgnSwOR8W
VuCqbde3JMFelitP10OVi5QGhT4zNTl5Nki/rmzQLjyXDJvizWQ3FAsZdEOAZ0gmVj2gxb03h879
ZITZ/7YPbp8zp7/zal42m54uDnoZcduQt2f6yC+bH61la2jnXXW+ot79WNKoC1CcGnHNddb5DrFs
9RC59luP/G+WWLBaptNgvCROp1H0JrNuCiUOx6Uz3+a0Ax7RwEfSi7Ex0v3/sewa8w6HTcrl2L2U
oac9nsy2ZgrATh0Ti9YAPYAQMZVe7cvQQ7A/GoMvry+r88e6AgqHtcN5pVhcRIRfruuiHUDn0Twe
h3pu880QRLDlVroC4yYkNUKDE6egm7DA2ELiNnbXMiJ+qJpGTnip5mu1iaWWd/3iumRcoxhGetBQ
wp1ZzZ8XN3xjF9CrP/3AzGDE5dsHaYg8xFOX/2/CM1Wp6FWX/XCkDRr791bpiuhSxwVuTbB+gC+2
sTNdQD0GFbfR5Jb3fIPLnVFvP9JiCoKLlIPhvFxw54g93QUbZIvZS1hE0YxcEXWc06RMLkay6ZLh
/OjclLBZSnS5jNLk4GoEGC3aVZtpcRG6bsTs3FidBAo9SBTvG2vBbcM4P0SwdYrN2o21+B6OXrPs
ODbncR/mrZtddp6YbwOiRLBLwzFXx8werU+If6roru2gFp93EZDaaiP1YsU1AuWJ4/xkl85pvHHS
NJuve1+N/vu5WqYrIIzoMwYiA46PngbanCYQdEvJdzqPKMdZU087I2+7EJRw23wZMhcRw872zp+l
1+ZxbDDT9sZbW+u6BNtpcE+znak9nTrxLewwEXlWCivHCD+BpJ/vrNZy7kU/hLt0TVFEQ5i6Qh5c
zV+CuucMRxAbxNeTP8DgU8UC6PUnaEmaPFtVafTgZjmKdUM4oWjK0P7mSSYs6nznfkCb/W4FZPkw
tTh2BBZSbWms1b71JvTVljpFskvNFuqgeozwH3jaq0kWo4+XeOk0XKf5TBqS1TS5KMGx1VjGRp9B
skRjDUHNPLlQMkrL8xxTkpKi1FXhsEdSLPmUMIN7oPuG4GCfDwj6QgBin+B+5H+rn0x+44aPvy3V
lVo69dAUJfrafpWyM9C7sLY+kIrLzjYWK15Tz7doOSDINuJ0DPDN1c2XZ3eDuGbSfwCBy0tSieOd
D/jLNpsJUPldOvmQQUMjM/i0/v7c40A1hP4+yaXcqRAtuG1bKfvm6Wf6CAvAEj0/4saaHC2e9X0i
+3E3QcI4wNxkAyfm8wDriM6a1lkUXToahPR21NNAUTqH6o4WstMB2iWXGugxhnZ207eBbuDR0MOZ
PzSIU3cxPW6A5ocis5dN5Fn8g6pIHfscwIzE5AbUKDpwWvepdbbYQ4a/ewwW765pKlFsklqIZlMl
4M+v3FUtX5AAnh7HxWpxoEb+ML2dFsudPmmWPznTKNedaaj902a183pjhdB7a2DtG0uMgnXW940X
JXvA/DSKK7UclAfIPWnn88lr/UMTZt6NCOthixHIMQKYc9nH9XwflEP9JCXLa7eWG1/kDNdk4nzW
ttvummQJNv0yO+8sGrp3U9Ii7tSj6fK193MFh87TaC/EKp0vR1y7j35Yx1D5bbcm463Xm7Ab4kfI
ss4NohLygko/uAH0pXCyWP3lyqmmkhc+o3myQZ7f+JKv/aNKE6Mtbg1UwGxudeFH/Vyh7TZqZCCk
jB48+mYVuiv+xz6JLcA6La0imd1ksHT9Yzt5hGxHGk+K7km3eMmFfkwc/rAhLs93pmeABgTuFukx
sCJO6RXh6sWoKwtGgg/lkgzZRsZG/U2M43z3pH9Oo9m5aXyn+bLofC4YT07fgIXED5kICJiYkd9n
mMF8yvCIhHNnzFgimxkqfj3IhjbKxpYb1uKOY7S+DwQYhzTDe4DHiA/4GITiQgDIVZ9W3Thfy86y
1vMVhHh4zpAQmM/WafR88DoH/7HA9bzvazyKYN9ViB+oJrqarCa+7XSWIAGp7ukytg9F331bytlE
/9R50KUawFmzTjiREudF46QXmOi5XwcrGnBcx4zlGryw/ACzMKe6GadzELHWuPOm1tnyXUoUueou
PCjkNN7NgzsP2JK7D2USNjsQGD5D3RJvb39Bn4JhiC9G2EJRdVOBPPpeOB4/33BidR9FQj/5uwqn
FGnZtonqwxoi+bjBSHXwt4j2W1dQNgeWroyazYoSx+dFhlh1Qv55JxNI8xmPdCadBvGJxY30F7DS
5CKmu3/lTamFJubIa20hiO9TAIAEC7+IO6yJ9II8WxbeWPPCsQB0smTWGehH7BYUSmyC8JbDxTay
W+wUcGqgnGbLbCVkSKBSMBW4oYgllraBS0zP/j97Z7YkqXVu4Vc5L4CCzcy5hJwrs+apdUNUd0nM
M5sNPP35yLZ8pLYt2fe+sOxwqKpygM0/rPUt8vpeR4yoe6wK/rlXfDVhUficgyVwZrRmK9Y9bTA6
AThakfaTGftnp2hSMiqMnPO+GxEuJiPAxpFsCkCgqDPOflNoYeatY6GMhwk5uq6Hx8vkzzu2Au+M
ALw7EBIG3Ibx+ccCXkSyveaYdFFUdVtU8LyLmWFXcj+oygNV2ijrrKQEpVTYRMAghe8/KxPrOpLS
jiuC5ThBSauHsE9tzunyiptcFWpEyg4s5E4paDtCrK4v6zsPs00yKolIW4GrLsmIN20BD5jl/nQ/
jNS+pUcqgliKilQfZTjkesi5tKaLYMRjhsya6y/KgJ1zZ9greTgtG96rGlfbSoXL33202qboeVo4
gwVFuEjilfmiPH10XTTxFpz+vM/aECPw/ATD2P7iJIKDde4IssXoNwElKmS2RrMIJqL0yDPnJlkp
1mJ6PeeiK56KWtNPjUy0X4eu9feJVP6EVLWgykk1MoiMiXRHOAvMEcLWH8SziVGgCWLwLfmuc/H+
8UrS9RNta75xyKw81mXjkWFUdhxVT9H6jeLc42u6gnGLnq9REy1dw2Agwtc3dt9o6bbwYAGupgbL
JsEdM4d6ckxMnE8jFj2nQQ6bxIn3WOSe7/CoavzFZG8Ut3O6Q+OpxeIl86iW4/2kBjvAjUPWl17b
21S3ohytapmyYAJ3qpzZ2JeAbFg7Gol+Yv2R3JrlMIaQVect/4FZyML3VGRLc+Hrbx9rj5MlR/b2
Pml+etIGMlox2fHomb3yEBuOILeY4C0ErDbvo3U21Qqn0F3/xpqZbLcw/GKPI93sYrljOQ97dhEl
ikzW0jWD6SAeCvGI0xLXAmUIswtQMuCAqUiQKue/wna1d95YR+Qr1yWZOC3qEe5AFXIq/FoRT60V
850/WerIdU1hIFv9zh8a/c4uSfkc9TJ0+rk8TNJut9TG0dPkSCJBeYhuQOyo7WRZdxZilMtkyOqB
b5vncjUVJ5585d4C0s3u3hyYozrb2C8uMif9yuSjutPnJn6BTCq/dLVh3tZjmdUhWXMUkFO7L+AR
bpzx3izFI5VftSVyVv/VBvV9Ms0rkKnEfEJYZuUqK/IOWrb8YrcOX4gluYV3rGtVsgEbUtQU2toI
5pYncB/MSKg5QRKdE4LnFafhADJRtoZ2dBASNJc+L7hIy4TTJnU6rshljPjuI1a5/f2cqwwVI2X3
5s/bqLVL+v9pP92pxxyLFReDBWhLmJf/2EUto5H5PPGaQ2Nfi37MbQb6WK7EP/87/9D98IeQqjDL
oO0H1L72q7/rfkAlDzKrh+ZQEMXJ9tZ1xXO7OucCayIqwSHlKDldj8M//7v/0Pqvb3A19YLIXuEW
P3SJtOSFmdVTc5iywvkYNAQ8ZT+RlqXchPOLlKr50XESzuJ2XKvcP//rzG1+/HRRDdEVc4PzIn4U
q5H8y/REOPXhe0Df4nXGs7eeutk1S2+IG858HenTF3OtvFEVcrhfX8J/J3Z/ObFDGvW7b2vzMXz8
z/dw0NuPkmE7eOgh+Z/wo6uLtPr449zu+qO/ze3sn2izkAp5aMAMg6TP3yBFmmcxAGdFhMXKYhVt
rcKXvxFtTecnuHhMYIBusCU3HH7qN5yj+RP/KjGghuljxgeI/5+MzaFF/HCRsZymSAEKscoUoYuY
f7y1XIRCJWyP7AD/eK0N/DwBbd3HVOXG2Pl4NcdGr9E/uAkJagZG0yMFoY+jc4GHFRrKwXVlLmC5
tlCL4vagFTWSvqBhYKQHOk0DawsKtTkiK6mpiYip7cI6DpYURjAbWfulAN8FJVJwtKkMtwOPcGiK
5eJTFyURfNu192z0hRtuRJpPp1gJ74y9zPr4Pqfwab2w6kEzD2QNOnZvwETpthSW649coeN5ls73
Rku5D9SQP6yaNWkI1+X0GE82TQD63scObPsxyle+vNlMLihwo8rrU00On3cCH9R/9mAtnotqHS9c
k0VFdU3Rs8iznCEzyBBtCG+j8dfG2TBishKEKZ7XzcWHawAmr1kFH8wxMV8WRYVXmVRwvalTWjpl
LzC9ILIMGhAnr9+TColrbHocDBmVIgVA/5l1KZ/A9/S9vuDOj9aR1WR2/GvXs7Ck0/yY47VkkTEv
wBaKV4sxZbrXTdI4syhhziFNB90NIGDetbVmPHi5CX4/03nv/rVelEo3bx0rLYkgdKkXciosD4h6
0IEfuGRROh6xhBJOvJbtPCzXzxP+z1oJEz/obLiu+X++f6EF/rZuQ5g61ZVcv+FrxchX2vfvzlyT
h6iaiLHDBFC+3Oh9kacPTLh4C/Wc8VsaKpE08PqCVguOOiMfRdraGOCKXesbsh/t0NXIIN3DtAUe
0ORlor91+OLMHdwtOIZwcH9NkNxwXuKSf8Ud9zgsvb2bq8SxwiJiKAOJMXtwRwsUIyZbHFeiNJ4r
CpQv116wtksu9HyyZLSjBOA3gbbgnzwIeG3JehENOhTlxFlzTZlBcDUYXc8365uDa26vLSLDfWld
yLrjAY2jiYtPM6h9o5FlVADUfvhEuUUWAG5iohPx3qgNMd58wTUDaGD1fkzhnmcN9XWVQUsIcx+c
3pZRG9eb4LY810RgWwc3i8yjlo0U3TNM/2mXLpJatcwZGZng+UgRVCVXTCQk6H+qqBivkMZ3N67X
CZMsJmVrUY/sjZmhLZmRiZ5fNrQ69jikPVvC6mmix9HfXpvkriFl/noJX2voOe/rm3q92bP1Io0c
2mplSj6Sa0jINWaFdGqgzwm4eYzmlv/6vc9a8e1m2BTeOiBbB4vfn/jXWwJvOo1Xutbb1xqo1Tk4
2Ga132NJWhsD78aRjni2VB29autoMWhokoGBtnEZFsTdFliKCQ1ZDC/d4+lQY0C2KG8HezpG9zUS
tr0OsCCKc4FpJta7HrtbvL2O566t30yUghEwpzWJDaz9M5pH/7y0Dl/hcM1IqxtBoGehkXiED6dP
zPvsGlehdf3MeUqI60YnaeXg2J1OgsraihK4TOOdABKfED1DU5y6WO2WfpaYH7gpSNroSl4Qbcz0
WBq1Sh7nfmoucYbGOp1b+sKZexkcgHX0qpwk0RK7GyNAfH9HQumRPA4EdkK8EM8DfnE+Qfqyx4YL
PQ2MJG+/5HrUHnzR4ynCZPd83a047DijHaq1bnnqyWaxqKc5Is2FNzzlOVeU5hNjvykMBqKRviwN
CCqXRsisSnJqoZyk+wx6yV5auHvCUdEsAmcizyclPWwriHsyQ5igXOAkjvC1dj0Jwzopd8xgK0GN
Jwk/yHCmoR/pSqbCpV5zvYie1cA14w9ZHXdE6bTiNl2TXEtWNCATymbNnPfXWtEVOPxOFo5XohPi
qP+M85oxTWJzdaNcfkZVxWggtUV2YzUSk6Nwmalfr3nLsPghfeA9h0a7Xv8SRs6tTEf/lS00UyXE
wfyJUYl2eBixzU87RI2cb/SB3gaU6no9+jOxC03rkW5rLnyR34+0rBcU9PR8XEp2xOjsmHl9qwXt
aKlu24AZvrcc7q6iyP0slIqPF6Xw7nrHlaNnva6mCRFOrd0lu+vJShgh3bpKvPZVpGZVvaqYnM83
+5pPXFjrKSVGle6tZLA/MDcx4cbY+yASuergUf4lk3/sGnT04IPQ2gS4yDmBfRrjW7XYHGQF9QNT
B+i8IoC/UAn6+DkBaQHYrVTQSiQlRBDXFeRQp178m5LRXRKg2mcqhcHALx6WrPgl01NAwiFJxfEr
j1K8vwNN28mqdO6afJ2Hs4+Hfp9wxDD7VIadhWbbOZ91Vb7WsehO4JikrsAaqJUsYXbPlL7H2l8f
RL1TFc9kUTc3PGO8e4GeMeLeHc1d10JabYUYbtkMkaAo0aWMXpy8pCgf6aqq6Od2MLaaUbfw133E
XIMb6m7GPYBiR5SaOgzDfITs0dy4md+V0RpyXYe+P7yBidg1yJR3GjbIe3yjQVa6wNEsW3+bmf5o
PCdggEVHIeqSUzXjDrccsLFMnI1Nw0ZxYzjGUuFgYPwVOK2VhU1tlAch2hhJstV4oWbl5i6vjNEP
CNrZAbZQJzvDWxdqrppH7HwMcOFVAYQ7+FyWOPN7ib7LcBP/ZjCt5c6bVk9/hiyXuOIWXr7WwHxV
4sUSY33RdKe6S5fcO7lGxNUr6HidxKvBt2QNvX0zsV7JXXnTTaN+YQulY/nQ7OmjgIP0MrvlC2Eh
bXEuyIF9aPOk2mpDr7zQWjqfVt4cf+3ZGoBhArHbK99gtC2MbWu7KbyoudvNWuYf9LEdN/M0lGz+
mikJcaSwnCPO5uJ1STZf+LycT2JLqt0iVcRzPNXJQFcvvp+B/Ejdbu9G6mc2IwRpZ+7XGMXdY2KD
PhEFQE0zdyGNI8N/6HU+VsevnK09ldO3TBrPWuZGgVB9f/HSZHkoQTGFtSvLHaG/1j7yR/cMxtna
xm3/3EKVyQLUwi7i7bKtL4S9cESRoBTaKmm2MXXDSZadOLHU1A62X/dgPaR1rs1FD/nQKkjJLcxa
B1D11LbeVvPReGScWCg2y/zeajMyhr2TBiLyjofATMk3VjvyfpxjASXkIa7N0KzM6mCg4dh76xPC
nJtxM8U+O8KcL6xHOfalj6Z2kzWdf1ky+0GmpYHvv9If8y7zzvVcDC9A67TzXDZFy5rB5ecUtevX
YURNuInICzgxjm/3GSll7xnl+zroLAkpzpCDPxsdIwxXmdhKHFAyPHndTe5ZO+na66wlL48KRsSH
lpfMkdZJnnCLNWe963eay2UTEOSjB/MyyL0e5UlosyMMOfzjzQJUYh/FyXAcK/uzIbVmawxiHYvr
eP7B1B1nnDsfUac37YYUiumdPGryWLWOSjDVq82c6/l2aC3necWR3HLyd+CcULkR9my4B4Y15r5M
CnBfxgxoAMO+OidSAyHSmJJkYw4SWm2surb+SDB9IbZwLrqZWryFovyYRgJ1KE5ZqzjgvR3jTw7/
eJdk7FFYpjabSBsrdLdJhC6nJrZ5PziJxsHUpc4BdoR61fLe8HjsQb2BiC3Q/DUDHUjSbpEZ1Ze0
575IzUG9NkSHHBeHTY/P+m63LMMCNnrdL2RuunNI13jBy+xxiRMBZWmnFALpaHCQEpb8DQVIfGZl
d5uMQ/+GPVrelJ13cfKKGSnVwFMpDf3dV73TBZhro+GUtwwY33qnkfqxzMGRn7RWLIY8cGr5O8Rh
slXsRjUqp5jGjRCLwVdUs2NNGwJ0xvsStQWHepRloB84vqFxRjD42Wrs3SyrFzs0CkvTg7jXdAXz
39al+cVLSp66xHTPTuilEGV24Lvt8qZlXNruICIwndXtkuXn2BmM+W1JDZpcw0fxZ1OIOKtunLlw
U8wnfZVGzIYSz8xz8azhw7hHAvbbcOTb9L/xL/U/0Wb8OB2idbZp7FHMowChjf5BmyGTiJnbkGaH
qPZJakImTBT5Yi2yf7dmtAQ7qwRBQ5iYTcJsgOb6rwI8BfKdP0yIeAXI5/CnYlsxeRU/zKdUAkV3
MYb4YE/oA1gFrkJS6YvIuBUo02KKzajZp2aaxDdDEy0V+rM+AkrGWBvAg7gFjEBV+btByL/3saCS
QQlE2U6Q3o/ikcqUEQR0Kz5UGqVfO/H0Z1NJkDwVGdHTYPypfGRJaNlGG+Pmr5QdP2pX+DD485Ad
CeUiJONHIWA1u7msRvJg7JnMWNbI4Fh54rReCUChTGZbo4qGJfKcu5F2FGv5XVmFBdKc5YNxZzkz
HPBAJ00qOaCghiTXIiv89brOV2i6/8on90++ROQegjEqsz42zT9+XqMPwMgEcHSoopHsCLa14DsR
mcBq6tAWkA/XlNXWwe/+QZrP/NgOzCpaItif03qCRUQAzp9/gWKd+fx+rIsqkxrIMldNlyl4DP9x
JqRBT1kkdQPBEORi4MJnMz8wknoF4Usd6F2XTVAf+k8EK+axGekvKoVMYi86Hslh3zdrD8Yn++cv
zPxnL4xsaqJyPebN/zARdVncdyUkpQO0ESrUuKb3kkBEVedOVEVmXz01SeFZxxkfGvMEpJ75abSM
8VFao98HV4mDrkPsD6xrXSwwt+6v4d2xBZd0l65aC/DIaw2/znpQGnBna2XEtCRn4yUvM4PBz+9N
aVqq6VEu6xSgmhvSMqNVCkE4x3S/1nEfkBi5tpbey3OSbhs6oD//OH5wIkK0hG25Ku3xPTJCBKr6
x+8pEVqbQg3S9mZicwYa9YIEwcP2wTUz8eqvWg3USKP2VBnrnnoqE17WnMrlafIdPq3YFHQn9oJJ
MSss/icfFv+c8JDG2+t4yDTWKbPqMqY0UrGmP9QxE7AQNOIYb2OYZYdlXqVhOBMY3jj5zLoCG3L5
eX2z/51E/8Uk2kTAy8z2X2tHn3/BToDP7JffD6H/9lN/G0J74iemzzyimBz/Lk7I138CDwkkm8mv
a6501N8PoLnFsO0yxsDlKtax9W8DaOsnIorJ4kbUDWKbiPr/ZADNgfLDYeMBbicODUcOCnJI5T9c
xNj32KspuzpiIO1Fsx/dKM7GLawoRWBLqXsiWG8DdR7WSq3sW1A6a/XGkNQ9tKWVAquJ+nJr2K64
7deKb1prP+wI1SaOnd4OVYeNPXam95L1Y7uZscF9+GsNaazVpPRthXaGCtON3E9ZNdSc8PD3dlrF
G7QRbSjW2pS6SzLw0nWmsSal6wKAZAdRi7FS5VHaZnP9btHmM5Puy6OE38IswNnJHtmSPox6OGZp
fCfWirma0+LZSEzK6LG3KKlNw6nfEyHbvTFqy6m/Ft9sWZ2v0bUkn67lednF8aXu5uElpwM6T9mi
P0rVGZuqcB9GKfyLDi5245Vx/DNbPwpEMx8JUJHjBq4qu8BM7/aMwKqDStFdrF1E3dTusWOev3O0
HAk6EvU7vHmnuMo3Nkjie3IA2IQy6AzErLxtESPekWvn0ulmtVWtpYc63uUzYMb+SJKmBhFyEScr
T7RT0VcNEaHtEoJDXTZ9ptcXpmS0TCQa0D4pJZ8FWoktCHv3HEelvbcYuu6M1rT5rf3y0IxGf3FT
DVQODZqzdmpzLp0tfll0T27ePyxEpTIAdoqdg5BzozX0e9ba+UlaQMakP+tl2u9FY2YHOcbGniFj
9DpCq9xlQP0+vZTz6iJZQ1xiu8yD4tp0Ertdbr2yGDdp4nkHauNuh/4j3cCvMrZIsHnyrF0sXav/
1esq9WsMlGy36BXjiDbiYc19Yz1Ys+qL85w1+DdF9uJN9fyhYR9COLbY+oVQh/HG0xjr1qVO35X6
NI5NvNpp1/6bgEDvFK09Oczg+sIi8IVxNw27ZlrtwZN1/kBEM+F5lTneAbxl896mzoRplllXmIJV
cQ9Swwqx6/q1xqP7ZFSwrFMDh/FBdh0kLNMamrROF4zroKFdZw7MTbKwWnwGEYYlScotDHJYTMW2
l905wae9KNNgMpbyXtNI8rXRzyayai+dY3zURetG55ZZVXJDJO6bk3YuBjp7H2me0I49eNbI2BeD
ySgBzSbwoW+Iw9p0G0fzcreMU3/fS8Mrv/kVSpezBb248gb5YjeTSUCMTDq5LXL32Yr6bOt3kr6s
qPyTql2jDPyop6PDxd0w2dQAPeCeGuNDY7l592IUClbixiaIaEBuQrIeGrXe9noN6Utm6HcclHzu
5Uj2FIzdymG/G0c62TOtGkKdGc5ty5TDfSMww2hZLxHM+lBNvow+s6jtGTgsfsAJFyTC0jCdyPqJ
K9fOmdoD+KZ5s0QeTuO6ptcHqOeuFs1ArKpRr492XSgtqD2JKfi7MDKClGRdQCatAjU0u7lwKXhq
fRbxUSQDE9NqbWuqwbU+Z8sc8r2Bmrk5uHPrkrGspX4eDCKKYGrZOX9yQRDFoHStCswYSQW6q4Ji
RVeM1L9nwg55xHTc8NeY1DJOMzMYU7+q75A0wWNDD90m5nDDNMzWicNhsh67k8uqAgr0HSSsaWev
awRdL0YmIzafcegw4H1G/2/cdJhruiCvO6YES+mrPe4U51L5VnvMU5/7frKjjZ0X1hAakmBGdoPJ
vnJHb18nXX6/svuXGBQj5ja7Pk+JndxEaLF3tVpxIoXludxUY8osQIK6JubLMdZUyb2tVdhoiTPj
/IqddNsxNtF2GFv0J9Kes61j9IsIkdZqFLlVdYuYqn70Rte5Bdc9frEzFp5AFPHB0/BgievEhg1Q
vB86tkfBskjIn3DkIeDO7VeeUd3tqnBHHRAhVBxT3QsMvdWf4gUkI6Ji78VGu/lgWVrEw6EqjgUq
8rt68FDSwDY9jahovi0ske+BOG5614mPHJ3RgYGL/p67OIeR9XlfRtFCEh0gqx8yNgc3QA+XC1to
L2DelW8aNWc/J9hwT3Zbj7eocneDVlnBNOgLRngzITsqG01rm80RJDc/yxDX+vuezDwom/VwhLgv
qeSrZU/Spw3/TSgVLr2GVLWokztWVER3dpPh3TBnbthPmPam6ZjOK/4+haVlB4bA5wnCL7lv5liF
I6zkLQDDeE+AHeJxVioMg5SVcDQu1rvJeJdnISboD3xKwwXTu/hlBLC5g0EDhEFE4uD0rfkGN6zZ
EpEXbxo2FTtkww2ayKG4zYFmvkruwwvVb3fPdN4/I/aqyLHCEkZkDo2omYy3eW0zojMK51As48+t
Z6Xn2UqSt6iW+m0UCfbDqCWpBIh7C6RX62FdmvptPyXlsBITvXvQItMeOEb34blV2PZOvjGJTnjo
eiaJgVV6zrEER/xActpyI7K8/qpYpgfNVOrbfK71I/FYbxGpFaFgQU7x4KKeJH91Sxpf5wW6QHNV
RfrW6uLmYqepfmNq2JIDnv7ItDSz2VgisVBci+EFwxh7BtmjI4QRO219+BvowifHD1tcJSEr9DkN
qtgYUGThWHVoax0R89t0cFKmx01N2CH2YlTsxuRRU7CPQ8RIdAZPty73S+4qJk/uk8m8EMkWKuc0
Tp57Z27Sh//W99WQDvNf1Pfr9AjZ1L+u7++S9I+2zO8/8Ftpr/9kM/DQdUzVXNT2GkP1t4hk9CXU
9YLiaS3XGYRQw/+WmCxIzrINhiQrAQy7JEX5b+W99xNqEJ2WkqqTH6ce/w98YT9EuYBTgX6Ay4ba
e8XN0YD8sUWNlBaPSWXbR6RhTUSiwZI/JkUTnWyIN6E52/2bb0L2bjqKEqGm6AR1vfni9/r0YlcI
P0DG928Um/1bjLhs+7tP8t8YVfHqDJ23zwsEMer8OOjwSSKMwCBYxwxE6IedWNN9ywPtXNkTc4+W
pNy93+hj2BPxZP3FmIz53I+dD3Y5j8bddnTXc676n9+r2ojjRfoCh/QYxdE7tHT2iwpY0yX38X9v
nIaqGDY/J4U5O+7NZPnpi0D/8fO0VMunK3tWJc0yE2pEWb6FMlrsByIF8i3CVOeBXJBmDidG8cdI
lcOZGrjZWXpjYc2Rq3+tBGOMyr68S4wZP4SLhho7KdNfAknpWaRcyjmg4NJa8iUoLEceql9ilssB
CHeSG3oPoxYycDjEhXwkhrBiU2JVLM0H08t3MXLsJES5x/IutfQ3res0PEDus5yWrmArBI89cJ2m
uu0sBoRask6UOxCdB+i4UZhrixlk9Fx0Ja4a2yCOnCRskiohc2Sa36ts1etrvS/OtsoiPEbz8Aa1
kcTWVC/YKugigSnPF8C83cznnUpgOk8+qZ6aZag+0B2jfVzXOA/I9lOxyeIWK26tO8xr4dxtPNah
WyVBK+xGzH0zQDPXwXDnxVMQta2DxYlN6rOQNfTPwVXy6HsEnJAlWA2PUyq9hOwd1UckYgh9x1o6
8oIqGpDZBLbDfndrxYt5U00di8w4TjHx50znA1btFl9rplkHezQMjeKG0byy7Xc3m71tYjvVfV51
046HisHMniDxwOqGDEOaPkHXzbJu1w0EWkIM1/bIHLBkgADe5Xq6A7Q6brhT/SNW0vJxwRqE66WW
2WnJvGzj2YP7gXumOSylvmz9ohkOc9rVy25gxMxjITOYzrOgnkg3aat+T10lYDp708knQeLVzNYt
gUpUExSunfxiKX28gz8y2UFaueUvTLLwsiA7N4OW5ppyXSBTCnBZ22bguB0wJe69J0weuFdknkqb
OoV8HvUkOlJKm4DKth5B+UeE32ZTVInAa4b8s8oYvHkw97O9odfqE7lDKTBsJCXIgwbrs37pW79L
P8a0KJqDXzHjuuv7LjotcjGPhW5m4/vqL/PPM9jbjwXhrwwjX04dd0WrDd+qSGbFpvOHlqKWBNR0
OxDvoG3ryJsv+KWqGWu1O4itpH1Pn2aznmdw3i0Kci2qmBjXVVfGmw5sQ/MzAh8s4jn55xWzXrti
T6ty/QCjO+FRMFTnLlFps2lZUn/ATTCP60yVS32iT0BXkz8KgJcchuzfSXpPq7tske6tIevWDzXD
569163ubk4guPVqEYsfaR+vs0+rfhtTJrKBLR179FJMi3tYEBqe1algV2qjzRxqAwLdHVomJ4kbe
9iyaARnpk/yqZ53UL1na2fqtH6HnwdXV1B+INnwKQK0gn2E9yn3eOZtbdqpb8Iecoznof+yFxvJa
9KaW1mGuQBD2+ykyomLZ8CQQ84ctJcu8k0epy3/l+LcsriPaHWqdWixqfK/iqUh7iiW7+pDzQA86
d0t/A17DuW2ZHCH7hjGo7ZRkJxNYGpj41jOKOzRe+LMAqEEY6kU2sQaNmfPXNTdWGnnFXWcXjHHQ
D9b2xkNhcZxqdzBQioG6PJeYHBkx8Aq4dssG9SOWZKrqtpsyFgl2JDdV37k/s+9TJBunVE1hQW6K
2NQY6fWA3a1H2Ebrqi+10OrbxJn9ckP0SR1Enm4dYxaw25xwvK89FR050s5xZJtt7/EmqQfpFGax
0XIrGvce0g4rEF5asuyvfYJ16U92gmTdC7OkiP2tNlfnpFDoIZBROEjTpP3Nxr/HUNoUCd1Svs2M
WlvCArPA2cIleBMlY3IGm971wdCyaIQt39hgGDtB3VkMR2gui0ueSUR0K88ZUk9MH8Sv3yJQx9Lg
wia1+95bhZcGqbeDW837Spkzp9/oZN2Gc5y0+9i2dlPEgd+XZv/238Lx3ywcfSqKPykc8+IDLecf
xcmrg/3vUAHf+gkpMecFzSAcLmLZ/l48MoaC3OE4yPtBNq2T478Xj1emx7oaonBZR9O/FY7mT5i4
bR6olLTrz/1HhSMd2R+rI9h0JuwaykdeASLZH+fC3Zh71eSI9mQN2gQgrdgNLLF3GFe8B5s6gKmJ
H2uE7EDggLXROVIj4dTOYHBcvVoTBwCKmrL002ivSQ2ZkITffOPhYMzuB6fqfsZz4n6xF6c6JSIu
bgaVGRt/9TYhc0zLk8Elu3NykneGMavOGcFPqJGTpubMl82yL2exjxmLEZNEtsSuRN8GDx/XlHfw
9ITt3dDOzvuoJumBt7ZdFB1pcuYOhEliAvKoQtJ7PJ5Lg5a8S0TYUKa6Oo/pj2XunJEeJIAlgXPq
VshdniYTah2W4+q2SDANuDuvLZaGhJ2epVwycQrBeZozKzqAoDM7/Eh1S7QUkeSWDfe/NWAz2Rus
vWV06xkLNsAgKvg824BMGMkSPyJqUG3kCOafWKpI6N+UKnq1bPMktampUA3Y6BkqAhXysJSQugkE
kahQmNHB+AynwbfoHBNvaS2xsbPGWsLcIbejCelmjcRlGAbtbsk+kcvMvZ3DYY9nm0z5OrUwJ1lj
vDfyKepuoW9pR11V3T1TEyKbfM0M1GjhE+oT4ENQsfex3RhPRE5ItFS9jhsRg+kDgSz2zvGb+YM0
rXyrEAuHcz4n5Lmjzhrx8547LTX3dW+VRwSqcp9XYzsEhDzAVYDVfvTGKXRBlu/KsoLL5yTxnQ1u
PxyTYto4VpxvrIF6JXPi+tAvfvTQlap8IyF3aII8KrxgwbVzV2TOC0En8YOJXOheJaP7AGlu/JIQ
q75hkhWduiaZHrgeajR9dcqTcYruC6Oe33DoaUDRpaTUQYm1USJ1b30/j14TZqCHKXG0O42l+hAg
LfJ3o9uZ54hkrr2GVHrZCLfL51cWEVjCosJ5IU6wekJ3mouALWaMMCprTbIWSlamYY1M4Vh1bBoC
f2CHImU1HBUF+h5md/yKi9u88RcX5YRobPXMQrKnJ2iw6JOS0hW/MsKhEDbdBZ0Zur+KcX+9wKw0
7Hv6OVYLyn7OWibGmbTMwDIn9ywQT8c8JzEJwluU4x0qdeNGTFN9wIGD/zqb+a4laaMPVOzVK+EI
1R6GffNV4VEXbTeGWLS9E990uZ0bsj3nvvEuC/r7hwi21amypu45FubyLtFblmvMuPEtqzv9Rlsq
HuVta7onVUz+zsqaX0a/jQ7CJqg8IVqKb9DNnojylO8EghVvMwXWm6mG1A4BR+dvLRyhjeJpjJN4
6PZs842t76phB9TqRtUZgQ0AM/dIk+a7yq/sk5p6n7y5Gc12wM9qdyIDbrXYgIFoA/T0nrCs6cRc
n1qzjnNmroKpbGJ7WI5TnG0bS2vnba1kExKdkqyfC/EGbpGEsaaHjd2rU6371YZG2ni1sKzdDVr3
ki7dUwYI8HOy65xCxicfLUAI6qK9gYn27HaZdVOicz7jgIPMmfXRxk3jI0HE7mVWHR69WvZPcJ2L
DRrl+psjGWU2aqnvzchfvrbs+oHNasUU+KVqbuIstl7ixLJDpyVfPVAlS7pl8eMLgaXyy2BrG7KT
4hBvBfNfgrYW6vfuJNMm/uhJGPylUJTK/dieDRmpLQj8aZOM0nw3qOwPJOMx2pyUms/GBBiEWDD6
t2EwICfmVgJVDvX0rqO6YuWle/VDnvU9iqRBsMpf5aRjn6J4R+TP1DwpVTYdjBXjUKt14Z3Hynwi
Zc/7mquStT/8c4S+MHr9bRQlbJO0CKUcKrQPiQ/kxneAhFLnrG4Vuer9YwHimVFh0geGshBGrqLi
GfXNrYsUbw5iaSKNNRGPochLjnVJhUu+Hw4W0lrr2z7tcy5Ruw4HffrW8sx7FBg2jwT29OH/sXdm
y5Eb2bL9IsgCM/AKIEeSyZks8gVWJItAYJ4RwNefhZJkptNmfe/p935ra6moLGZmILZv9+X8UAxS
WdyfcPTRMdNa6lobGGF9r/E+rbqzv2vN+kL3Nq51d+qHcAEzF5BH3lGvhARNhdHNrFLvhlVgfp2K
mqtgtn6mxP3xuXOFo2ziuRbdo2rxJXp6l9LexgQBAz7dS6Slg2Crcd/qXb3THFaWodXP/THR0ktB
me6eGs846qpOBzRlW4cMM9ee7/tntlbeQ2sQ10y5KD4lZLcJzHTNec7ycteRECxubKCjod1X001d
ieSozQqt0gE3fgD6U9/zyS1JlfrzncRy8dUq7GKBwUrpljWB95I4sXXmFQLxpXErrO2GabHI7fKu
jDV7Tx9WfaJ6yggFSlK09EJea13iBk5V1YeBFsnIGtXwZnQdaWevhnTn5u9Dr39kbcOajMfj9QSv
gJasfk7vLK9FCu3rPMJBYYSLqfpv3Zzy3agv42MG/xtIHr7tOkH5gIvgEXzV4kc56f0F8Wc4zD6b
2aWX3e0EKFrfZasPUcIySny9XaqdZmy10sIBWc0fnbCK91bNI2g+L/8q0bF3ywp1gmPvPfWKX10u
+xMEis2enOcRFnCXRzfd4TTIO8dJDuIkcHNEZKrA+kIDuF4bLfv0M4/65CLVDgMQ98CCfXyfDYWJ
RzWT+2bI2hP4kWY3UnJxZMXd713FzQtN2T7kRjpd0T1E3KZQrFkGnX5agXMzVJRq7Uy3rz4He5Yh
r/1JjokejkvqHOfJJKxt0yYHfaMiVhuIxjf2sHY/W9HcjyNBdQpLM6bF9cARrQWLqf3QJaWy9JDK
vcxXbhg0U+5yUV/cprt3BZH5vj2sM6hDAal50wwePG3Iz3gLk31FRV3QQtAJHFmR0khhcrD72sdW
cWOWmvbg92o+FM7oH2kUxGhqlvdaXt1hzEz3uA1ksNakyZxiuffZqbM5z4sDrAhYzWtTRVZSe4HN
PvdQTSZBcM01b7UBZzRnu/sERkUe1yzGFG7rv1oqRHf2kpWBxDMbEGeyeZDlKc8Dc7yfDd3/lCXY
Ylfj41dTaOOoqbp3tMnjYbzSeWiPKHJ+M54U691jViXs3EBRn8thuS+k/U5x5fN/Z6n/2yxlb6y1
/8cs1f3i/vJPhw3e/e2P/CXDU9/yBw4sVpAgjfHNbV7Qv2R4VO8/oKORJMawxUT/Tzyb84fhgDXH
SyNcvIr/mKYsFHokDpCJKMNYvIT/n8jwSPf/e5oStrWltBG6Bds4smL/ktTO+3HN59GXd1mOSOOH
2P5UG3RJ7tz6cWPhVnDarj/UhahoCYxpgLa5cEsnzOOJhttLazqc4W7Orh8YRz6YD5xEXABe6TbU
cmpEyeeQ06vyI9qHmO+2btEvfA0z8iaHg/TCTk89TvBRr7He16mRe9Oh9q1kR+tidi6pGPs2gW7Q
3YdX80Pb4tTK8ZKzm1ttUNcJ7jV6BB9sRN4DG+w1Mv1C3JJCQhOsTBrvGXA6Tpi1aDobmcLSnilA
/PCUwz4bTzTfOt+9OOkkTxIwIwEmS55cvmTv8yZVIY37TsBeLn3oXC9Po75Wy900UqocNcZcUvnb
8DdGEV8HVLG2aCIgL+lVy4yYTDIJKYpxPiREx+d+ctLsYhtkuoirureSE520ilSpDAuHWMEAsAUD
i6/8KegFobFH1x6A3PBOLD/iheNA4842wliIk0faHmJKhyh1hH7Cyz9JJ06v1lnheUe4tg+OpcQp
wQayo+ehr0KBLV3fuxjOEdil2bwuHbfLJGnhYnjuVJ61viLRq21lxGEZr96tl88uFOHC4iORrRIh
x1UUncOHRSaNnMJd3hDiW+eOv4khQgOBVUV+kapIYt5GIuRKVGpZ+u12BfCVRObHXlo0XyamE9mt
HCNUcve+XVH6gSDlSWQsA/c0SjTPtAHTg1G2+r1m+/OumkoAI5a7aCwgbecLaCw+TiSICyrBCjN6
oUMUGuaC5LxvK625thJBMERUo3CbswFpy2s4fgkNe7vNn0/PPQuo5s7KWySDtZK6FQiThNDWeQ8q
IRjLHlBKnFdkA9BUPY+OVt0yrahc+e3ds13lvVr1yX2EViIJZG6NpC9FN7ltgBtWAKrjUhh0YsvV
mkq5feQY+KR4HsWdf+00SfpVti5k+Kyg042n+FJq15ON1ZTsm+IKqHnyesIwceXE1fzTKPGvBHk/
j4w3VbmcFOUwNghdo+rg7DgiPS4ZkyIhH6vA66BzGQ3nlSovYN6lu68SKe+kgg/I5WtKUU9pMeKb
jZVsyzVTuxdRvQkCqIkx7l6vqxzbyNAs2k5T3s2omcptE0TzJAUazCzJnVORagtpUS/dG7WWyA+9
LQ5d7o5RmpgJhXg4XqYwc7mcF5orL1pdF1Qi4CdhysFliDe+8OYfhuy5e/mqTc6W6OEsDdl6zwrm
kxK2iu+URvN46NnZYl8GSmDZO7Ss3ffJiLVOxbWwAo8ozNPK7aw+ULneVQf+T1Kr4F2H4chJtDxa
ra/qk2E7eGCR+w3nUIjUmE+/E7E0cnffMyQpewTRYkq7Xx8nKO3Ncc5TvQY9t6jIazS0z74XN2uc
GfcWxmYmVcvPSqrLOc1sLFFBvrSU5yjTO2eat+SRN2tKXUPkZieGC5nqGmBFB8+L+12hJ5sbhPeq
3tO8lUXGapn3WrOIaQ/qvohwYBhXtVP5O9PLcMlrNFCkkZUq/alZLRkR/DN4nymizz661s1+ZmLQ
ns2umN64204dCzjL4rtmqSnCaIfXUWc6PeEWJNlMmKXfOcwR3RX/gkVmRdsSfuyGMWYEjocL/2wR
44IOuwD4bARGxoINlGICCI3eEQlzakfTQ8VK4Ki1nVnv4q09D5a9XWJRoiKXjliviosnfUnMF5LW
r9jsHVqVfsdpaYM1jo43u/dUEutRMhCUGoy0Pbk+ezZix2TuKGaMk7BW2KmruLcuRWkAVEShKPUb
KhLqGzIvTnbw2tr80Q7qR6IUKbgBH5seUTtfYFuexABsaKKH4aZsyq0eT+8fQLPghat5fiX3uoI4
RILNKpZ1OZamO9BbGTLdJfGZxNrsXSwv1/f/vU/9X+5TxC42+P+/v0891uO/wWf89Uf/xmd4f9j8
KBcAy2ZC3i5If7sbzD+40djiH0L03/AM+w+DbAAuvK2CCF2Vu9jfGrXxh7A8YbsMQjqqNxjN/8Dc
QOfN/75V0aIC71ZwP6NGwIRP8y+3qhHPTtVlsj4qJNOZmrocdBvFEmClwDTvnQoDJYulzLv3pYkJ
05CVvMwOzS9TgbU06uBUQWSQ5ivK1XJXO0b1OPVO/A74Vt015FRw9BG+PWKvYiz3+R1dSQ0UkptX
nJVU3zplhDyeof+ippvX3FDSS67XGl5WyzbP49oW7a71JZubbllmHUKFw3N7RdD+7ksUGOzMi7XP
td66TVmO3eVpbIVarSZtJ1rNPHMmsqplF0CjtmamBi1EijaXqV6cG0PrYirHDWADY2ma55menJOv
cF7vVIF/TvA18yPAV8Mv/is6+32rwnUQj1VvIiO2eMRcJq0/2QgsdAHD085c5zupzRQgCM93dwQm
y2/JG36E1wY6tLJxGeqrjL9Wx6bsJyey+dqsJPfCmFf2aiGKvVazyB/8nCqTGKzp7TzG1VODYeF2
6LtpuVKtSmwEAMCoQZzSCBQUZaHHPMeosA7WtPHuVc7rap2GX2SGjbLc7gyxCqxMuferXJt3PfG8
u7gggRKgl1ImE/swEbgVzfXe9co+sNE/VVM2t7ne+nd2n27aP9a5Y8/vj76g1r8uHMkkm6Zb9JCx
WP3Gwkm7qh/J/Xr3NM7IS8YeG76gZx9LHYZBGXdE7XGjnIh3mmetgFuAyaO+zbuWmMdqlcvOob6Z
Qx3THkm80YokY0F/XLWSbt1RN/dmJduPeS3bt4613WsjMJCGFMza9DImwBPxDns78DcDGDSMzfeK
K0ywLJb/aFA0ca/MFcMG1cqaH9qT+Y7xFP8ZnzybcGmqzT89rMv4S7HgNY3pJvtxETzxVVbJY0wV
0noCDGosBxmP2rVBUHIOZ/wIhOlJMZJbNWm5PqV2bmOMmJvxAcOCjXhlKpLVnqabgd45znOlL9ZN
+meGkJsr4hB1yFu60PkdNUzozyZ3qP2VQvwdSVx+xxMhiW0elS20SGkxAcb8d5iRUNmWbPRcz9sn
3e/EI/hDbTgPv6OQxe9YpNH0BCJZgtlsQbbkJFkF7RHFtOdSHN+4ZYlKsiUtUyKX8Za9LH7HMLM/
M5nGnwnNpBR4dN0tuUk7EyrHSriTFqmVoDoJT7FlPQe6Kk7tmswvEsEv0vy0vsF20+56YqLZlheV
RWOw480M3cM6ks4vDi2RzpGvt/ZUbYnTuutY1oxEcRqMPWRS5ZZOdbacKiJiT2S14jUcFyGJsuK2
HKNlUOpKg396wg5pR4tfPdSrdz2gD+OQ0nt0x1qdZ5mNO1fJYmcNXI1xEBy4U2lf9spJU8QdFvj1
oDw9o62ai8vSDO6FBcQjltkkcpN5843YL3rXsS4fGdtWugFvYfw96KZpBFO38rb1pI8Tq92AJKir
HnGvPeHGsKd+8EpUTf8rW9yLWI34re3y+ahgJD5WzuTdZlPds/GBTmkV/XSnj7G5b7c41yzT5WA5
60W23nIoLDHQz9wX+0VnM6I0/pSeLzl40a5uCDGvb3WMXE6Y/nZtupthzmPcDukU5iB7Dm3MlJw5
mrhBy5xvnZ69D5fbD9bi7YERw9vJeIn3RMVw0sd2H9a60R7XumYAnCbtnMEbuloKUvujm7xvzoQo
0ZkOc5eouuGPW8993b3OWTsfBZVuz1uXDx+MWTsknfoeO6c4LOThd0NHynXSjfjdzG16T9RGWcLi
UQJr9gxxGh2W/keztOyrCiTQHkQmhoyGfduhgWl3Jt5BPZ1GZ9DYpP5Brjyasq0DfbAtBLbJWd3L
Qlck+iirEPoZWzkgobXxi98CNTXtMqbXeUwvWE3bj6rOawZwJfMfDUlvvAlTF8TS8Pb0C/qHep0A
Oc2xeEX81ABLwY+q52q9sD2sr5Z2hq4GGvXe5B/cUKKl3fYAV11SbCLUfRALSY/VozPIXgeItzkG
Z5Ul135een6QVHYLU0KObpgbZr0RO9mGWTN6uA1MMpxYMl9MJP2AK69ikmKYO7hMRQe3cfMz4jAO
nwbBt2VX/DI0omep11dtJEc2HMLsHpw4q++x+ooL4YUq8gZ+02PBx8Ca90IZfagw5h4NQvFbrEdj
mnCzXyaLxl+QAEjGgQOBgUL9o81z0IHg4/LEDrOltaPtavxcp+P0QIG196VolNg1fgvOPjbeNX/8
pgw5+YGTUwV4PETYW/ZzRZ0P3IE+Dw1yPiyOSFuvSxs/J511UGb2HjvjJ0kF+7DW1gCtiEU1c++P
ZVr8aChqI3Ld7mdbFpSsm+KERxrnoG40v8hVTUCGNICLZL6PE4DEOjTWxaKnN9bvoIZ3O8bT/L7S
KehNcCyVWAp35WCgURtoIXRKp93c7Hq9XC/JMsS7puy/xix9WuqIqxT3C7maejCbE+l5WDkRIEw2
EtimyZ/b7XaZab1wsDClKJ5yu7SK5U8jz580glIkUVqBv90liSg991endw/klr7jsg28TgIQ0Ny3
ClYJwji8VMJg7tnH6X7diJEls9m+oSU1+9Ufz3OVEy1KMZHTqsEQl0wmTW5LeTKn5mQviMiZoz/L
ecmvqe0GmoSXb693vU89HPmGRmSHbiqacz2oR2tN+72O3Zw1sh2CtF6/Bu6f+O0JgjDnQ9tEiKYp
sTSXqFiqiTVXPYAd6cu9GoGddpr3GSfGD4I48ZtobfMWvYr0umezfxn4XNmfpVHqiFc0uzepbK6a
itrmsTV+ueVMlaz+1ZNWS9nfFw3m8n4+eg3pqN4iYiUhtwbUR6YHbizuA9DRJMIplO0ZJdWtUbnx
XRfX5443vS468DjiQkGtFRJb5SOqewkqhzKijurcCz32z/C+nYcto3JoZmmP7O6r+mEkPRFmPYGx
Ca4GC/LA4pF+rWGSj3pnfRnAAW2XzVavbnFYJaE1+1c4yL7RQo6tUeIc0MRtPPe3ayGBvw6IDr1L
jV/5Tm15heVUPc39eNfoA2vO6obbGlljZ1343hP3WpYR7Ok0JuEC5CzA8kDtks2UHwfKtexrLKPe
tVO2FeHqLjAWl4IY0BTrndFV+Z99ev9Nq/5/3OxUKlvMaP9+8Hv6pX72/9TR//oTf817vvkHVT4k
anTf+bsv6G8dXTh/IKxTw4GRnJjoJrH/PfEhvlOzbLgQByyBxQl+6F8Tn2H/AYoAUimYRe5uPib4
/2DiQ+f7l5EPOKAN6YH6TMZSZk9jg3b+A0XK90Wb2pocx4zc/DpplhsQOvv0lFFcVgLZu1TTObbK
On9wZ++GKDzm0ilrH5taewRn0Z9HVNyg9bbMTj1qpyU2nfgw0fd6R4hO+wncFA3cqUV7tLzY5YNs
IyfeUXO+mESHZE7QTeN8c0+r3nnGxbdWUT/38G3AmGv5WpuHJh+a5gafBviiUKDIKBVgYxpKi1rR
PLOAiCSCQ74ByNU+09484N9wYXbp59RXjoGSHvvDzk2F1e/TwjKa82ARG+E8rHKPCKwiigt3rMzI
err1gvVgSXpWA2ut18jbVqy8A3mTxT6NsrYFh+wi3eyJwJuGsKO7lLdGIPHrn1kVe1+Jk5EqhL8H
4mC3FSBNQEDgn4hHJqusYaggmn7IVW1cgctc+3B0fAJglI6RSELG6fcTvudpt9ZYpCOvzo4l3Xlv
qpIDDOnKHI6ZprzdTA/O2zIBW4Yvkh5lLx8TDMG8WWN203KAHTNjfslq7EEZVrBAL/3kmM9/FpQm
6atUktFzYX8AnPumtrqrFJfOa5+UVYgv484sFYp7NflMx4nzOah4hiM+v0HeYTzAnZsr85So/EVN
QxUsvp6dPc/6SGTNbiHOx8fVG3uyoVp5YD6CFlbVAefvfADRj9fLqA645R6mVb44hfENl3S4Wvua
ZGGeXAgpujiyhre67M/lVFfHfMBEjIAdodgaQb9gUGkaoYPBWu/SpKyD3MhfGjhR0cipv8vL6Rcb
U+emdNb4bvaxQyEuasRGCQv0ZhzlnK4Ha7K4LK8ETjOU/WnCK5XghOAgx0Uaj0V34w2zsXOp5zph
dpP7Sq12ANmY/PS21cFbMR1KtO8PL23xvSBJ7JrW1h6SZrHwlSW/cHfXt7Y2PPLsVo/I38UBOhYh
JtnIY5VviE8pnACHNZm9yh73A2u3E+dCuu86w98npc1TK9X8w+TMv2obBhGDbB1hpYKcmIyyCpEE
Pmr22+FkV+UOwgcCsih7Qo1mGfTVAA5o1SDmi4mOTLJXgWeoJ92uRNAVNNEW8WldaWYo+4YFwKC9
2kssAjNX2TltbTzYDV2OJmaR93F1eXYOULNInpLLap2N8y3o2Zvy8cpxBr7xY+e1kWmt2neNJRH/
D1hYO6ipGMQvnk0822D6a0cjF+MDCgq8/sLKmztgzGUVtHEnL41nOHsuvN4uJsDOGAMAnYQWebUB
EE5ykFltnKsx6VB4zYH/Gh8snE7xPHyORQuVPZ6mOzrRdURUPhaJP7FV8JRavtqGQ3WXuNZyxlJd
HY1hXmZsKHy0VKgtjlAhPUwkXOFyD986tErJxB6je6lxTL+XrIelCRG+ZRgTbTNfDM/u33pyopMR
pFZK4GcqBbXrfnnA19iwr9CMA30S/M1yJPslcw4QFjkl1GyEtFizTmc2YImxbtzj1txhRioO3Jdg
GHrrD0VQ6sWVjboUmfaTr9SrsUpBTUdewwBnktda65JRwRh1BVU0lSa/4t7rImk08qXsMvwwhG7k
jdEtE245wgHRqpf6HQLWM76mnL28byJqWEV91n2sqK45XU9oaA+W6WuPOe4ptje2jJLcB8Bd+l0G
gzXla4wFzdjFEAv3DH3ixmHHtxvigalvGAbWKWm94+cQoNHEQkSfby0eMwcGGdy6uAWoqLVFCsh/
usP5KQE+9sdZZ68RxJtRoPVWSFKxU91jvH6rxto+WlPpf3ZGf+8S6ZuDPidXY3oDtNXNjiCEtqN2
9MROwsMPytzNGqkZvmMWCbtMG7SrhWAJ0DYMEJWgUKupIesvEN3xUeicB95ykXhTbldNTDcLRc9Y
3EZKJCqcEKoHiD65xu9WmeSQ+pYKxGxQW5NlY9Do3YFin44zeLjxR06tlXbQACMwn0RQYyf2HHbg
zKxwE31+GL0VlJWHJFhv7hH+bv6xVeqgLS2wQjHFTNYKJIPjl5/L5kQRG7V93NwphExBn/22rNBO
2D/h+vUjkklL1FqFH1HGc/I1H5eu1nyr1n2ms6TerT62G9E3EGYXn8Icy6qZPlS6H8dSnbW8/WIO
vuG6OWJZLMgAzdvUabjVrcHNBH8ab2wlFmpHNxfOuvlxNBtnTtuQm8LxK4GXAYtgZ7TAUcjIW5c5
513rvK+bw6favD5pPrwbdZ5f2U0MkW6pCvpmyBY0S6Zf8xmgzWezCs15/k08wN+rZn1PGn5q/ttU
xPosvolrGFBEtjj6YYJ+lA3sNIpQu7s4N+Iw3XxJs+VNPNwN/H8iIZtgfzNx/rIGWewLmwvDpKzX
kshKWOY97SIeP2rtLMDOjN7fHURPrvoZblgOUTb8mKTgOmf3vlE3J/HbPpUP/BpwVY1lLCIO05pT
W06vHmye0BrMRykdbLUJ4lOmPM51RxYfhKcMAl6Yt6jOdvbZ5C4h1ppqDwu9vDZ0Y94Ny2qFk7l8
9Gm8BBNW9GD2eQ0zKMSdYGh+6YWx3uUmK3OepvRrBKk7qopfWMPLn4Y8e+Nrnw+IOpX31Lo2f9YU
yyOxuJMDejrUCj9h71vMd/YQZ29u5jzajjOHWBgvllH3R3P0EjNUadbsSEbwi0bbtZ5RKelsZFuG
PdDbWWvsGOSD3YR3egJgum7WPOlMCOBJbSC+qQqJjfd5c7XVt5O+ssBdlXt0le29z3kv3kjdfGZN
PNyuwtSy3TSl0zFrBvPWLp0JETxTFSdrM0xYkpbQBw2Jnm3bfCJE+dB6vv0Afa0XIaemxhXDaIzQ
tvriu+9Mjzx4nyW8p/DvNxBf5xyaRrf5ylRI8EeG3HUMsUI6EVu9x0YuY+gO4tpDHfzRU+L2USXt
uZgB3EVZnSZhm5hfVKvYyHDS+MTFih98xQyTB+CV1Kn5bRmVeZqNkbIX9Sk2c2nz22a6GU7jzXo6
pVpxAMp4hyX/KmZEdGlyMGp11LU14+PsTO5XnLh0Ohm9S92DLV/tprNu9FHaET7sYmfjd4Cc2ayI
OS2acj2Y9UNnWp1kPBT9BcK0h9Ya17ijh2bE/9V5QxmxOMCwu1l3E73L9vFm6SUba+waXtdhAF9w
yAjblIfWLeQrp1n+yiNu/FHMSjxCY4mPInPlSdgzN964dc5tNeE4kVpPie3izMVLYshsuZq0hdjb
mnZnH/BzHaSCSA6t3/4ZosQUpqXSqaK2qoYOiUTQ0YkLemBP/iq8dfyym3k6en3tX9VZNtxaSdo9
16ZNe7Xb19kQmfRw5KWNW5vb1fridwONN4wP/YwfmhM2ZE4a/Wj1GxP+VdEs005mfB+uYPyUEE82
u/gce6vzI4FBvEaTp3iyeqPl80XsMJzDzUL5t3LLgXOQp2+TOwOsBJL5WKzVArEgrbSbolLyLS7t
ag/rptxsFKpA8a+o8fGyxAsseOMeQSBc8yJW8T2IgeqoSo7XrvQfiapWXMLa8aPa/Pda6mZ7Z1iT
q+63Q/+3WX8op/JJT7FDm8I1DvPm6qdQu90vJWQPGPRF2GhrwQqma+z9vOUCWIZ1XWSvLHKySeaA
5PXxuqzWEQ9mVh1HVyV3Bp1ay4PnZl19qxKI3pFP5Lh1clwz9GXJrxKJFJgvoESDRcAX1025Vb/m
bjtbj6Axf9fCYlaAPNEfMz8tffjnW4lsoSyNPhK6VclrVF1k9innqPLwT9ckNY5D6tivEKnLMaLD
FjJ0l/Nd/KCaMY4EAIjkWk6TbNnBiC7bkemcsZiMlIPkoF85fShPviZE0hxH8rAPqgVcWxJcPKw2
3qdpWLQz2mpz6vhMRuNgyuuG5ucwNkb3u8Q88CmqTTDvJHL1AdbQU5/7sXzTdZaXJXFFVEanAr++
riiV+Gp+QQBOjs6IqyrQ2fiELZCXlzWbxU46nM47H4L7voet8VNwsb6aAZgEBfNx7TbiUPNjz6vR
DvdNI5sfqbLKh3nW7fPayDk0cOxEdqoTk9XT0twlOYb3WpCNFu0WGczxpnT4Vy6W1QKl4TU+99wi
d2wu/JDUXbZLeNZxOcc2r4xu2I2Fe0LrnaKawf1hSKS/73Jh/LRxQxyhDzdBzOosKCCs45aq04NM
zCnq6q1bSpYOb2+fzh+FT+IEa/utqVL/C4/c7cQrIeEjDNYCxnJs9aLlKjUm1zkjLYVC1O2wTHLa
feMre9eykgjgIcILIQGQ7ua4BOxd8BiPlZa/99zpgw1gfNRkbGK55UlSzU6FsaJABQOuv2CRNc19
HVsYkX1Xux3MdXlo5vQ4sqq8UTAPWd5VZscNXCt2xZKmv5rGsW7iWEoO2jaBUknoOO85+McmY7OR
FiFJbOzY+TDx0JmX+3QQ/mVSCTFBpM5j7kh7x5aKA7Ov67MU+p3nET7sezpJqTzCvO+yFa7qZdg8
U613yTGIAJkDv6UXsRVkhW++/ea2kISGGVfKtHzTmv6NCAbMIPAulq10Ad1++hKKB6snxXpa6KPg
9zcS7JnsYQwUJQusdNgNZW5CLn4tftJnm+4m3i2ox+oHbPyrNKExdG0JAxc/+mzaPm+jqHfjQIND
oExz52CKDAq6Kc+Z7OHpkLcJykQ4IXdmHSZvRcXLbut8GvHJtNc45Ss+Lb170EXuhkYHKaRIkvwO
/UGIaLQIde0m2ACXfuC+DWreiNpN/lFe35z8ti12ZFbXI7t/8WuuGNGyIZuOFDWP0ay1Bs5rF0Wg
6T6HVA1ntySyKojHn9G1ojRdGkrkHHqlDC0/sxydIF2lCaDv9oN5javYUklimGtWnqqxmfIwmfrl
leUCwfZpvjFxC7xwlXqSWtuGbje4V6mDNaFVKxfHOgUJsG4y+6h1UTWN777e3sz6YgYAbF8qjSMP
IAI9gg4Ee3onvVfMSGUApYUFt/AmID2x/bTWOY15a25cVUt6LbXqbWjc/rj06WPnYObkJN3PC7ej
KmmIddfGG+iZAm29sr568hCRSDrsZlr5oiBYfDdNqa37pPKwDqF6cPlWzci2xikfvGXAh1QnGc2U
jRe/T2Jk46GmqUOgWOaHlkQJKzMvZpuDADHv7d5aJJd/5HKrUNjXR9N/qDiwBvC+NjSjjETRyLog
HTS+CeXOEXl3RgYP5lUS8F+SOOKtatybPLOb28mBxkI7FUUSBv2gegCruwDh7BV6vxtF2lzoefFO
/A/+UV5530ZiPFhZzeEBS/oMQiI/LzYPV4gAn3EOfv+QazlUVGfbSLhgE+1CnVfpwvIW+kvHI4mI
LoGy0di0wKZC0vZHF5a9s5UawlSPN+OnYXMTTnqDI8FR3TQfsfUd3al9T7z1jHcWuoxs2Owk2k3s
s3tdC8qwiGecG50gJfxLd+fmTnFubOQ/PPN9WHHVJ4OgjDC22usume5pHvkSpeQTHy82S//qvrXw
wSPMuKfKIlzkakN6YHZBQFxL7XY2rFcslv3VEGtNNHeODJPCrA6paBL4y6VOlRLDWWePPc3JiUC5
GGqwNECe59i/HzWBDBcTJEjr5T1P2Dkbw2LuAXjBnB7Mj9ie9MfZs/PIUezdQ+KE8y+7d6dHzj5M
/w6d7q5ox3PXIkZhhYXep1G50XkaOouUxq4TeX70nerGGgocmKtpjZEhZ5+ddqKXrBtEmp8BFLBy
XGuY4kvzs9fr+s2GmFJueeb1kzQE+wZ9ybWfNR7WW1cU2jHjgdeRhXMVgOesu8a3bIQwFLM0gi3A
agWrs1kuywf3LL5aSVP+lGxWbuvZjDG4peOnJp1vrAcL0H2a2c8tMvT9qqwYtJg7V2EjxfzsKXu8
M4zUWi+d8mrKcNyyPqCCloSfBuhAxK6cvV5Dq2DVLxXeZQliAItBQ0jNSJkXYu2iy86eQpuHwVHG
09OS2M/cEOzHNk4wKbbLcOR7gJGk69nS+d7L7Dmc8GllPCY0V4RUWtx6eh//LBX9GLDHvRBjPDaF
giFdu5rxDZrX4KT6oB2m9Io7xKD2CVjrELOUM4L65/wJnEE02SGJZ7WJRFhFZ7Qw7jSlowcVww3X
u7lu4Hk7dffSNVZ71baeR4Srdn1y9QKNb6F2JFw4F2jeVb55YRclnnAQ6070P+ydSXPcxpaF/0pH
7+EAEvOiN4WaiywO4rxB0KKEeUqMiV/fH+inZ1F2y8+99sYRtlxCFYZE3nvP+Y7X9PNjn8Es4jEO
aRrRoAZJVar20uzr/sLl7iHcoR4x5zRlgkWmrkmyoMEDSaKP2DGpsVsZoiOSTnbLTohV5hkitvti
ydjj0e7Tbl97CNYbbWrYtHoWbpZIy4cAaPP0ye7rjuaTzqQMQiHJkrXQ/If8XXgR45hbl1EYTWt6
aupWZcOUBSYP2mYGWU9qRUvhPQle0WxBi3o9mPXXke31hhHBjdLY1s9oM481cqm1XffjjgiI5maK
BvGYpuzAgSqwYM/SNq7bZqGeI8fybltb8j5lLauuc2yqj5qV9EcT+X3/Hrd0KZXWPZLkq5/1YlQ7
UXuGT/Hamjet7bm3PsQ65pRG6J80LRa/gvrNjl3rDZ+EMGmGTqLnKa1KltVVYXvYb7w2Rqhit6gw
3dHijdXDJiNIT/pReqbDv2jefWnmp9QQyt52zmhzpYsUiamMUvKA2us5aiFAAJwSCPDJsNVnNzqm
EP2CMo/V1xyx53NotGzUZgcYFp0OeY59BG+rKE2ax96xq+2o8daNKouXGbfUmmIn2ehRm+5qDd0J
0Y7FSYaTexhGvdvUIL0uaqMkvDJzDf2imqvxHsBKB0NiglyNwskKHGmFLCeddlNnTX0mocTbF5jI
N+0w17uxZcZt1hl3iSbH7tLLC/OJ7i0xEJA27nT2dxeyasZt37H7p53p0qXRiHSJ0yEg5Af5LbOM
IKrb4rLv/M/aYMA5NApsp7HdrTU1G5f+wKMBciVmtmseyP7wrrHLEwCs7OHoaO48rjAFY1am6ujZ
MQb0m+WxhTFziXMsu4Cg/WvpTcZmCBWmPU+9RqpA8mvhuwi9lLaiERb0yqR6wDAdbl38G5taIC8m
2MzbxUPdBoNU4kDUDz2bKiuVWPnevEaoZawdNJ2rzq7Yy+qzfE5ySwWUCvMeL4IDSsZgjOu5FX1g
gwSjdWmLIb+d7BjGZszLJrUXIQnYyuxCc5v1aDO+ocdqsNOo4q2BPGflkzhsZzP/XQ9vWnNSVyMs
55UYsge/FU9mxGIN/m+TWOa8plPy6pe4FCAGJOtxjKN1q+X6mqzaaiuMzNqPFrGPUUr2NhyRyrLt
wO8xlUfRfIVBFfZf2jwS8JFeO1EP41QghW663QCs50WbGIMIfGumDulHn9khT8Tq7Gr4ISukHK+F
nzY3Y9/coLbL1UqvPF7txlIIxrl2BWJXBegf4kODVPrCGrQ3S3P7y3e9v2T9XyWMwWj0+NZTNzJr
j4rpYqjr6SDz5h+Wxpf/SK9soZ352dj6vnuNP0ytf/vAN/eX7v+i2zoWL/2brPibTJkC9Bfd0QWG
P/3d/sVo+huEDTEy8A3DW5DM3wTKLtQNXTfRLy8EjcUR9jfG1e90te9A7mRlgvXQTdBvy6Ta+TE3
s0IgwT4KSJHPWHGmkTHWSm1BKvkPRWGZh2zC9E4PlrgcxjIoP5VCMQNG9lo1pdxLjN6LQGO6TgmH
2LyH5MVK2dessq1urqp8AqCT8Z7We2qdonCscLzVXEVkSND7g+db9+yU/ILORIGryIlG0EArPQ+1
K79gRnGsZEqnEfqsUXlfzdoFTb4fUX1PwyFye7T9hxATakpmvdcMn+qBk/xJKyuXzpwVC8JY0lGC
WWTgyI6EdLNA57C85mtmhFEhAC/CdVfdrSwsQu/GPDmHRRHTxmMhC8bSCe/KQmApwW+y50dV63zu
tV/HuEjuvNRig4AVIwW0iyNloks5o1TZxlXYv/oGVlHZEnG1StibBg7s5cCvBgSDgT/N6GGOKVIo
2+W9lDH+2Ywj2TYnwSa5NIKUlfccR9mgHaaxWtKtMi1SnzRl9DO98ihLl0lLbQt3J7CN9fhG9apr
9iTphsYCg2SAnk23OGMTeVljjwJBzStXiGI4/ONg+I9WBIySSD/+byHLwxfywsvuw6Lw22e+WReM
X4Cdmzx1uvGOWMQt+i8pi2vC3bHwfDqW8Zuv4fdFwWZR4EKhjvg3rv1fa4MlfsFdatCMBbJj4Oh0
/87asIAXv1saWJDARfou3xAm/KKa+ahj8QysjaS12HvPo8NWxLG3AoFn/gXkEE3O90exPMcw+Y2s
fKbPIqQvf/6dWibsgaCZYJT3fVrCKxt0n5YWXq6Xshum68Jx4a9BAiQkZYb6+N31+BO443K9/nBw
IBoegiKMuZzsjwePnZxMzszz95HlVxk7mHak04+xorCxB7DlrF4j1ibMlSUT13ZWyZdJIx6Juscx
1zkicHKX0ax1FPqB2WgN6ePwb1svXaqePETpoiQyRzYJl33rhreFk4/r/8ePcFm8Ddg7NjfSD2dQ
l1YNomdm7DmzikwWOL5CI9SPklDdNyZwytDIyJfUyL0OMPXWz5SyHvR2wDpkrfiLZUJM1xV9W1pD
BLKAZZwh4WSwvvwhY8g7GndF0ndkYc4dCqICXezPfwOvsz9cB1qdPt5JD2rUj95jUjj7Xrmjv2c4
M66lDloX25pCfZt+/fmRfnA5v99uvIRN9F62Z/8hS4DeQLuMOv39YEb6XnXkInaO1xxlZzY3uo1/
4ufH++Ehej+eD7wT4JW1jKiXO/C721sYbVkCDeF4USJvWFGAQvdwBH9+lD85fxYWSpMNASkNvM0/
HsWXLBfwwb29FEQIoW/6Wpt+ss9a7+7nB3pPLPpuUVh+jy0MUmh48BCn/rgopBHKu5F7cC9mOnWz
24pN7HPPKMWFUwWeQ7ryTosdu8tukVJ5F3UOANnCInMLAn4+Fbbd3EjlIDJ3BvSVtbFAVwZoPPto
ob5WOXy4hHvzfohgVQW4eyyoBumIU8GKOMhUW2IDUTbZt8JpH0dnTvY//5Gmt5yvD78SiZoBcsUV
LlWOb7Ml+/6qLdTBPp7ltB9BcdAErtCakAx5oHmdbStyuVaOWX2dcqktTHIsFMpN93mR9tsBlcSW
pq0811mC2qUrzXXjlPqjgV39bCNufXHHonhkoL+Rxig+GX7RgFImXiyQlGN3Qs/8bQy1EaRYPN3H
UUl8Q5SoHdQvIx2iF5azbO90tn0V9cIG5lGxA0Puxu4kpAIGYr7Hk6sAniTFhh2QsWvNyruDqJIe
Uo1OYmk0MTyrKPwcY6gjLyOLDlaNZKsm4qxZDbNrXRRek7OlgFpSD4Ji1sIITm4qc/nOAGuVASF7
6HCS5w3aA1p92pUNUutNKbX4fOKOqUxn7uzQopZPHYAoM02ONTWndWPHpn5X923x6EZx9rU24grt
oe4r5tMSHfdqrJaNYxlPTy4s2bVbCEk+np8fUpVOF3PjO1dOnnnrzktKf2UWyXhFEx9vQbpEgzbt
Bvt1GsRh9kVjjniJElKDypFAkHXlkR0o39oxGkBU/mEatPJchTXhqVNJMyeS9Is1t0RRll4s5xOt
c1oHRJxo+OthChmF+WwT4LuyphhLPUnQF9iM1b2WZx2VKlTUs9FrkH/UEIuNzvuF5tdo7qAxeoce
W++rBEF1nXKeELKwFQ0atyVoytpCjeOOGNB/941pvlaNpLUYC0JfGQMWq6XWu6c11VNHgychvxDd
9lRF+1H12zg2b0RY9CQN1sMB5b5aKW3qvJWMxRtg7mJNu72+UTK/TEI7DgDpkiIQ5bjuGW2tsFD3
gdRpFgms0npkMZfxp+gTartLDEMvMU6pfdx1+m1ozGqTSueReQ5CprKkf9umgZY6/kNHSOnWlBIF
ytSPIOUyf1UN8xQUpEqv+pTo0m5A6OnSx2CJwl5uFO9cl2pxFEX+joFLGSjyRBgAxYovM4VbIBBW
gGeSEESpN0tuEAK3Na+hjCAmzynX6ZigT4wcsZNtq51sHDQXnQaVXaIheE3pswDzbF3Iugo76EoX
aX01My1kmWqN5qSUYR2Q7+R7w0z0vVvxuDgaEPZs5Td08vuNACqGPCRuVnRgwwBGf/lZDlb0lBKN
/Oa4rXoyBzkeCxqPh2zwO6SdtXUBqQa4KIkJAc6F4dCjRL3SFDO8PlfIJVaoAVrjgA/UnZu10TjE
WeoR7hxtnu6tQS+35lLv6xm0HcRkFiYQVJYY0JKd4TTlRcIsjM4hnUe74l/Tss9wbzlT8z5KWDtV
r3aag22xafVsG6aD+jp0cqzOusLFEjKVCuZBoVes0LrVQIbWScSbw5hhEAu9rzfMiMSGXyyProP/
esR2thaxrk64W9pHRFDWleBBPauEVvo6C2FJILirhi/wp0c8jjqNHEjDn2Pm5lvIqu7DO7m2tF3j
TtPZXzBOjWFzjOxOBrZ8WLB1qj8fim5IuHaz6g1Y3pPuZLc5Nq+nNDWzdabP4xp363St2TUWrcww
D6PVZPTK/f6h6loMcfQS32Yt1vd5SjxpKvmRTc32y8krcL5IofdKmfXZjOfw6LaSN9do4gx1TAYG
KVZ1IkMGfjksxSs0n+Pa7k0ySLsZ/gfRDFezWzNBYxjOZ4Sfg9lloBD00uSbZL2v74ah4ydpQPRx
6LmgTVET2RvTj+0rg4WBCTTeqboTM4IQJw98tw+P7FVsYAuOj7gzl8fB4X41THqX7IGHh4RAw41Z
ieaI8Z5UBPY2gplj0exgCtonRvvareIA8Rr2A9sLHJR8bYgQLwQkMpUCi93d6i5hcfBV+1up4/GT
bmw8oXY+tRkuPCZC1a5NBR1B9ovmyZ50UGIsCobszTOEJqYRqHFJexROMOQpoFgzjMlX7u+YnYAi
7LpkhbbJ3iDJxiZSQi1hGDnsZD2oeMfpd7PP0vKa+IKCuAEEoZizoeWDftYVUl9LE0/UhY8mpGZl
VS0iaU9Y8RlV51TM/xSs/1kLyyGs67ud0Pq1e/2v3z55fi2+/M9/Pybt54rb7wPFyPztU/8qWT3n
FzpYAu+8oJ//bpb4VrL64heUx8CKfAttGHZvtt7f+lj0rEiftDwQ/5agouRr/F6y0oFySUvGiI9d
m2/4N9pZH3f3lrds1TDECrJh4Ab+oZvFxjXO0KU6Jz+qaE4VVHK2QZtqVnAag04y1v/uBP1JBfln
B3QF7CXLoLvnGMv2/7vtfcavhnBd2CfTFt4a9XWywzZGRZV7zT5SrXH++fE+bvR/+4GwnjhfCIlx
uPy40U+dufXBpJ/cKnZeU58DmGlq3LX28Fc12cfC/P1QXGquNRJU2FOAED78NBjjcdRnhnXKipFI
QERPe7JWEsSgIjLOHVPEBzfD7MXGcrr927+SO8nmbmD+6jOz/njoscl4N2nSOrUiBaft1QQbwfRm
dgMp9q8qNIMuy3eb/fcfyh2IvA3ig+dQgH482lSB1cWsbIHndDgQDDkKkjHViakcOpcdUWkSb30s
pgkYpJLxQHirUeUMbfNEC3RR/r1qbvlCDlYkh408gQFU9j8U9Clg3T6PQuvkjRY/lwIh2elaxj/+
f8eixUwqCLcwN84PNxSoQZ0hmbJOZjsSXG9p7ZvbFdNtn4q/6rYs5/H3ouq3n7V0rIj6IAZHt38o
hZOulvB7eus0hPFXRuH+pheF9hf19h8fENplDmQ8ziH0yR/zbvWBwV8ncusEPr46pd6waB2BNATG
jGJx9fP7dCGW/OEnLcm+gu45p/BHArUXmsYwAxw4pSIBRmkOHJM3YgspWLb1s9dk9itGXh5S2iwM
7zrsPQMsjL/4Gn+8gx3dYtnTl0fVotb/eAeHqJ7D0Mms0+R14mgCqtJwfvjU3lrLHdr4aDezTDDd
UnOPCvP94bVrNiKsIPIvquc/uwIWozamTVxptMEfv0yW+8TwIaQ+tRQpt4wyxtWIKv9k1dLf/PyH
/9mhHMB5jEJ4tYgf76ip9mQl3cY8JTan1/cjHlmIcyz1nsOV+PnBPi71LN90O+jk+BZvFsw1Px6s
xiME4qHWjkxDiUDSgIc/l2ZeP8+jN10P1GbeX9zLxscleDkk/Rywf47D3Ux354d1kDxY2koGaYs6
Np4d4gEoBa1saesDk7pNWiYVGOxnsqu9FCVXxCNVTB2AKa2kUQK7DKLAMqV5X0E6FIQtN4AgiTWM
yWBcJ4hW/uIk2e8Do9+fclrODp70hZ7j66bJzOyHy8/YIrWmwrSOba4XzDrZ6leJo20jo816dJqF
mqIgz5HQ4sxIa+VsQMY7NxTeiKzAlvEd4ctyIUM76t6Ab3ZvE7lXDGZjBA0r0WisvIhcYcXYxkhg
gBH51msTe9Nt7hA1q6d8TNJpxh3E5wBLC7bmIm2eu8GtTl5kQaxJOYErkMvqGs+iJje4SilgZ6LU
gtgPG2NvgB4ni8DFpb4ufKKWg1yiu4TVm5gAw8qGY3ic6XcoD6ITHI8436gU8fqQMRpX3CG1ZdTP
Co36vNNCNDfHsTarU9tFhVwraRDEm9EpecPj0Ty7dYmFsjASdWt47Fo00WnDaiZYN3kxlM8lc2fT
wQkwAjd8gJjLvddlzmsGX2hG+CnsV2X47VtroJilsTbYr4XKxOd6DsV+aNzmVjpdsbNHF7FfElmA
hlofDeQIB68IDGVQlZkND+mEA9oKMy0wJ4szGibhg7JEsgtNEz1zi35Cq4RxRz3E+fFJ07lt22h+
ELTy3mrf4jq9zw6NSbZvWRGJpVPW+Zu5DQ2YyUoSn1Yr/i+EIoCAwpK/pUiVwXyN82b1Ouqy97cc
Ir8lBY5wixWiA5nSoZ9Q6igX4R/kMwf+a1Gq2T0i/5Z7LXXhLDeFf6GnYrrNQA9Nm1zXNOCCGGHP
TYI7ap0xVH110TzRtU9xSQRD5SkMJnroOsd6WS81kH2YZ6yB7peYBF+GHuHCIwa0/eZUmA+4gyOC
j4vZM86xVqBRVPYSOh9WHlWXS1RcDYhtyUk0SpN7eUiR9LQ68Y/oDum6k88GtslYQk+6ziVPWuW8
l2kT2jCla4IXL2c3p2o0ksJ+BQFkvzoL+YcBhPRBbStDksg8i/2MDNxdi8ixXsphKO881FiXSHjy
dUNbyIDLh3NrS29VHpO8YlZKUAp/Sz5NDDVnFKR6Gzp3eT4nI0FHS2YTsDN19piVoMaKkY0Vme8H
VNPYWGwNhno5q7uMCcQGUmNN/oq+BMdxTyLA1NvypoOeVJLG0xd4KmX31bNm8heE2599x0Z6rKaU
4WufsTIFc87CNZLUzUnQVP1EO0+229ZWzmcGo7gEGLFcAE6U0VZHJIqBta+TtUF5jgu6r85+OuBW
Ijc7folMDaNG1dWXeKadXVOq8GQQMtLsvHZ0nusEPKAq8T8xWa6OpkWaAKBwa34p8ybbYJyeA9Th
XEYP3WBAP6J8SevU7RC9xi0NB+nuls1ou3KnpgVvIAsNcnZMx5rNy5bIvG5ZmAA/0FO67bNWO5TI
fQ6phPWg7F59QS834vhOtBvlV8VTkg0w91SJzLSE8542uEeRLr66HYQlL5m1dQjeMegHaWyLuuIv
8rTz0mxk+cf4iilXopFdO26OLDLIGt81gYXQMIiq5crX4wU7XbrzpkFqQpkMdCrRd2eYOfxwbeE1
PCAJbMEhtPF6rhQuv6Lq71GJoasbynbb2xl+qlj/nOMYefLzRKwS3yBMSkN13ud8Dx+43w1vpRkz
N8v7hWM1I7wYnSvqRiK9QHtXXutdX8MB6bipNei13asKO+Os0X0jYYccoWlT0QNJT84UssEW5gSM
kdW2e4ukzoJUzT6IdH3mltW7wX+Qbo+txOsnm4hEUi7I9CC4AgAgAQZzIGxSN0KDaDY6R1rgqlzu
u9bnfez1Nv4UVPkVIUD58rcZU41RPOlYgliNF1QF2gVtoo5q8arBYBlm426oLR79PrYx2E8Avfa2
kdXPdc1tG1Qu/KBVlpf5s6iaiP1cTEqGQX+mWkYfLSgKO429+quqBwtLrwvcJHe7dlOm1vil8Eai
qexMsx9BgmJQjP12T78WfFY5RUm/yo00/rUdute0ts2NbSURUHzF8vGEHq/XPgEWQ4jgidg7D0gl
AweF3SYexwYHuzNvlbdEdPoRKlVgY+P9YMvi1onqryLH/cow4Io+dbdnXQUcInygLFZfi7eoi6O3
OUnGT1HvcuV44gHED2QsMXMBL7ca4oT05yZv3SMkmrZaTyO6OtAarOMA49po3IPt1E9WU6nLpgX+
6wD5gdBaYB5dOVwFSIr0Ex60cphgvxkdjgQprStIaflVg+Hjtki8JoDR335G4JTjy5rNXyvfGU6d
U2PxtEOR4Dj3TBhIMfLBsZ9Hf8XshOXCD22k3J51VOPwa4hk79PYRdmN0RNGBY/MfslGJ4sCmcc+
78oF49ooM4KLoJJL+sRA0vwRtG88RO2rSID5FK5JLG5i4+F0dC1cWURfSHpuKtlqbGZR3xlCAMGH
rz3hkCzNOwc/zn4ozRkjXExqgurnmw6c/sofovG5z7um3+htayXHKZkmO/AqHQe5F+KRPTuTPtY7
P+5brKCldpG6c3WPbgM/lpb1uLiF5uoZAhlvPI+84b8aQ9Ne9nU97CZehKcybQsMHH5MZxJXp0lD
G8gU/mAjCWp2Fhraf3e4icQwQulMQ5psBIjL52zqTJh/uX1B9BbLKBZHnxxQGM3jWmDsDMkercRl
5yos+spvgFZ5uWuxIBoY54XTh1tfa1Dk15F1wG1DlzJ35n3bu8lti73ovjdU++DlcIGGCW0RGjui
vpjCIzGO4wUTkLqMN0YXJXU4x6jI8WKsOp0xNcw3PCkWp+p6mKlTynx2ZWCTQ3oldHe61+WokX3a
MVlIzMbceoT3uKuyLu0thkri2iuR+O2u5979CmN2eqxxE38ebfLbRwcs6FYnVxFaGDFXTGiq3IVC
5THSA7HWJGsZQxzbu1391Y6xfbVpYfKWS9ruaJKVUNGshvpEYixJiJYrQRLydr7SgOVshO6EHa6w
JSF9VnhkYf4ugI7e6rxT1mPgBQcyPMWOqnBLRnN6pWPJ11dhXeZXJULHbsUsXruJNZOrltNAwoJU
k0XSP0x0YHHMvBc1/1Bo/opCg8aAauv/Fu88fmm7/3pIZARvk57gb23Sw9v//Dc1zfLJbxIeF8UN
6FFiUmk2IJThj77hR8UvDrk/nuUYvoG+TlC9fuuH6nBqkHq6nov4x3NcWiG/y/t4P9P/QQ2xcGpg
wf+dfqj3sURG5WA66ActCnF0hnzLH0rISFljzhwvPtDj6k+VV5JMRKnRnkyF8zK3uuVl1pvGbUvP
QBURwb9QTNa5box71lleA2HYu1vZ+fITQG3cNGbuPySE2+PbR61sJr3Py3Wym20PUYL88iy2D23I
47rt0z4kS1mzRqo3zyai0MpsoCA+syS7LqZ9Q0IHujSAL1Jh+I8KL7oHSwWVkfdWGPhO+uSP44PR
5iF21LBV93M3UO6Mudomg6avOzIEb9jYGceuKmGFTjCtwCYsCvtZC5tbm9z4Cz4C2lCCs9lB2LlJ
wjpteXrTcS8peS7nUZU4nU39cZZyONEQU3eMdM2tkm18LfzWgTs2L788x/zCfslJqJzTfOu4JOet
4lEVn6IYTzW7GAjeLX+MvcQ4+UZyD+0OSoHXDZeepRDS5F2gNXq1jiBMUl4mVvcpY7d5jRnfvAlp
8WD3RDhukJPaLwZcT5vXxMf7K6js1kagbkTn3uR4QDmFZttZgVX5BEdorrsKJxM3Q1bvCda+cC3F
jKiPrzD6kN9MfquVr11m0oFlj/gMyemzmJPKAVQDbm5aZHNH3d3t/bHs7q2W+mhVA0/eaIOQvDOV
iay/LW2uh91fzJ7Yd6n+DC7SBiYGVIEB4ENYElDuj/KeOC0LIKlevkjcrUcjrt1VobwYrYRCpN7Z
6zyNotvWIhdsTVGeX3pp0ZzzMgbQ5udF7K7qonLQN7QOLn0tXEy+w3MoQ3Gjmird2JEzXai5/sL+
kv08daCzCZskup7HtD1OPnqK1DED8oYnCKoQ3HLDCdd9qYU3htk9gV7HCkn1dYgdGUansSOS/mZi
ZtC8wsRuX/SxAahHkXHjFLV9WlRvnzLHAm9rl/2F3baNE3RDwSkb60Je9kJ/GSFnn7VasKEe9S+0
bZF5jCAjsS43B5qS7OwSU79C/Gm060Iq79mL4v6OPR1AtCHMN06D5gQkCBiJvW71Nh5zpypzXsHj
+BITZ6CvSZJJEJNp7POh70mDfFklNjb92k1StoN+M1RzHmR6rF/US2EQTIbCPV2L69E2nhkcPOuy
Z47O3ka6eEbwOCU1OyKG23KHO1Ds9Eg4j8zx76Kw/qLj4QPA6eYkqMPk29uAKb0rSEs1/lIvCdLY
EfuINeeWv4EgATzL57ZJTihqxsNEdjm7Eag7FH1RO4pLNuSwZrxwkhHz0vq5SLSaaWSnXL5Su021
PiRMARSKbDKquQGPLTEJ07bXcfFYZnzIUPs3N4LE2mLfh0bhs71X6Ymqnhy3pOUNuiIB1b5sbTPc
uCYexrgIjU1TdxgdXCxlRu14j5YslL3q5lOpu9o+og7aZV6+TEmFtrVDgJu+rsZtaaWgaqY8e2J/
qNYFnM2Tl7hbq4QYVYfIcLGuwOzJZGrfwPXHpO/gOHQQBgfegGghbQoGthnWgqrv6x3RqowTjCK6
HAf4xEGfzvNdk+v2we48eTlBDXsYIe71+aln6g8Ov60J+CJMZkPLoNim9clR0xMkXeKHZSsOE7jG
jc3/dcptvbo0cpOkXNvSJglvtRE6g2vbdA+E63msVLK5MbHR3CGKI6DWAcMf2/jjA0U89C7UICkE
fp5lkKgIWLMmdzxhD0LqJ4cXpDbkjQ19PMGa8uV2GaMshKczbQr1FZkUfqvBdbexHVk5Bum6J7aV
TXzogJJ1oVWuYmfJOkVWcMAvkkNbD+VFkvcvvFic7djlw76cm5GnNCR5FDPWOKJKKpLuM+MOM9+4
ltteWEVIkl1kfIpcxGemBhUoYaYdyNJLd7kL2BS91p6cN+zTvGA3JdAxEIfasIfdpx90xbw+9LP4
4IzWBP+YNofTITngje1t2xpbRU/hfJpKN8EVnt+GDmAlt43c3VhTSRJEl3ztQVwsIAzIGEXN2jvS
OFgj+WsOjQ/IEnUsPBl9Mq+lUS2AbLFwoix1GddRck4AHQZZziRCzZm/tkViHJEfhltsHyfgBs0G
tEf7ZlcSYhZbvk0KeeyiM9nhzr0VH+Ts/+r5XXGIbLKu/Kjf9Nn4Kxp96gr6dxvM0PcV8VwHT7bR
HiG7ucZ1dx7Q3SHUAmxaCBz6/WDfYLMqtlJrAW+mt3TctJsxTq8nzusxnGzB05ifQWjM24lkS16N
FFBIM4COb+2ZsA8LXEy5soe+CySz+nsrg1Qz9pzX26ZPIoeo6E71lwRqRdVG8OaUQM0n3Pqdbi51
rjVWSt/gXJ/1TRz69fwJ86ivPY0tbJx14ro4hGg7kcs1ZKU7r8glzMkMcTvDUHvgS59sSCQpfPKZ
rUxL1Nd5yAzywisb8LNIQTxT5cvii3rPldb7ubkSldBiIrPl/GgCp3ksKn06uks2db+kVDdKG2kG
MgR0aIVmwxHVycjSn5ecgyEm43pJuzYKVkyPOMlXlZKFzX4uPaJW7k2iElwcyHOfHIuFEmaa6CBc
f9yq92xt0WvEQ5G33Sqv2Y5eY6CSWuK4i5LlNWtMThBcYepIPYoeLBUCZUsXS2FNN4n0PBMH5nvk
tz5j7RmrHngBb7d5XFUIf0+y7gEFdEJiuABZ2aOl4c2lb+2WdxtxGIwG6KzglJ/pNh8pKEpsvl47
9JiRVX/K40xD1rikleshpukVXhH/yrA1pwsowZtkC27V31SeP2NGMnv4IVGjg+hK6UJNqZ7eeLFs
blMfqdXKd1QSVMC44Q+F01YyX97P7ynreBEGEteVdOmkSYLYcwbc67AlnL1Il5z2nIv/NJuJtYUQ
szPBJ5E5OpMpQ3AEVWuTJSEBJzCqIsjv0LmTFq/spBVnS8EGXHZAMD0KR3gHa8mSh+K7uOP0kBjE
HqTTFnocwfNt1ukAnLvuicV7ZnbSOqfKN37FLAiFxbV1KO7st4A90N6cVr7MADF0farA9Nki6Dpn
rgPLiYursmk9VENZDMTKji/JvgSdDJrkYuxd++DQAKKNxuTqps1ln21a2tA7C3z9xueiHcH4NcM6
Ly31Rl58/OKz574XynFPoRWXTpCowb1oaas66zBiwHFZ6LYZCOU+dYXZPhL0QzJHRGRyvoQnC9pi
BynULMFfp86zWVsQ01vojuipXdaBXPiXOZrDL4IwiwDNs/HKepock1EjOK6xiKAdspZGDukw4VaD
uo+6Enb2KkKdQ/uUdg6hTLSjnJEcMuVmG5KR/J0/ITm0MdmfZncYoUBH421LMxMG5DgFOPTEqsrq
+BVuM7FBoqosGtJA7Fa1UctNI4YuKBZsmBl2DeGBsbMVg+6+CSrgC4aT89lr5vpTPTK+DljPUwB4
BpSuUs+fIkPPI9rhqX+keRYeEzfXj3odNvjA7eakN5FzY84d3HhEaQcxk96pzQuMxLXqjSpdg70/
mXE24dx09Lo4Y2kuyu3okMCW5lp5mHT24jWs/jsah+ZW0+Wmq5v0KonoPaVpMZxT1xUnFolhzQPI
w+LCd2iJ/b00F7dPrDU1yMTU2Sh8tgSaD6pZgV7kWZdWeqoxTG6I7UUk4nf55zhz7HlPaOeIV7N3
0OqRUu9Ai/SCOveny0GIydyO0qq2/9T//5F5x0El89P6X1UFxOyPlf/7Z/7t6MO2ZzP8dyjtF5ce
Nfw3Dq1h8EcY902EwXhnviv8F++OLij5LVQ85FfTLvgmhNKXODcXab1HSshi7Ps7hf9HrQVSJN1e
/AB4CoVFKK65tAW+0yWFPZnAdtiM5754i9ocG+mv352NPxE+LQr478a8fzjAD30FOZl5UU8cwEtp
nCJQ7v3XZDgnPoiqt58f6n2y/uFYCCtQVwgMBz5B1D8qCsjpMXKbMdllasNGTBlNaYKnFyagJ7LG
fmnTKfI+Y7rzOn2n16Ilv77KbZWUR3yUTVS8YXP8X/bOrMdtJMvCf8WYdwrclwG6gUltudouZ9ru
8osgZ8oUKYoUN0nUr58vSMoWlWmX3WF0EYMh6qUsZZAMRdy4yznnuo5PQEkzWM+ZzjJfnZIqLxcB
Ba9gfVtmZq6YNyqZ5qso98JZBrkPsKttKsnsoUqLCQAP6zrHZXgbEoEidRjO0rgYYqt8hAoz4Iz6
1lY4A3dbw4NxH63T5eo+9VA7z4DPx4S5Ix6Ccz2wK0gg9Ia4zijWvq/2EafwLEWVHkRutJusyXwa
6xuHRuUjCyr0a1ej0cUnMM3Ikyo+SqeAPDIaewpGIzzgzeEmLJCDuN8h1WrGY2PrzzyFpiuoju1n
SEJmQT79f6vxM1ZDJ/nHTvt+1vA1/RqWr0bzVVJ0kobtH7amw7Np9whSxwKhaIHv0rxvpkPFqpg2
wMpv+Mpj0hAGsaqKrKAtkD6YiG+2wxoQZqsGqhY6iEPV0H7Jdjjc/2Rzg9RysFpgHhxdQ7MEZE3X
esDVo/K+d/TbAxxD/zDF2UKjX4Rw5HHyO6UwEfxcOySrtzRjQ1QfBv2fyNXZYKID7TLfbpTbGXYP
30JZT3xyNkMnOeR3iR9fLulodE2t3BlRksT7IitzjxO+GSZ0L70pAlcDOLG277fuZv8+JOKJL8ok
VKbaJk0Q7QrToZ3TYpzxtImepkFMhWWGHnPqkTDkby6IQy+pEd7ZBr0Dddyti2U6+wM1ozewYEcO
83hhQgG7TPMNLYZsdzV0IvtaQ61hVhKYLf30qQRZMiqpVdIZMAuHmRFXd9gMH19QHeHIPi4VmxpS
lCvjGejLCZXKwxQgPlBBX58qsRV/9KptOM7hAKGpY46jffYmIys2VuDFzDO9MCaRs+ZwR5zw0ljb
3H+N+85MmaMiho8I0SN4Bz8mGa1RLrrcrKgFETdBjqHqQ9YifJNVnop45OqAcC16QyWpZKH0SCsE
Tq0RXjLgjnWJSCfwxutV4NwtNfKqmrF+J2DtJEmdqbcuLzfmjo4DEbEh5WkyfbDiRvpMnSooz6CS
XH2wim0FDlK8BKLho6JE6TmqkNDPiBHGkVt+Xueopu736+sNlbUbivqQtnQKvAdnogTRhqgxjWkG
jw5gQJr6IkXx1Jt51wUsi6G7Ql00OMyUD5URIP+plhbdQhBaM8r9fqKbFCCVLR0O9WQZPjgh5jnX
3O3IcXbpJN9rJF1zpRrle9UcxULH03L96b6kwkQ3UlTmtPDTBr7YTaq4VxV9qykV02W5zLMdvSxR
njWQTPJSuhVHkTJehekDYnsf3P3hFp1v58JH1WmixIE61ih0Tx30eA5W+ClMCxpZk8QY7sJdPFa9
EPU83VuYB8Tziq1HLRJEbkSSzqbYi4SU/4eXhMmk9Cmt6z4cgJVPuOnSfhGpTfIVhXWV6qH2qTIP
dN/K8hsE3z4fKvIUOICbcYgu5KUVQ01EVdqlwSNrgY7IKZ1yNubl8kAGwFxWENtRoBgRCv9LyRGs
XDn72cgmLUjYVKVTzeUXTEDtTewQn35mhO8z3fbvYnW5nhjuZ9/L1eu9DzzI2tjKA6ftWqioL80R
epbBO/So3WGMoAxS1XTJ2QRe9qDGeyDPjrd6dyAlMsrzw11eZNHEDVe7sT7DnYc/g8QGBbtxvBd8
CF1R39JQ80CqA1CNlpOLAm+gj8BF0oQSFdUrDR7AEGYPaRvdvyqsrX6TK2o5UvTl5j0JLWYR0OVI
N0PkSnwPngOd5C9US7R5sEL1fTUzVTAlGgmkLZXJgtQzMh0HdPgOq/h+pRjV29mmVK+1IqfJimfb
tNTZKUR5pMSgFhZrG6H2eDU2Kpqu86ioAClobnu2chsniH8mK/u1Yq4+BzRwFRz96ApwFewmd6uM
nAPzuTnk1qWzjCD9G+oXmu0A+aE99vVmSzgV2sU9/sZVGW/ta/fgBCjtWKJrTAoahraJSOtDM9pF
9sgE7XShp95jWUTvgoouZVr5NiqBjahhoNE2SVmskS2YRGgboN12G+z4Plp7UzrDkxA343ji+Eo2
XANDHVUziFNL+ghfaGYwTxOftlnu4T5P9D1iYISS0cpRQJaR0dFUtxrrQQLSJU5ZUr6d3VW6M0Gc
Ye6lJHHcABWD7Tq37mc6mq5rBxQvnVhVttp0b6aLLaK4YNWq2WsrC42pGmna9cxF7JGGpJQJKvAf
cMfQ/fLW7iVMwDdJpH+y7fw29M3wKrf2H9xdjo5ZQP4hqgz7qlSD+MHzth/pG7UbbTbOwgbuMNzO
RBMZH76kVt44ZgHf0tWvEcpfw4iiohA5NvyoDDXsWTyaGQRSszT9kmWlOgo8+slah5IOoWYZjGZE
keOUNOQt3lc2NfeZe0EG2YNAhGSTQXBeud5DZVaXUFO1G9pMwvLUqxRdeWK/vcsdY5HL3ZrB23xl
34Yah9BeoRXcaoeS70rzownZA+tCXVv3mxWNO20icJoZ5Vd+ltIJYGvAby1KtAdRVxxRA7H/jFb7
f+1mJTXoynlKkMS/WPrRclKirz7dx3vQlPSMGiL6570hffpW9akxp6YpHnx3t0nz2bCwdPrazt4B
REzGOwre+xSkFwYtutKWysfS24QXqFI9GUh+YQvL8srdHjJsTZCNK8DEiEbug+vl1kQ4CsjDeOcq
guaEo+9GukEbKMOagAwxJnpE/5e9udGmvhN+3CFocXVQ3IeqyOEWpYiYKv4XQ9k41yBmyC0Abrsw
NzTJsRKH9rvmWr12yb6Sy+IkP2BVJxkqYKOdWx2M+DN8JlGOClAtpKMvAm0eQrA73NwNrZ5TN9l9
KNA6dNiKKeKpEWy3aLd230B78nb0LYQ9KDZZEq6BsV2mOuLS2tDZ2PrsvVHuBHgNwdSMFlJjK0+w
3qsLEg470FKxPrPeARZz7OzPBMDKIb7OAHejxxgmLmotoCjA/i+hvm4yqoZ3/7fc6xZdIPhD49pt
/qNcZNW7RQ6MJT9Wq8Wnb5MgLh7QMy+CovrVL/14oLYi/xdlfnQlBLe747DXD1U/zI/GiOY8c/kE
K8pwBiRwdVcU8+sLvzvCGW0/VlxroLsOpCbR3VNcxNrc8GSSvjcNP37DZj5//J3OGzziKxfid6Af
SIfCRQrg5+bgbISTOfBouiNiFdDo9WV058AjNtGAGgjUf301N/zPz8H8iazNCCROFjwWp8kbC4b4
z03C2RAnk+AM6OwD1kPzmkmAhnG6EKgrDcA9ClkW6Cfi+psWwtkbLOrtJ7ArJJf44eR2AxIzNuQ6
Wil1314wA00g/zpKVs3Vt7fX+YFIU0m9vmkOXOqNiEm1P/FzY+AYpJA8Fkl9NTfs0UaA59UYqMf9
f/uL5KuZ/hWLaA50ypq6C6Kovs6Wgkb+kzViAewGyMTFRvlbLOL3NwKJUcmVYLASPA8lGWR36uts
JUCHJf8KdwWqW339XcfC9ydBV4V8i9R+MAC5mS5EJQ/bIq4zm+iiYwUZDF5hOwuN/enRfqASyy8n
NQmmNoB2rFkUdl+cBAebiSwPKf3erQGyfLIm0XApXCBQAFrxxbdHh4wO7RDZ7N799q5LplTutzdE
VlZ0dzBaM8Chf+oUONaAdK5tGhrWQly9WwKGSPFKzoLpDMxaLwlAa32dnwi6OoDFhzNuNnaiuWGP
zICH9y45CWIjqCx09OzO1gDyB3CSBdS3mZ3eeccaxQOS/FJWUHcHlpAMBO7cXt1ZcDkQXaQfqFA0
dqJ35kAzHU3WP8ZB5FemqcwxBjhzC0BhAwuHIUuFtp7wHu0ByPnPQPG/Gi2b6oCSs4gFW9/wzB66
3oDbUPdyv9nLfvmG1LxU2b2AW+RAE3C+vuTzWcA31gVXv9kL/QsTTNRFJC0CZ6MIg4TS4tcdf3o2
EjLiFHFiEDTWVw93hOdylEnZRURZVcAeJE/MF2ehbmhMYRdh4ubz/q0FZE9kPQQOR6Q/UKcVihDi
YsDTteC52E1ySGSZmtOjmfY+WUePk0tyLRiAfBDmRVbneEiezYJGUIl2pe4KgR+u/nkKIJpkHSXT
Ghjk0VBM+fZbn64F2xsg3gRnyulrNhHLLW0XhLtIYpk56K4Bxx446EHTRqR9+975SaBPTNmdgFUk
VSqEv9qVfuYnOaSQALkY0Pv75ibp5Hdlj0bTZgtACwQg+LI5NAewFNDaayXGe2QHkQ6wZU8Dfn3W
NzJtx5Of5XRqAYia8Y5UmCTtHujdmYiXKL0IsACwM3GO2qBYuJ2nsyBSiNSVkJdqT4ve+UdCCQnz
JecfER2TOUPn7WX/SKN1BmdFrbHVO1NAWVD6/ckeUjOi7VeTLH+2CrwBLgPNsY7Zxf7tBexUszQl
agreAH0rE5/g5fNA02ziZhoJOmgCtv5jz+JGUfeR3QvGwHaxegC2m2Ph3C6KTDPJRg7N5vPmHOrX
6aBJzwI5BJpBeGC+v77lqV10SKEQWoO6b5zk/nnJBrpo0qUVcAcaDfw4IprXPPeQ3IGN90DTh/bz
3vmJBo6SbKxgGCRVcYUp3r64I1yViInqEjXHZpb6Zx1J9Eh7y+ItQR60zuKz6NlxBjR+ALddC8My
EU1Jq092wYSSIWsdVaoMZJi9k7c8tQtkmPkERhuNc+qrdzsC31k6z07hmd2AVwgP4PiWp7OgqfYA
mCYG1O1dlQUehCYbOxiUEw0hMXn0FDhuTt/fIcMMXQj93HZ++mcR0HWRtQhiFlwasNDprLnO82mc
Hg2TrD0dGje1VxYBR0fWInA68EtTT6BLS31114JW1x3bVlgiTOnT+wsclez7kyWhEZiHVHZznfsI
+IuQ51QBxqmv3llEtG2F4LZcBIk/aFBZN2BUNld3FVBzchBwBQLY18qj8JSaI/vfj6CoPCJ7rwmp
p2YSzuwi/tOAM5isU7vserQXDMSrpSNICwAi2EOabDYW8SybQrUJfS6hl/wNp9Ivi2CwDKRngZ6C
4AxotdD6y+fnAnE2WTc8xW9o5p7NwgudVn+1Ck3l0SC5TKTcHo9na6FGKDrUWdBuq41Pn/YC5ecm
rJeyBfB/EUS3MPgd5wi8HqLcno1/WF+9Sym2+npSBwKJVSDKdXfcF00hQSNdJ9HwhIxfXz08Fp/r
E/zqJhBJdtogkDhsE6vnm0DFR7Q0cm5qe27+/Fb4if3ylQkyXAbRU80BCRb5SyyQ733hyH14/nnL
exCYdkFu6HxRUEKaezfAd/H//+yAYGsv8OTDo1dY36f98/YFn9+6c6/jWx3/8TJYZHOaWlX1B1X7
mE13nf+J5p/n6/kpKYHVx8r79iT/+K/Oc564RX8xcL46G1fUaKXHzYJDEncHrsHj8gOv5nE+z4+P
WFMTakS27MjDeRR8SbIzyc6G+yE9dhIl2fwpOX3qBj4rP3IcLx6LADJnZ/AamSw7+GgRzXfzbHE6
coN7lR65pdm8Sr68Qk+jXH/uKqU2kErZu9AILgueuquwQSvKjjxdJMi7dkfGNSQakR35khkPguM4
9fI2wHsd/+FF0trXA+9HW/3qab7sLMAWsij7wFdRFMBf7u7IBg0oPXT8FMzPrEiDLZMeOdl1fzx0
KYh5ZIe9eW6bGvyT9MAMUD6uquMj1uuiISjKDn2b0MTy2TQ3gCXZse/mQdyxHgATfsfxcjdHWnwe
P51OR4urkX/kPJ8/ope+KIrOmm6RK9LjB4/LwJ93SZYNu0x+aM6C/Fw+pkGcyI+d5wH/bTYd29QC
Xn/H6EmZnQ8tUBLSQydxcWZDWuSB7MivF5+z+Zn3BPpOFPXlh97Ou+cW2RdRJ5cfePfqcr7e5Mug
e6wzvqhA/47xrxdZvuhYKkoXorD7Owa/W+yDx84x1tZFfsfgfybZ6viYdXzQwJWkh66VnYbzLOGk
7Bw7bU3j99zg+9JR39en+inP4c0y6M54U4+Tfeo3qwiPpBvV6E15Q3robOGf89jrioHswG8XcZzT
KXd+FiYgXCwKtbLDv1smT4tXV/mzs63J98sOf5+USIy9tBDbcvvvucHzhdjmqGWHf2D2F3m+6LgU
bf5Xfux9N6psM6qy474v5svjwhA2BfSy/hu8+Q+LbM3J1hm5Sf7JPvCLjSsaTIrs0B/nnDuxTz+F
7nPXJELpwf+q64akFfxhh2PZsb+vGPrDkV/KNH0tVD7PPx1lQV76s25yTXzjMVrMs3/+LwAAAP//
</cx:binary>
              </cx:geoCache>
            </cx:geography>
          </cx:layoutPr>
        </cx:series>
      </cx:plotAreaRegion>
    </cx:plotArea>
    <cx:legend pos="b" align="ctr" overlay="0">
      <cx:txPr>
        <a:bodyPr spcFirstLastPara="1" vertOverflow="ellipsis" horzOverflow="overflow" wrap="square" lIns="0" tIns="0" rIns="0" bIns="0" anchor="ctr" anchorCtr="1"/>
        <a:lstStyle/>
        <a:p>
          <a:pPr algn="ctr" rtl="0">
            <a:defRPr>
              <a:solidFill>
                <a:srgbClr val="7F7F7F"/>
              </a:solidFill>
            </a:defRPr>
          </a:pPr>
          <a:endParaRPr lang="en-US" sz="900" b="0" i="0" u="none" strike="noStrike" baseline="0">
            <a:solidFill>
              <a:srgbClr val="7F7F7F"/>
            </a:solidFill>
            <a:latin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microsoft.com/office/2014/relationships/chartEx" Target="../charts/chartEx1.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167592</xdr:colOff>
      <xdr:row>1</xdr:row>
      <xdr:rowOff>109018</xdr:rowOff>
    </xdr:from>
    <xdr:to>
      <xdr:col>25</xdr:col>
      <xdr:colOff>2505</xdr:colOff>
      <xdr:row>38</xdr:row>
      <xdr:rowOff>101904</xdr:rowOff>
    </xdr:to>
    <xdr:sp macro="" textlink="">
      <xdr:nvSpPr>
        <xdr:cNvPr id="3" name="Rectangle: Rounded Corners 2">
          <a:extLst>
            <a:ext uri="{FF2B5EF4-FFF2-40B4-BE49-F238E27FC236}">
              <a16:creationId xmlns:a16="http://schemas.microsoft.com/office/drawing/2014/main" id="{D6675695-8AF5-4C84-879C-A094CF9D5743}"/>
            </a:ext>
          </a:extLst>
        </xdr:cNvPr>
        <xdr:cNvSpPr/>
      </xdr:nvSpPr>
      <xdr:spPr>
        <a:xfrm>
          <a:off x="774811" y="299518"/>
          <a:ext cx="14408163" cy="7041386"/>
        </a:xfrm>
        <a:prstGeom prst="roundRect">
          <a:avLst>
            <a:gd name="adj" fmla="val 4912"/>
          </a:avLst>
        </a:prstGeom>
        <a:solidFill>
          <a:srgbClr val="CCE8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456865</xdr:colOff>
      <xdr:row>2</xdr:row>
      <xdr:rowOff>159890</xdr:rowOff>
    </xdr:from>
    <xdr:to>
      <xdr:col>24</xdr:col>
      <xdr:colOff>320452</xdr:colOff>
      <xdr:row>37</xdr:row>
      <xdr:rowOff>51033</xdr:rowOff>
    </xdr:to>
    <xdr:sp macro="" textlink="">
      <xdr:nvSpPr>
        <xdr:cNvPr id="4" name="Rectangle: Rounded Corners 3">
          <a:extLst>
            <a:ext uri="{FF2B5EF4-FFF2-40B4-BE49-F238E27FC236}">
              <a16:creationId xmlns:a16="http://schemas.microsoft.com/office/drawing/2014/main" id="{5BE91A35-C54D-41D6-AE19-92093715BBAC}"/>
            </a:ext>
          </a:extLst>
        </xdr:cNvPr>
        <xdr:cNvSpPr/>
      </xdr:nvSpPr>
      <xdr:spPr>
        <a:xfrm>
          <a:off x="1064084" y="540890"/>
          <a:ext cx="13829618" cy="6558643"/>
        </a:xfrm>
        <a:prstGeom prst="roundRect">
          <a:avLst>
            <a:gd name="adj" fmla="val 4912"/>
          </a:avLst>
        </a:prstGeom>
        <a:solidFill>
          <a:srgbClr val="E1F1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15657</xdr:colOff>
      <xdr:row>7</xdr:row>
      <xdr:rowOff>157170</xdr:rowOff>
    </xdr:from>
    <xdr:to>
      <xdr:col>8</xdr:col>
      <xdr:colOff>279637</xdr:colOff>
      <xdr:row>15</xdr:row>
      <xdr:rowOff>111270</xdr:rowOff>
    </xdr:to>
    <xdr:sp macro="" textlink="">
      <xdr:nvSpPr>
        <xdr:cNvPr id="5" name="Rectangle: Rounded Corners 4">
          <a:extLst>
            <a:ext uri="{FF2B5EF4-FFF2-40B4-BE49-F238E27FC236}">
              <a16:creationId xmlns:a16="http://schemas.microsoft.com/office/drawing/2014/main" id="{D7B0F18D-80B8-4872-9E60-8485E023BA31}"/>
            </a:ext>
          </a:extLst>
        </xdr:cNvPr>
        <xdr:cNvSpPr/>
      </xdr:nvSpPr>
      <xdr:spPr>
        <a:xfrm>
          <a:off x="1230095" y="1490670"/>
          <a:ext cx="3907292" cy="1478100"/>
        </a:xfrm>
        <a:prstGeom prst="roundRect">
          <a:avLst>
            <a:gd name="adj" fmla="val 9108"/>
          </a:avLst>
        </a:prstGeom>
        <a:solidFill>
          <a:srgbClr val="F8F9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26543</xdr:colOff>
      <xdr:row>16</xdr:row>
      <xdr:rowOff>31985</xdr:rowOff>
    </xdr:from>
    <xdr:to>
      <xdr:col>8</xdr:col>
      <xdr:colOff>290523</xdr:colOff>
      <xdr:row>35</xdr:row>
      <xdr:rowOff>146284</xdr:rowOff>
    </xdr:to>
    <xdr:sp macro="" textlink="">
      <xdr:nvSpPr>
        <xdr:cNvPr id="6" name="Rectangle: Rounded Corners 5">
          <a:extLst>
            <a:ext uri="{FF2B5EF4-FFF2-40B4-BE49-F238E27FC236}">
              <a16:creationId xmlns:a16="http://schemas.microsoft.com/office/drawing/2014/main" id="{7587673E-5ADD-494D-89CD-4CE6BA405DCF}"/>
            </a:ext>
          </a:extLst>
        </xdr:cNvPr>
        <xdr:cNvSpPr/>
      </xdr:nvSpPr>
      <xdr:spPr>
        <a:xfrm>
          <a:off x="1240981" y="3079985"/>
          <a:ext cx="3907292" cy="3733799"/>
        </a:xfrm>
        <a:prstGeom prst="roundRect">
          <a:avLst>
            <a:gd name="adj" fmla="val 5204"/>
          </a:avLst>
        </a:prstGeom>
        <a:solidFill>
          <a:srgbClr val="F8F9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470474</xdr:colOff>
      <xdr:row>22</xdr:row>
      <xdr:rowOff>10213</xdr:rowOff>
    </xdr:from>
    <xdr:to>
      <xdr:col>17</xdr:col>
      <xdr:colOff>134456</xdr:colOff>
      <xdr:row>35</xdr:row>
      <xdr:rowOff>124470</xdr:rowOff>
    </xdr:to>
    <xdr:sp macro="" textlink="">
      <xdr:nvSpPr>
        <xdr:cNvPr id="8" name="Rectangle: Rounded Corners 7">
          <a:extLst>
            <a:ext uri="{FF2B5EF4-FFF2-40B4-BE49-F238E27FC236}">
              <a16:creationId xmlns:a16="http://schemas.microsoft.com/office/drawing/2014/main" id="{F4820A8E-011D-4932-A84D-420869A8F521}"/>
            </a:ext>
          </a:extLst>
        </xdr:cNvPr>
        <xdr:cNvSpPr/>
      </xdr:nvSpPr>
      <xdr:spPr>
        <a:xfrm>
          <a:off x="5328224" y="4201213"/>
          <a:ext cx="5128951" cy="2590757"/>
        </a:xfrm>
        <a:prstGeom prst="roundRect">
          <a:avLst>
            <a:gd name="adj" fmla="val 5204"/>
          </a:avLst>
        </a:prstGeom>
        <a:solidFill>
          <a:srgbClr val="F8F9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470474</xdr:colOff>
      <xdr:row>7</xdr:row>
      <xdr:rowOff>146284</xdr:rowOff>
    </xdr:from>
    <xdr:to>
      <xdr:col>17</xdr:col>
      <xdr:colOff>134456</xdr:colOff>
      <xdr:row>21</xdr:row>
      <xdr:rowOff>70041</xdr:rowOff>
    </xdr:to>
    <xdr:sp macro="" textlink="">
      <xdr:nvSpPr>
        <xdr:cNvPr id="7" name="Rectangle: Rounded Corners 6">
          <a:extLst>
            <a:ext uri="{FF2B5EF4-FFF2-40B4-BE49-F238E27FC236}">
              <a16:creationId xmlns:a16="http://schemas.microsoft.com/office/drawing/2014/main" id="{8633786A-C7F0-4E80-B9B7-77241BA880FE}"/>
            </a:ext>
          </a:extLst>
        </xdr:cNvPr>
        <xdr:cNvSpPr/>
      </xdr:nvSpPr>
      <xdr:spPr>
        <a:xfrm>
          <a:off x="5328224" y="1479784"/>
          <a:ext cx="5128951" cy="2590757"/>
        </a:xfrm>
        <a:prstGeom prst="roundRect">
          <a:avLst>
            <a:gd name="adj" fmla="val 5204"/>
          </a:avLst>
        </a:prstGeom>
        <a:solidFill>
          <a:srgbClr val="F8F9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279634</xdr:colOff>
      <xdr:row>7</xdr:row>
      <xdr:rowOff>146284</xdr:rowOff>
    </xdr:from>
    <xdr:to>
      <xdr:col>24</xdr:col>
      <xdr:colOff>135401</xdr:colOff>
      <xdr:row>35</xdr:row>
      <xdr:rowOff>146284</xdr:rowOff>
    </xdr:to>
    <xdr:sp macro="" textlink="">
      <xdr:nvSpPr>
        <xdr:cNvPr id="9" name="Rectangle: Rounded Corners 8">
          <a:extLst>
            <a:ext uri="{FF2B5EF4-FFF2-40B4-BE49-F238E27FC236}">
              <a16:creationId xmlns:a16="http://schemas.microsoft.com/office/drawing/2014/main" id="{568C3DC8-645E-46F7-B07F-E0E4D2B398F3}"/>
            </a:ext>
          </a:extLst>
        </xdr:cNvPr>
        <xdr:cNvSpPr/>
      </xdr:nvSpPr>
      <xdr:spPr>
        <a:xfrm>
          <a:off x="10602353" y="1479784"/>
          <a:ext cx="4106298" cy="5334000"/>
        </a:xfrm>
        <a:prstGeom prst="roundRect">
          <a:avLst>
            <a:gd name="adj" fmla="val 3093"/>
          </a:avLst>
        </a:prstGeom>
        <a:solidFill>
          <a:srgbClr val="F8F9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579333</xdr:colOff>
      <xdr:row>3</xdr:row>
      <xdr:rowOff>105464</xdr:rowOff>
    </xdr:from>
    <xdr:to>
      <xdr:col>9</xdr:col>
      <xdr:colOff>344949</xdr:colOff>
      <xdr:row>6</xdr:row>
      <xdr:rowOff>51036</xdr:rowOff>
    </xdr:to>
    <xdr:sp macro="" textlink="">
      <xdr:nvSpPr>
        <xdr:cNvPr id="10" name="TextBox 9">
          <a:extLst>
            <a:ext uri="{FF2B5EF4-FFF2-40B4-BE49-F238E27FC236}">
              <a16:creationId xmlns:a16="http://schemas.microsoft.com/office/drawing/2014/main" id="{73BFAB8F-C86D-4F7A-9F73-416D3C8C1357}"/>
            </a:ext>
          </a:extLst>
        </xdr:cNvPr>
        <xdr:cNvSpPr txBox="1"/>
      </xdr:nvSpPr>
      <xdr:spPr>
        <a:xfrm>
          <a:off x="1186552" y="676964"/>
          <a:ext cx="4623366" cy="517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solidFill>
                <a:srgbClr val="387C38"/>
              </a:solidFill>
            </a:rPr>
            <a:t>FURNITURE SALES OVERVIEW</a:t>
          </a:r>
        </a:p>
      </xdr:txBody>
    </xdr:sp>
    <xdr:clientData/>
  </xdr:twoCellAnchor>
  <xdr:twoCellAnchor>
    <xdr:from>
      <xdr:col>1</xdr:col>
      <xdr:colOff>579330</xdr:colOff>
      <xdr:row>5</xdr:row>
      <xdr:rowOff>127236</xdr:rowOff>
    </xdr:from>
    <xdr:to>
      <xdr:col>12</xdr:col>
      <xdr:colOff>15654</xdr:colOff>
      <xdr:row>7</xdr:row>
      <xdr:rowOff>40151</xdr:rowOff>
    </xdr:to>
    <xdr:sp macro="" textlink="">
      <xdr:nvSpPr>
        <xdr:cNvPr id="11" name="TextBox 10">
          <a:extLst>
            <a:ext uri="{FF2B5EF4-FFF2-40B4-BE49-F238E27FC236}">
              <a16:creationId xmlns:a16="http://schemas.microsoft.com/office/drawing/2014/main" id="{D79DE4F9-6BB3-4AF4-B23D-DAA393DC82A2}"/>
            </a:ext>
          </a:extLst>
        </xdr:cNvPr>
        <xdr:cNvSpPr txBox="1"/>
      </xdr:nvSpPr>
      <xdr:spPr>
        <a:xfrm>
          <a:off x="1186549" y="1079736"/>
          <a:ext cx="6115730" cy="29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rPr>
            <a:t>A Summary of sales perfromance, shipping trends, and regional distribution across the U.S.</a:t>
          </a:r>
        </a:p>
      </xdr:txBody>
    </xdr:sp>
    <xdr:clientData/>
  </xdr:twoCellAnchor>
  <xdr:twoCellAnchor>
    <xdr:from>
      <xdr:col>2</xdr:col>
      <xdr:colOff>88451</xdr:colOff>
      <xdr:row>8</xdr:row>
      <xdr:rowOff>61919</xdr:rowOff>
    </xdr:from>
    <xdr:to>
      <xdr:col>4</xdr:col>
      <xdr:colOff>96154</xdr:colOff>
      <xdr:row>15</xdr:row>
      <xdr:rowOff>26519</xdr:rowOff>
    </xdr:to>
    <xdr:sp macro="" textlink="">
      <xdr:nvSpPr>
        <xdr:cNvPr id="2" name="Rectangle: Rounded Corners 1">
          <a:extLst>
            <a:ext uri="{FF2B5EF4-FFF2-40B4-BE49-F238E27FC236}">
              <a16:creationId xmlns:a16="http://schemas.microsoft.com/office/drawing/2014/main" id="{9FB8EEDA-DD84-4175-B636-635352FAD67A}"/>
            </a:ext>
          </a:extLst>
        </xdr:cNvPr>
        <xdr:cNvSpPr/>
      </xdr:nvSpPr>
      <xdr:spPr>
        <a:xfrm>
          <a:off x="1302889" y="1585919"/>
          <a:ext cx="1222140" cy="1298100"/>
        </a:xfrm>
        <a:prstGeom prst="roundRect">
          <a:avLst>
            <a:gd name="adj" fmla="val 9108"/>
          </a:avLst>
        </a:prstGeom>
        <a:solidFill>
          <a:srgbClr val="E1F1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139950</xdr:colOff>
      <xdr:row>8</xdr:row>
      <xdr:rowOff>51033</xdr:rowOff>
    </xdr:from>
    <xdr:to>
      <xdr:col>6</xdr:col>
      <xdr:colOff>147654</xdr:colOff>
      <xdr:row>15</xdr:row>
      <xdr:rowOff>15633</xdr:rowOff>
    </xdr:to>
    <xdr:sp macro="" textlink="">
      <xdr:nvSpPr>
        <xdr:cNvPr id="12" name="Rectangle: Rounded Corners 11">
          <a:extLst>
            <a:ext uri="{FF2B5EF4-FFF2-40B4-BE49-F238E27FC236}">
              <a16:creationId xmlns:a16="http://schemas.microsoft.com/office/drawing/2014/main" id="{172BF743-A475-440C-8F0B-1E4A238BF894}"/>
            </a:ext>
          </a:extLst>
        </xdr:cNvPr>
        <xdr:cNvSpPr/>
      </xdr:nvSpPr>
      <xdr:spPr>
        <a:xfrm>
          <a:off x="2568825" y="1575033"/>
          <a:ext cx="1222142" cy="1298100"/>
        </a:xfrm>
        <a:prstGeom prst="roundRect">
          <a:avLst>
            <a:gd name="adj" fmla="val 9108"/>
          </a:avLst>
        </a:prstGeom>
        <a:solidFill>
          <a:srgbClr val="E1F1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189983</xdr:colOff>
      <xdr:row>8</xdr:row>
      <xdr:rowOff>51033</xdr:rowOff>
    </xdr:from>
    <xdr:to>
      <xdr:col>8</xdr:col>
      <xdr:colOff>199212</xdr:colOff>
      <xdr:row>15</xdr:row>
      <xdr:rowOff>15633</xdr:rowOff>
    </xdr:to>
    <xdr:sp macro="" textlink="">
      <xdr:nvSpPr>
        <xdr:cNvPr id="13" name="Rectangle: Rounded Corners 12">
          <a:extLst>
            <a:ext uri="{FF2B5EF4-FFF2-40B4-BE49-F238E27FC236}">
              <a16:creationId xmlns:a16="http://schemas.microsoft.com/office/drawing/2014/main" id="{47F0D079-DA97-4F9E-B398-BCA008CEBA67}"/>
            </a:ext>
          </a:extLst>
        </xdr:cNvPr>
        <xdr:cNvSpPr/>
      </xdr:nvSpPr>
      <xdr:spPr>
        <a:xfrm>
          <a:off x="3833296" y="1575033"/>
          <a:ext cx="1223666" cy="1298100"/>
        </a:xfrm>
        <a:prstGeom prst="roundRect">
          <a:avLst>
            <a:gd name="adj" fmla="val 9108"/>
          </a:avLst>
        </a:prstGeom>
        <a:solidFill>
          <a:srgbClr val="E1F1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441613</xdr:colOff>
      <xdr:row>8</xdr:row>
      <xdr:rowOff>154454</xdr:rowOff>
    </xdr:from>
    <xdr:to>
      <xdr:col>3</xdr:col>
      <xdr:colOff>352931</xdr:colOff>
      <xdr:row>10</xdr:row>
      <xdr:rowOff>29267</xdr:rowOff>
    </xdr:to>
    <xdr:sp macro="" textlink="">
      <xdr:nvSpPr>
        <xdr:cNvPr id="14" name="TextBox 13">
          <a:extLst>
            <a:ext uri="{FF2B5EF4-FFF2-40B4-BE49-F238E27FC236}">
              <a16:creationId xmlns:a16="http://schemas.microsoft.com/office/drawing/2014/main" id="{9807DB44-B4F8-44DB-93DE-6EA7DDC513BB}"/>
            </a:ext>
          </a:extLst>
        </xdr:cNvPr>
        <xdr:cNvSpPr txBox="1"/>
      </xdr:nvSpPr>
      <xdr:spPr>
        <a:xfrm>
          <a:off x="1656051" y="1678454"/>
          <a:ext cx="518536" cy="255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rPr>
            <a:t>Sales</a:t>
          </a:r>
          <a:r>
            <a:rPr lang="en-GB" sz="1200" baseline="0">
              <a:solidFill>
                <a:schemeClr val="tx1">
                  <a:lumMod val="50000"/>
                  <a:lumOff val="50000"/>
                </a:schemeClr>
              </a:solidFill>
            </a:rPr>
            <a:t> </a:t>
          </a:r>
          <a:endParaRPr lang="en-GB" sz="1200">
            <a:solidFill>
              <a:schemeClr val="tx1">
                <a:lumMod val="50000"/>
                <a:lumOff val="50000"/>
              </a:schemeClr>
            </a:solidFill>
          </a:endParaRPr>
        </a:p>
      </xdr:txBody>
    </xdr:sp>
    <xdr:clientData/>
  </xdr:twoCellAnchor>
  <xdr:twoCellAnchor>
    <xdr:from>
      <xdr:col>6</xdr:col>
      <xdr:colOff>429398</xdr:colOff>
      <xdr:row>8</xdr:row>
      <xdr:rowOff>143570</xdr:rowOff>
    </xdr:from>
    <xdr:to>
      <xdr:col>7</xdr:col>
      <xdr:colOff>564634</xdr:colOff>
      <xdr:row>10</xdr:row>
      <xdr:rowOff>29267</xdr:rowOff>
    </xdr:to>
    <xdr:sp macro="" textlink="">
      <xdr:nvSpPr>
        <xdr:cNvPr id="15" name="TextBox 14">
          <a:extLst>
            <a:ext uri="{FF2B5EF4-FFF2-40B4-BE49-F238E27FC236}">
              <a16:creationId xmlns:a16="http://schemas.microsoft.com/office/drawing/2014/main" id="{45A11844-0B3C-446D-B043-BCAEBE13A404}"/>
            </a:ext>
          </a:extLst>
        </xdr:cNvPr>
        <xdr:cNvSpPr txBox="1"/>
      </xdr:nvSpPr>
      <xdr:spPr>
        <a:xfrm>
          <a:off x="4072711" y="1667570"/>
          <a:ext cx="742454" cy="266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rPr>
            <a:t>Quantity</a:t>
          </a:r>
          <a:r>
            <a:rPr lang="en-GB" sz="1200" baseline="0">
              <a:solidFill>
                <a:schemeClr val="tx1">
                  <a:lumMod val="50000"/>
                  <a:lumOff val="50000"/>
                </a:schemeClr>
              </a:solidFill>
            </a:rPr>
            <a:t> </a:t>
          </a:r>
          <a:endParaRPr lang="en-GB" sz="1200">
            <a:solidFill>
              <a:schemeClr val="tx1">
                <a:lumMod val="50000"/>
                <a:lumOff val="50000"/>
              </a:schemeClr>
            </a:solidFill>
          </a:endParaRPr>
        </a:p>
      </xdr:txBody>
    </xdr:sp>
    <xdr:clientData/>
  </xdr:twoCellAnchor>
  <xdr:twoCellAnchor>
    <xdr:from>
      <xdr:col>4</xdr:col>
      <xdr:colOff>486205</xdr:colOff>
      <xdr:row>8</xdr:row>
      <xdr:rowOff>154454</xdr:rowOff>
    </xdr:from>
    <xdr:to>
      <xdr:col>5</xdr:col>
      <xdr:colOff>416723</xdr:colOff>
      <xdr:row>10</xdr:row>
      <xdr:rowOff>35724</xdr:rowOff>
    </xdr:to>
    <xdr:sp macro="" textlink="">
      <xdr:nvSpPr>
        <xdr:cNvPr id="16" name="TextBox 15">
          <a:extLst>
            <a:ext uri="{FF2B5EF4-FFF2-40B4-BE49-F238E27FC236}">
              <a16:creationId xmlns:a16="http://schemas.microsoft.com/office/drawing/2014/main" id="{A61D9D3B-4027-48A4-BFFF-F78DC0700957}"/>
            </a:ext>
          </a:extLst>
        </xdr:cNvPr>
        <xdr:cNvSpPr txBox="1"/>
      </xdr:nvSpPr>
      <xdr:spPr>
        <a:xfrm>
          <a:off x="2915080" y="1678454"/>
          <a:ext cx="537737" cy="26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rPr>
            <a:t>Profit</a:t>
          </a:r>
          <a:r>
            <a:rPr lang="en-GB" sz="1200" baseline="0">
              <a:solidFill>
                <a:schemeClr val="tx1">
                  <a:lumMod val="50000"/>
                  <a:lumOff val="50000"/>
                </a:schemeClr>
              </a:solidFill>
            </a:rPr>
            <a:t> </a:t>
          </a:r>
          <a:endParaRPr lang="en-GB" sz="1200">
            <a:solidFill>
              <a:schemeClr val="tx1">
                <a:lumMod val="50000"/>
                <a:lumOff val="50000"/>
              </a:schemeClr>
            </a:solidFill>
          </a:endParaRPr>
        </a:p>
      </xdr:txBody>
    </xdr:sp>
    <xdr:clientData/>
  </xdr:twoCellAnchor>
  <xdr:twoCellAnchor>
    <xdr:from>
      <xdr:col>2</xdr:col>
      <xdr:colOff>227642</xdr:colOff>
      <xdr:row>10</xdr:row>
      <xdr:rowOff>72808</xdr:rowOff>
    </xdr:from>
    <xdr:to>
      <xdr:col>3</xdr:col>
      <xdr:colOff>564181</xdr:colOff>
      <xdr:row>12</xdr:row>
      <xdr:rowOff>72807</xdr:rowOff>
    </xdr:to>
    <xdr:sp macro="" textlink="ANALYSIS!A5">
      <xdr:nvSpPr>
        <xdr:cNvPr id="17" name="TextBox 16">
          <a:extLst>
            <a:ext uri="{FF2B5EF4-FFF2-40B4-BE49-F238E27FC236}">
              <a16:creationId xmlns:a16="http://schemas.microsoft.com/office/drawing/2014/main" id="{E4AF20B3-967B-4360-BB21-FC8A584921A3}"/>
            </a:ext>
          </a:extLst>
        </xdr:cNvPr>
        <xdr:cNvSpPr txBox="1"/>
      </xdr:nvSpPr>
      <xdr:spPr>
        <a:xfrm>
          <a:off x="1442080" y="1977808"/>
          <a:ext cx="943757"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3CB8BC1-278E-4FD3-9282-2DADAB2F74C4}" type="TxLink">
            <a:rPr lang="en-US" sz="1800" b="0" i="0" u="none" strike="noStrike">
              <a:solidFill>
                <a:srgbClr val="387C38"/>
              </a:solidFill>
              <a:latin typeface="Calibri"/>
              <a:ea typeface="Calibri"/>
              <a:cs typeface="Calibri"/>
            </a:rPr>
            <a:pPr marL="0" indent="0" algn="ctr"/>
            <a:t>$742.1K</a:t>
          </a:fld>
          <a:endParaRPr lang="en-GB" sz="1800" b="0" i="0" u="none" strike="noStrike">
            <a:solidFill>
              <a:srgbClr val="387C38"/>
            </a:solidFill>
            <a:latin typeface="Calibri"/>
            <a:ea typeface="Calibri"/>
            <a:cs typeface="Calibri"/>
          </a:endParaRPr>
        </a:p>
      </xdr:txBody>
    </xdr:sp>
    <xdr:clientData/>
  </xdr:twoCellAnchor>
  <xdr:twoCellAnchor>
    <xdr:from>
      <xdr:col>4</xdr:col>
      <xdr:colOff>247984</xdr:colOff>
      <xdr:row>10</xdr:row>
      <xdr:rowOff>72808</xdr:rowOff>
    </xdr:from>
    <xdr:to>
      <xdr:col>6</xdr:col>
      <xdr:colOff>39620</xdr:colOff>
      <xdr:row>12</xdr:row>
      <xdr:rowOff>72807</xdr:rowOff>
    </xdr:to>
    <xdr:sp macro="" textlink="ANALYSIS!C5">
      <xdr:nvSpPr>
        <xdr:cNvPr id="19" name="TextBox 18">
          <a:extLst>
            <a:ext uri="{FF2B5EF4-FFF2-40B4-BE49-F238E27FC236}">
              <a16:creationId xmlns:a16="http://schemas.microsoft.com/office/drawing/2014/main" id="{276E5BE5-5EDC-4F5C-977A-A63F6BA519DF}"/>
            </a:ext>
          </a:extLst>
        </xdr:cNvPr>
        <xdr:cNvSpPr txBox="1"/>
      </xdr:nvSpPr>
      <xdr:spPr>
        <a:xfrm>
          <a:off x="2676859" y="1977808"/>
          <a:ext cx="100607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AFDE520-49BA-42A9-8054-EFBEAE4515A7}" type="TxLink">
            <a:rPr lang="en-US" sz="1800" b="0" i="0" u="none" strike="noStrike">
              <a:solidFill>
                <a:srgbClr val="387C38"/>
              </a:solidFill>
              <a:latin typeface="Calibri"/>
              <a:ea typeface="Calibri"/>
              <a:cs typeface="Calibri"/>
            </a:rPr>
            <a:pPr marL="0" indent="0" algn="ctr"/>
            <a:t>$22.1K</a:t>
          </a:fld>
          <a:endParaRPr lang="en-GB" sz="1800" b="0" i="0" u="none" strike="noStrike">
            <a:solidFill>
              <a:srgbClr val="387C38"/>
            </a:solidFill>
            <a:latin typeface="Calibri"/>
            <a:ea typeface="Calibri"/>
            <a:cs typeface="Calibri"/>
          </a:endParaRPr>
        </a:p>
      </xdr:txBody>
    </xdr:sp>
    <xdr:clientData/>
  </xdr:twoCellAnchor>
  <xdr:twoCellAnchor>
    <xdr:from>
      <xdr:col>6</xdr:col>
      <xdr:colOff>353087</xdr:colOff>
      <xdr:row>10</xdr:row>
      <xdr:rowOff>72808</xdr:rowOff>
    </xdr:from>
    <xdr:to>
      <xdr:col>8</xdr:col>
      <xdr:colOff>37422</xdr:colOff>
      <xdr:row>12</xdr:row>
      <xdr:rowOff>72807</xdr:rowOff>
    </xdr:to>
    <xdr:sp macro="" textlink="ANALYSIS!B5">
      <xdr:nvSpPr>
        <xdr:cNvPr id="20" name="TextBox 19">
          <a:extLst>
            <a:ext uri="{FF2B5EF4-FFF2-40B4-BE49-F238E27FC236}">
              <a16:creationId xmlns:a16="http://schemas.microsoft.com/office/drawing/2014/main" id="{424A9C1E-E23C-4FB0-80FD-C0CC48196FFA}"/>
            </a:ext>
          </a:extLst>
        </xdr:cNvPr>
        <xdr:cNvSpPr txBox="1"/>
      </xdr:nvSpPr>
      <xdr:spPr>
        <a:xfrm>
          <a:off x="3996400" y="1977808"/>
          <a:ext cx="898772"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E5E9886-A5DD-4C47-86D4-80AA1E59CE2B}" type="TxLink">
            <a:rPr lang="en-US" sz="1800" b="0" i="0" u="none" strike="noStrike">
              <a:solidFill>
                <a:srgbClr val="387C38"/>
              </a:solidFill>
              <a:latin typeface="Calibri"/>
              <a:ea typeface="Calibri"/>
              <a:cs typeface="Calibri"/>
            </a:rPr>
            <a:pPr marL="0" indent="0" algn="ctr"/>
            <a:t>7419</a:t>
          </a:fld>
          <a:endParaRPr lang="en-GB" sz="1800" b="0" i="0" u="none" strike="noStrike">
            <a:solidFill>
              <a:srgbClr val="387C38"/>
            </a:solidFill>
            <a:latin typeface="Calibri"/>
            <a:ea typeface="Calibri"/>
            <a:cs typeface="Calibri"/>
          </a:endParaRPr>
        </a:p>
      </xdr:txBody>
    </xdr:sp>
    <xdr:clientData/>
  </xdr:twoCellAnchor>
  <xdr:twoCellAnchor>
    <xdr:from>
      <xdr:col>2</xdr:col>
      <xdr:colOff>258310</xdr:colOff>
      <xdr:row>13</xdr:row>
      <xdr:rowOff>83691</xdr:rowOff>
    </xdr:from>
    <xdr:to>
      <xdr:col>3</xdr:col>
      <xdr:colOff>533513</xdr:colOff>
      <xdr:row>14</xdr:row>
      <xdr:rowOff>187106</xdr:rowOff>
    </xdr:to>
    <xdr:sp macro="" textlink="ANALYSIS!P17">
      <xdr:nvSpPr>
        <xdr:cNvPr id="21" name="TextBox 20">
          <a:extLst>
            <a:ext uri="{FF2B5EF4-FFF2-40B4-BE49-F238E27FC236}">
              <a16:creationId xmlns:a16="http://schemas.microsoft.com/office/drawing/2014/main" id="{22BF6E22-82B8-41CE-BFF0-3F04B9088916}"/>
            </a:ext>
          </a:extLst>
        </xdr:cNvPr>
        <xdr:cNvSpPr txBox="1"/>
      </xdr:nvSpPr>
      <xdr:spPr>
        <a:xfrm>
          <a:off x="1472748" y="2560191"/>
          <a:ext cx="882421" cy="29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FEEA0AA-6A2D-4BA2-B572-A9F5E0EA65F2}" type="TxLink">
            <a:rPr lang="en-US" sz="1100" b="0" i="0" u="none" strike="noStrike">
              <a:solidFill>
                <a:schemeClr val="tx1">
                  <a:lumMod val="50000"/>
                  <a:lumOff val="50000"/>
                </a:schemeClr>
              </a:solidFill>
              <a:latin typeface="Calibri"/>
              <a:ea typeface="Calibri"/>
              <a:cs typeface="Calibri"/>
            </a:rPr>
            <a:pPr marL="0" indent="0"/>
            <a:t>▼0% YoY</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4</xdr:col>
      <xdr:colOff>315252</xdr:colOff>
      <xdr:row>13</xdr:row>
      <xdr:rowOff>83691</xdr:rowOff>
    </xdr:from>
    <xdr:to>
      <xdr:col>6</xdr:col>
      <xdr:colOff>47623</xdr:colOff>
      <xdr:row>14</xdr:row>
      <xdr:rowOff>187106</xdr:rowOff>
    </xdr:to>
    <xdr:sp macro="" textlink="ANALYSIS!P11">
      <xdr:nvSpPr>
        <xdr:cNvPr id="23" name="TextBox 22">
          <a:extLst>
            <a:ext uri="{FF2B5EF4-FFF2-40B4-BE49-F238E27FC236}">
              <a16:creationId xmlns:a16="http://schemas.microsoft.com/office/drawing/2014/main" id="{8AE1760C-0ACE-44E0-951A-DDCE3210BF5E}"/>
            </a:ext>
          </a:extLst>
        </xdr:cNvPr>
        <xdr:cNvSpPr txBox="1"/>
      </xdr:nvSpPr>
      <xdr:spPr>
        <a:xfrm>
          <a:off x="2744127" y="2560191"/>
          <a:ext cx="946809" cy="29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20262C9-C18F-44AB-873D-987A0FE5D958}" type="TxLink">
            <a:rPr lang="en-US" sz="1100" b="0" i="0" u="none" strike="noStrike">
              <a:solidFill>
                <a:schemeClr val="tx1">
                  <a:lumMod val="50000"/>
                  <a:lumOff val="50000"/>
                </a:schemeClr>
              </a:solidFill>
              <a:latin typeface="Calibri"/>
              <a:ea typeface="Calibri"/>
              <a:cs typeface="Calibri"/>
            </a:rPr>
            <a:pPr marL="0" indent="0"/>
            <a:t>▼0% YoY</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6</xdr:col>
      <xdr:colOff>368769</xdr:colOff>
      <xdr:row>13</xdr:row>
      <xdr:rowOff>83691</xdr:rowOff>
    </xdr:from>
    <xdr:to>
      <xdr:col>8</xdr:col>
      <xdr:colOff>23147</xdr:colOff>
      <xdr:row>14</xdr:row>
      <xdr:rowOff>187106</xdr:rowOff>
    </xdr:to>
    <xdr:sp macro="" textlink="ANALYSIS!P23">
      <xdr:nvSpPr>
        <xdr:cNvPr id="24" name="TextBox 23">
          <a:extLst>
            <a:ext uri="{FF2B5EF4-FFF2-40B4-BE49-F238E27FC236}">
              <a16:creationId xmlns:a16="http://schemas.microsoft.com/office/drawing/2014/main" id="{5176EE31-DA9A-4530-9113-00A7E0C626B0}"/>
            </a:ext>
          </a:extLst>
        </xdr:cNvPr>
        <xdr:cNvSpPr txBox="1"/>
      </xdr:nvSpPr>
      <xdr:spPr>
        <a:xfrm>
          <a:off x="4012082" y="2560191"/>
          <a:ext cx="868815" cy="29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0114853-5F44-4D39-9377-6E0F93FC1AA4}" type="TxLink">
            <a:rPr lang="en-US" sz="1100" b="0" i="0" u="none" strike="noStrike">
              <a:solidFill>
                <a:schemeClr val="tx1">
                  <a:lumMod val="50000"/>
                  <a:lumOff val="50000"/>
                </a:schemeClr>
              </a:solidFill>
              <a:latin typeface="Calibri"/>
              <a:ea typeface="Calibri"/>
              <a:cs typeface="Calibri"/>
            </a:rPr>
            <a:pPr marL="0" indent="0"/>
            <a:t>▼0% YoY</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2</xdr:col>
      <xdr:colOff>92751</xdr:colOff>
      <xdr:row>16</xdr:row>
      <xdr:rowOff>99732</xdr:rowOff>
    </xdr:from>
    <xdr:to>
      <xdr:col>4</xdr:col>
      <xdr:colOff>373874</xdr:colOff>
      <xdr:row>17</xdr:row>
      <xdr:rowOff>143275</xdr:rowOff>
    </xdr:to>
    <xdr:sp macro="" textlink="">
      <xdr:nvSpPr>
        <xdr:cNvPr id="25" name="TextBox 24">
          <a:extLst>
            <a:ext uri="{FF2B5EF4-FFF2-40B4-BE49-F238E27FC236}">
              <a16:creationId xmlns:a16="http://schemas.microsoft.com/office/drawing/2014/main" id="{1D5900DC-AEFF-41E1-A34A-FC5A425A2AF0}"/>
            </a:ext>
          </a:extLst>
        </xdr:cNvPr>
        <xdr:cNvSpPr txBox="1"/>
      </xdr:nvSpPr>
      <xdr:spPr>
        <a:xfrm>
          <a:off x="1307189" y="3147732"/>
          <a:ext cx="1495560" cy="234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rgbClr val="387C38"/>
              </a:solidFill>
            </a:rPr>
            <a:t>Shipping</a:t>
          </a:r>
          <a:r>
            <a:rPr lang="en-GB" sz="1200" baseline="0">
              <a:solidFill>
                <a:srgbClr val="387C38"/>
              </a:solidFill>
            </a:rPr>
            <a:t> Mode</a:t>
          </a:r>
          <a:endParaRPr lang="en-GB" sz="1200">
            <a:solidFill>
              <a:srgbClr val="387C38"/>
            </a:solidFill>
          </a:endParaRPr>
        </a:p>
      </xdr:txBody>
    </xdr:sp>
    <xdr:clientData/>
  </xdr:twoCellAnchor>
  <xdr:twoCellAnchor>
    <xdr:from>
      <xdr:col>2</xdr:col>
      <xdr:colOff>92748</xdr:colOff>
      <xdr:row>17</xdr:row>
      <xdr:rowOff>99735</xdr:rowOff>
    </xdr:from>
    <xdr:to>
      <xdr:col>8</xdr:col>
      <xdr:colOff>115470</xdr:colOff>
      <xdr:row>19</xdr:row>
      <xdr:rowOff>50745</xdr:rowOff>
    </xdr:to>
    <xdr:sp macro="" textlink="ANALYSIS!F29">
      <xdr:nvSpPr>
        <xdr:cNvPr id="26" name="TextBox 25">
          <a:extLst>
            <a:ext uri="{FF2B5EF4-FFF2-40B4-BE49-F238E27FC236}">
              <a16:creationId xmlns:a16="http://schemas.microsoft.com/office/drawing/2014/main" id="{283A7172-C180-4836-BB3E-7C9D2C0DE43B}"/>
            </a:ext>
          </a:extLst>
        </xdr:cNvPr>
        <xdr:cNvSpPr txBox="1"/>
      </xdr:nvSpPr>
      <xdr:spPr>
        <a:xfrm>
          <a:off x="1307186" y="3338235"/>
          <a:ext cx="3666034" cy="332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C11B2A5-4F81-4E8E-8A13-1AFDBD47B66C}" type="TxLink">
            <a:rPr lang="en-US" sz="1100" b="0" i="0" u="none" strike="noStrike">
              <a:solidFill>
                <a:schemeClr val="tx1">
                  <a:lumMod val="50000"/>
                  <a:lumOff val="50000"/>
                </a:schemeClr>
              </a:solidFill>
              <a:latin typeface="Calibri"/>
              <a:ea typeface="Calibri"/>
              <a:cs typeface="Calibri"/>
            </a:rPr>
            <a:pPr marL="0" indent="0"/>
            <a:t>Most orders used Standard Class (61%)</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2</xdr:col>
      <xdr:colOff>75694</xdr:colOff>
      <xdr:row>18</xdr:row>
      <xdr:rowOff>130975</xdr:rowOff>
    </xdr:from>
    <xdr:to>
      <xdr:col>8</xdr:col>
      <xdr:colOff>221366</xdr:colOff>
      <xdr:row>26</xdr:row>
      <xdr:rowOff>54175</xdr:rowOff>
    </xdr:to>
    <xdr:graphicFrame macro="">
      <xdr:nvGraphicFramePr>
        <xdr:cNvPr id="27" name="Chart 26">
          <a:extLst>
            <a:ext uri="{FF2B5EF4-FFF2-40B4-BE49-F238E27FC236}">
              <a16:creationId xmlns:a16="http://schemas.microsoft.com/office/drawing/2014/main" id="{05010811-376B-498F-96D2-14325A811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92748</xdr:colOff>
      <xdr:row>26</xdr:row>
      <xdr:rowOff>66734</xdr:rowOff>
    </xdr:from>
    <xdr:to>
      <xdr:col>8</xdr:col>
      <xdr:colOff>103296</xdr:colOff>
      <xdr:row>28</xdr:row>
      <xdr:rowOff>23187</xdr:rowOff>
    </xdr:to>
    <xdr:sp macro="" textlink="ANALYSIS!F38">
      <xdr:nvSpPr>
        <xdr:cNvPr id="30" name="TextBox 29">
          <a:extLst>
            <a:ext uri="{FF2B5EF4-FFF2-40B4-BE49-F238E27FC236}">
              <a16:creationId xmlns:a16="http://schemas.microsoft.com/office/drawing/2014/main" id="{25DAB3D3-4C50-4D59-AB53-D1F14B1A470D}"/>
            </a:ext>
          </a:extLst>
        </xdr:cNvPr>
        <xdr:cNvSpPr txBox="1"/>
      </xdr:nvSpPr>
      <xdr:spPr>
        <a:xfrm>
          <a:off x="1307186" y="5019734"/>
          <a:ext cx="3653860" cy="337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B20E02-BEBC-42D4-AEF3-B058676935B9}" type="TxLink">
            <a:rPr lang="en-US" sz="1100" b="0" i="0" u="none" strike="noStrike">
              <a:solidFill>
                <a:schemeClr val="tx1">
                  <a:lumMod val="50000"/>
                  <a:lumOff val="50000"/>
                </a:schemeClr>
              </a:solidFill>
              <a:latin typeface="Calibri"/>
              <a:ea typeface="Calibri"/>
              <a:cs typeface="Calibri"/>
            </a:rPr>
            <a:pPr marL="0" indent="0"/>
            <a:t>Highest Sales from Category: Chairs ($335,007)</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3</xdr:col>
      <xdr:colOff>156733</xdr:colOff>
      <xdr:row>19</xdr:row>
      <xdr:rowOff>124502</xdr:rowOff>
    </xdr:from>
    <xdr:to>
      <xdr:col>5</xdr:col>
      <xdr:colOff>76137</xdr:colOff>
      <xdr:row>25</xdr:row>
      <xdr:rowOff>117175</xdr:rowOff>
    </xdr:to>
    <xdr:sp macro="" textlink="">
      <xdr:nvSpPr>
        <xdr:cNvPr id="28" name="Oval 27">
          <a:extLst>
            <a:ext uri="{FF2B5EF4-FFF2-40B4-BE49-F238E27FC236}">
              <a16:creationId xmlns:a16="http://schemas.microsoft.com/office/drawing/2014/main" id="{C24E143F-E4D4-47AA-B9DC-D4DA2C69D583}"/>
            </a:ext>
          </a:extLst>
        </xdr:cNvPr>
        <xdr:cNvSpPr/>
      </xdr:nvSpPr>
      <xdr:spPr>
        <a:xfrm>
          <a:off x="1978389" y="3744002"/>
          <a:ext cx="1133842" cy="1135673"/>
        </a:xfrm>
        <a:prstGeom prst="ellipse">
          <a:avLst/>
        </a:prstGeom>
        <a:solidFill>
          <a:srgbClr val="E1F1E1"/>
        </a:solidFill>
        <a:ln w="47625">
          <a:solidFill>
            <a:srgbClr val="F8F9F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600420</xdr:colOff>
      <xdr:row>8</xdr:row>
      <xdr:rowOff>37424</xdr:rowOff>
    </xdr:from>
    <xdr:to>
      <xdr:col>16</xdr:col>
      <xdr:colOff>559599</xdr:colOff>
      <xdr:row>20</xdr:row>
      <xdr:rowOff>181661</xdr:rowOff>
    </xdr:to>
    <xdr:graphicFrame macro="">
      <xdr:nvGraphicFramePr>
        <xdr:cNvPr id="33" name="Chart 32">
          <a:extLst>
            <a:ext uri="{FF2B5EF4-FFF2-40B4-BE49-F238E27FC236}">
              <a16:creationId xmlns:a16="http://schemas.microsoft.com/office/drawing/2014/main" id="{0AE5C86E-922D-487F-99AB-07C5203BC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280001</xdr:colOff>
      <xdr:row>21</xdr:row>
      <xdr:rowOff>154287</xdr:rowOff>
    </xdr:from>
    <xdr:to>
      <xdr:col>4</xdr:col>
      <xdr:colOff>548393</xdr:colOff>
      <xdr:row>23</xdr:row>
      <xdr:rowOff>25402</xdr:rowOff>
    </xdr:to>
    <xdr:sp macro="" textlink="">
      <xdr:nvSpPr>
        <xdr:cNvPr id="35" name="TextBox 34">
          <a:extLst>
            <a:ext uri="{FF2B5EF4-FFF2-40B4-BE49-F238E27FC236}">
              <a16:creationId xmlns:a16="http://schemas.microsoft.com/office/drawing/2014/main" id="{15B55AE0-DBFB-43E7-9EC7-4A7DFC6E60DE}"/>
            </a:ext>
          </a:extLst>
        </xdr:cNvPr>
        <xdr:cNvSpPr txBox="1"/>
      </xdr:nvSpPr>
      <xdr:spPr>
        <a:xfrm>
          <a:off x="2101657" y="4154787"/>
          <a:ext cx="875611" cy="252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rPr>
            <a:t>Ship</a:t>
          </a:r>
          <a:r>
            <a:rPr lang="en-GB" sz="1200" baseline="0">
              <a:solidFill>
                <a:schemeClr val="tx1">
                  <a:lumMod val="50000"/>
                  <a:lumOff val="50000"/>
                </a:schemeClr>
              </a:solidFill>
            </a:rPr>
            <a:t> Mode</a:t>
          </a:r>
          <a:endParaRPr lang="en-GB" sz="1200">
            <a:solidFill>
              <a:schemeClr val="tx1">
                <a:lumMod val="50000"/>
                <a:lumOff val="50000"/>
              </a:schemeClr>
            </a:solidFill>
          </a:endParaRPr>
        </a:p>
      </xdr:txBody>
    </xdr:sp>
    <xdr:clientData/>
  </xdr:twoCellAnchor>
  <xdr:twoCellAnchor>
    <xdr:from>
      <xdr:col>16</xdr:col>
      <xdr:colOff>464349</xdr:colOff>
      <xdr:row>9</xdr:row>
      <xdr:rowOff>105458</xdr:rowOff>
    </xdr:from>
    <xdr:to>
      <xdr:col>24</xdr:col>
      <xdr:colOff>142880</xdr:colOff>
      <xdr:row>23</xdr:row>
      <xdr:rowOff>181658</xdr:rowOff>
    </xdr:to>
    <mc:AlternateContent xmlns:mc="http://schemas.openxmlformats.org/markup-compatibility/2006">
      <mc:Choice xmlns:cx4="http://schemas.microsoft.com/office/drawing/2016/5/10/chartex" Requires="cx4">
        <xdr:graphicFrame macro="">
          <xdr:nvGraphicFramePr>
            <xdr:cNvPr id="36" name="Chart 35">
              <a:extLst>
                <a:ext uri="{FF2B5EF4-FFF2-40B4-BE49-F238E27FC236}">
                  <a16:creationId xmlns:a16="http://schemas.microsoft.com/office/drawing/2014/main" id="{8C56551C-9994-4943-9403-F97D885863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0179849" y="1819958"/>
              <a:ext cx="4536281" cy="2743200"/>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396312</xdr:colOff>
      <xdr:row>8</xdr:row>
      <xdr:rowOff>23818</xdr:rowOff>
    </xdr:from>
    <xdr:to>
      <xdr:col>21</xdr:col>
      <xdr:colOff>445111</xdr:colOff>
      <xdr:row>9</xdr:row>
      <xdr:rowOff>45591</xdr:rowOff>
    </xdr:to>
    <xdr:sp macro="" textlink="">
      <xdr:nvSpPr>
        <xdr:cNvPr id="37" name="TextBox 36">
          <a:extLst>
            <a:ext uri="{FF2B5EF4-FFF2-40B4-BE49-F238E27FC236}">
              <a16:creationId xmlns:a16="http://schemas.microsoft.com/office/drawing/2014/main" id="{1FDF930D-5BC5-4D6C-819E-4CE9D2880801}"/>
            </a:ext>
          </a:extLst>
        </xdr:cNvPr>
        <xdr:cNvSpPr txBox="1"/>
      </xdr:nvSpPr>
      <xdr:spPr>
        <a:xfrm>
          <a:off x="10719031" y="1547818"/>
          <a:ext cx="2477674" cy="21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rgbClr val="387C38"/>
              </a:solidFill>
            </a:rPr>
            <a:t>Shipping</a:t>
          </a:r>
          <a:r>
            <a:rPr lang="en-GB" sz="1200" baseline="0">
              <a:solidFill>
                <a:srgbClr val="387C38"/>
              </a:solidFill>
            </a:rPr>
            <a:t> Distribution by State</a:t>
          </a:r>
          <a:endParaRPr lang="en-GB" sz="1200">
            <a:solidFill>
              <a:srgbClr val="387C38"/>
            </a:solidFill>
          </a:endParaRPr>
        </a:p>
      </xdr:txBody>
    </xdr:sp>
    <xdr:clientData/>
  </xdr:twoCellAnchor>
  <xdr:twoCellAnchor>
    <xdr:from>
      <xdr:col>17</xdr:col>
      <xdr:colOff>405843</xdr:colOff>
      <xdr:row>23</xdr:row>
      <xdr:rowOff>80341</xdr:rowOff>
    </xdr:from>
    <xdr:to>
      <xdr:col>23</xdr:col>
      <xdr:colOff>416391</xdr:colOff>
      <xdr:row>25</xdr:row>
      <xdr:rowOff>36794</xdr:rowOff>
    </xdr:to>
    <xdr:sp macro="" textlink="ANALYSIS!F6">
      <xdr:nvSpPr>
        <xdr:cNvPr id="38" name="TextBox 37">
          <a:extLst>
            <a:ext uri="{FF2B5EF4-FFF2-40B4-BE49-F238E27FC236}">
              <a16:creationId xmlns:a16="http://schemas.microsoft.com/office/drawing/2014/main" id="{AB059633-6273-4EED-860D-1AD7F3BBA39E}"/>
            </a:ext>
          </a:extLst>
        </xdr:cNvPr>
        <xdr:cNvSpPr txBox="1"/>
      </xdr:nvSpPr>
      <xdr:spPr>
        <a:xfrm>
          <a:off x="10728562" y="4461841"/>
          <a:ext cx="3653860" cy="337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9DEB31D-C0B7-4A42-846C-4499E5B9DC00}" type="TxLink">
            <a:rPr lang="en-US" sz="1100" b="0" i="0" u="none" strike="noStrike">
              <a:solidFill>
                <a:schemeClr val="tx1">
                  <a:lumMod val="50000"/>
                  <a:lumOff val="50000"/>
                </a:schemeClr>
              </a:solidFill>
              <a:latin typeface="Calibri"/>
              <a:ea typeface="Calibri"/>
              <a:cs typeface="Calibri"/>
            </a:rPr>
            <a:pPr marL="0" indent="0"/>
            <a:t>Top Selling City: Washington (19,878)</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17</xdr:col>
      <xdr:colOff>306425</xdr:colOff>
      <xdr:row>3</xdr:row>
      <xdr:rowOff>91286</xdr:rowOff>
    </xdr:from>
    <xdr:to>
      <xdr:col>20</xdr:col>
      <xdr:colOff>23838</xdr:colOff>
      <xdr:row>7</xdr:row>
      <xdr:rowOff>122313</xdr:rowOff>
    </xdr:to>
    <mc:AlternateContent xmlns:mc="http://schemas.openxmlformats.org/markup-compatibility/2006">
      <mc:Choice xmlns:a14="http://schemas.microsoft.com/office/drawing/2010/main" Requires="a14">
        <xdr:graphicFrame macro="">
          <xdr:nvGraphicFramePr>
            <xdr:cNvPr id="39" name="Years (Order Date)">
              <a:extLst>
                <a:ext uri="{FF2B5EF4-FFF2-40B4-BE49-F238E27FC236}">
                  <a16:creationId xmlns:a16="http://schemas.microsoft.com/office/drawing/2014/main" id="{1F39B5B6-782D-4B4E-974B-D9D73E5E5FE8}"/>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dr:sp macro="" textlink="">
          <xdr:nvSpPr>
            <xdr:cNvPr id="0" name=""/>
            <xdr:cNvSpPr>
              <a:spLocks noTextEdit="1"/>
            </xdr:cNvSpPr>
          </xdr:nvSpPr>
          <xdr:spPr>
            <a:xfrm>
              <a:off x="10629144" y="662786"/>
              <a:ext cx="1539069" cy="79302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298684</xdr:colOff>
      <xdr:row>21</xdr:row>
      <xdr:rowOff>159890</xdr:rowOff>
    </xdr:from>
    <xdr:to>
      <xdr:col>17</xdr:col>
      <xdr:colOff>265347</xdr:colOff>
      <xdr:row>35</xdr:row>
      <xdr:rowOff>4768</xdr:rowOff>
    </xdr:to>
    <xdr:graphicFrame macro="">
      <xdr:nvGraphicFramePr>
        <xdr:cNvPr id="40" name="Chart 39">
          <a:extLst>
            <a:ext uri="{FF2B5EF4-FFF2-40B4-BE49-F238E27FC236}">
              <a16:creationId xmlns:a16="http://schemas.microsoft.com/office/drawing/2014/main" id="{19123586-AFD2-49DB-9384-142857167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437135</xdr:colOff>
      <xdr:row>21</xdr:row>
      <xdr:rowOff>133146</xdr:rowOff>
    </xdr:from>
    <xdr:to>
      <xdr:col>25</xdr:col>
      <xdr:colOff>115666</xdr:colOff>
      <xdr:row>36</xdr:row>
      <xdr:rowOff>18846</xdr:rowOff>
    </xdr:to>
    <xdr:graphicFrame macro="">
      <xdr:nvGraphicFramePr>
        <xdr:cNvPr id="41" name="Chart 40">
          <a:extLst>
            <a:ext uri="{FF2B5EF4-FFF2-40B4-BE49-F238E27FC236}">
              <a16:creationId xmlns:a16="http://schemas.microsoft.com/office/drawing/2014/main" id="{3D955745-7BBE-47D8-A5A2-BF766AB37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471153</xdr:colOff>
      <xdr:row>21</xdr:row>
      <xdr:rowOff>132675</xdr:rowOff>
    </xdr:from>
    <xdr:to>
      <xdr:col>8</xdr:col>
      <xdr:colOff>149684</xdr:colOff>
      <xdr:row>36</xdr:row>
      <xdr:rowOff>18375</xdr:rowOff>
    </xdr:to>
    <xdr:graphicFrame macro="">
      <xdr:nvGraphicFramePr>
        <xdr:cNvPr id="42" name="Chart 41">
          <a:extLst>
            <a:ext uri="{FF2B5EF4-FFF2-40B4-BE49-F238E27FC236}">
              <a16:creationId xmlns:a16="http://schemas.microsoft.com/office/drawing/2014/main" id="{578B6529-A526-4C9D-99D6-B469201E1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526940</xdr:colOff>
      <xdr:row>7</xdr:row>
      <xdr:rowOff>187104</xdr:rowOff>
    </xdr:from>
    <xdr:to>
      <xdr:col>10</xdr:col>
      <xdr:colOff>480580</xdr:colOff>
      <xdr:row>9</xdr:row>
      <xdr:rowOff>61918</xdr:rowOff>
    </xdr:to>
    <xdr:sp macro="" textlink="">
      <xdr:nvSpPr>
        <xdr:cNvPr id="43" name="TextBox 42">
          <a:extLst>
            <a:ext uri="{FF2B5EF4-FFF2-40B4-BE49-F238E27FC236}">
              <a16:creationId xmlns:a16="http://schemas.microsoft.com/office/drawing/2014/main" id="{479C1970-F54E-41EA-8929-C09EED536ADE}"/>
            </a:ext>
          </a:extLst>
        </xdr:cNvPr>
        <xdr:cNvSpPr txBox="1"/>
      </xdr:nvSpPr>
      <xdr:spPr>
        <a:xfrm>
          <a:off x="5384690" y="1520604"/>
          <a:ext cx="1168078" cy="25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a:solidFill>
                <a:srgbClr val="387C38"/>
              </a:solidFill>
              <a:latin typeface="+mn-lt"/>
              <a:ea typeface="+mn-ea"/>
              <a:cs typeface="+mn-cs"/>
            </a:rPr>
            <a:t>Sales Trend </a:t>
          </a:r>
        </a:p>
      </xdr:txBody>
    </xdr:sp>
    <xdr:clientData/>
  </xdr:twoCellAnchor>
  <xdr:twoCellAnchor>
    <xdr:from>
      <xdr:col>8</xdr:col>
      <xdr:colOff>505170</xdr:colOff>
      <xdr:row>22</xdr:row>
      <xdr:rowOff>100019</xdr:rowOff>
    </xdr:from>
    <xdr:to>
      <xdr:col>11</xdr:col>
      <xdr:colOff>190364</xdr:colOff>
      <xdr:row>23</xdr:row>
      <xdr:rowOff>143563</xdr:rowOff>
    </xdr:to>
    <xdr:sp macro="" textlink="">
      <xdr:nvSpPr>
        <xdr:cNvPr id="44" name="TextBox 43">
          <a:extLst>
            <a:ext uri="{FF2B5EF4-FFF2-40B4-BE49-F238E27FC236}">
              <a16:creationId xmlns:a16="http://schemas.microsoft.com/office/drawing/2014/main" id="{D9CAE334-697A-4DE9-843E-A8544F41E325}"/>
            </a:ext>
          </a:extLst>
        </xdr:cNvPr>
        <xdr:cNvSpPr txBox="1"/>
      </xdr:nvSpPr>
      <xdr:spPr>
        <a:xfrm>
          <a:off x="5362920" y="4291019"/>
          <a:ext cx="1506850" cy="23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a:solidFill>
                <a:srgbClr val="387C38"/>
              </a:solidFill>
              <a:latin typeface="+mn-lt"/>
              <a:ea typeface="+mn-ea"/>
              <a:cs typeface="+mn-cs"/>
            </a:rPr>
            <a:t>Shipping Duration</a:t>
          </a:r>
        </a:p>
      </xdr:txBody>
    </xdr:sp>
    <xdr:clientData/>
  </xdr:twoCellAnchor>
  <xdr:twoCellAnchor>
    <xdr:from>
      <xdr:col>8</xdr:col>
      <xdr:colOff>526940</xdr:colOff>
      <xdr:row>9</xdr:row>
      <xdr:rowOff>7495</xdr:rowOff>
    </xdr:from>
    <xdr:to>
      <xdr:col>14</xdr:col>
      <xdr:colOff>562038</xdr:colOff>
      <xdr:row>10</xdr:row>
      <xdr:rowOff>154447</xdr:rowOff>
    </xdr:to>
    <xdr:sp macro="" textlink="ANALYSIS!A16">
      <xdr:nvSpPr>
        <xdr:cNvPr id="45" name="TextBox 44">
          <a:extLst>
            <a:ext uri="{FF2B5EF4-FFF2-40B4-BE49-F238E27FC236}">
              <a16:creationId xmlns:a16="http://schemas.microsoft.com/office/drawing/2014/main" id="{1F5161B2-C407-47A7-88CE-22A8867B8D7D}"/>
            </a:ext>
          </a:extLst>
        </xdr:cNvPr>
        <xdr:cNvSpPr txBox="1"/>
      </xdr:nvSpPr>
      <xdr:spPr>
        <a:xfrm>
          <a:off x="5384690" y="1721995"/>
          <a:ext cx="3678411" cy="337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DC9511A-87EC-4189-A541-B63C0DDC43EE}" type="TxLink">
            <a:rPr lang="en-US" sz="1100" b="0" i="0" u="none" strike="noStrike">
              <a:solidFill>
                <a:schemeClr val="tx1">
                  <a:lumMod val="50000"/>
                  <a:lumOff val="50000"/>
                </a:schemeClr>
              </a:solidFill>
              <a:latin typeface="Calibri"/>
              <a:ea typeface="Calibri"/>
              <a:cs typeface="Calibri"/>
            </a:rPr>
            <a:pPr marL="0" indent="0"/>
            <a:t>Peak Sales Month: Oct with $75,497 in Sales</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8</xdr:col>
      <xdr:colOff>505170</xdr:colOff>
      <xdr:row>23</xdr:row>
      <xdr:rowOff>89139</xdr:rowOff>
    </xdr:from>
    <xdr:to>
      <xdr:col>14</xdr:col>
      <xdr:colOff>540268</xdr:colOff>
      <xdr:row>25</xdr:row>
      <xdr:rowOff>40148</xdr:rowOff>
    </xdr:to>
    <xdr:sp macro="" textlink="ANALYSIS!F16">
      <xdr:nvSpPr>
        <xdr:cNvPr id="46" name="TextBox 45">
          <a:extLst>
            <a:ext uri="{FF2B5EF4-FFF2-40B4-BE49-F238E27FC236}">
              <a16:creationId xmlns:a16="http://schemas.microsoft.com/office/drawing/2014/main" id="{F2E22A44-4279-43BA-8DC7-29CCA4F98DF6}"/>
            </a:ext>
          </a:extLst>
        </xdr:cNvPr>
        <xdr:cNvSpPr txBox="1"/>
      </xdr:nvSpPr>
      <xdr:spPr>
        <a:xfrm>
          <a:off x="5362920" y="4470639"/>
          <a:ext cx="3678411" cy="332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DA8890E-D40A-433D-9FBB-C3484C776782}" type="TxLink">
            <a:rPr lang="en-US" sz="1100" b="0" i="0" u="none" strike="noStrike">
              <a:solidFill>
                <a:schemeClr val="tx1">
                  <a:lumMod val="50000"/>
                  <a:lumOff val="50000"/>
                </a:schemeClr>
              </a:solidFill>
              <a:latin typeface="Calibri"/>
              <a:ea typeface="Calibri"/>
              <a:cs typeface="Calibri"/>
            </a:rPr>
            <a:pPr marL="0" indent="0"/>
            <a:t>Most orders 21% were delivered in 0- days</a:t>
          </a:fld>
          <a:endParaRPr lang="en-GB" sz="1100" b="0" i="0" u="none" strike="noStrike">
            <a:solidFill>
              <a:schemeClr val="tx1">
                <a:lumMod val="50000"/>
                <a:lumOff val="50000"/>
              </a:schemeClr>
            </a:solidFill>
            <a:latin typeface="Calibri"/>
            <a:ea typeface="Calibri"/>
            <a:cs typeface="Calibri"/>
          </a:endParaRPr>
        </a:p>
      </xdr:txBody>
    </xdr:sp>
    <xdr:clientData/>
  </xdr:twoCellAnchor>
  <xdr:twoCellAnchor>
    <xdr:from>
      <xdr:col>12</xdr:col>
      <xdr:colOff>272431</xdr:colOff>
      <xdr:row>3</xdr:row>
      <xdr:rowOff>83349</xdr:rowOff>
    </xdr:from>
    <xdr:to>
      <xdr:col>17</xdr:col>
      <xdr:colOff>354693</xdr:colOff>
      <xdr:row>5</xdr:row>
      <xdr:rowOff>107162</xdr:rowOff>
    </xdr:to>
    <mc:AlternateContent xmlns:mc="http://schemas.openxmlformats.org/markup-compatibility/2006">
      <mc:Choice xmlns:a14="http://schemas.microsoft.com/office/drawing/2010/main" Requires="a14">
        <xdr:graphicFrame macro="">
          <xdr:nvGraphicFramePr>
            <xdr:cNvPr id="47" name="Segment">
              <a:extLst>
                <a:ext uri="{FF2B5EF4-FFF2-40B4-BE49-F238E27FC236}">
                  <a16:creationId xmlns:a16="http://schemas.microsoft.com/office/drawing/2014/main" id="{5CB40753-4729-4616-B35E-603B97263413}"/>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7559056" y="654849"/>
              <a:ext cx="3118356" cy="40481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514472</xdr:colOff>
      <xdr:row>5</xdr:row>
      <xdr:rowOff>35940</xdr:rowOff>
    </xdr:from>
    <xdr:to>
      <xdr:col>17</xdr:col>
      <xdr:colOff>353828</xdr:colOff>
      <xdr:row>7</xdr:row>
      <xdr:rowOff>74038</xdr:rowOff>
    </xdr:to>
    <mc:AlternateContent xmlns:mc="http://schemas.openxmlformats.org/markup-compatibility/2006">
      <mc:Choice xmlns:a14="http://schemas.microsoft.com/office/drawing/2010/main" Requires="a14">
        <xdr:graphicFrame macro="">
          <xdr:nvGraphicFramePr>
            <xdr:cNvPr id="51" name="Region 1">
              <a:extLst>
                <a:ext uri="{FF2B5EF4-FFF2-40B4-BE49-F238E27FC236}">
                  <a16:creationId xmlns:a16="http://schemas.microsoft.com/office/drawing/2014/main" id="{BF3D68FB-475B-4E22-B480-E5064020A2E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7193878" y="988440"/>
              <a:ext cx="3482669" cy="41909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250036</xdr:colOff>
      <xdr:row>3</xdr:row>
      <xdr:rowOff>59537</xdr:rowOff>
    </xdr:from>
    <xdr:to>
      <xdr:col>24</xdr:col>
      <xdr:colOff>178600</xdr:colOff>
      <xdr:row>6</xdr:row>
      <xdr:rowOff>142881</xdr:rowOff>
    </xdr:to>
    <xdr:pic>
      <xdr:nvPicPr>
        <xdr:cNvPr id="34" name="Picture 33">
          <a:extLst>
            <a:ext uri="{FF2B5EF4-FFF2-40B4-BE49-F238E27FC236}">
              <a16:creationId xmlns:a16="http://schemas.microsoft.com/office/drawing/2014/main" id="{EDE80871-0978-D386-A3B2-CA3B7AFCE82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001630" y="631037"/>
          <a:ext cx="1750220" cy="654844"/>
        </a:xfrm>
        <a:prstGeom prst="rect">
          <a:avLst/>
        </a:prstGeom>
      </xdr:spPr>
    </xdr:pic>
    <xdr:clientData/>
  </xdr:twoCellAnchor>
  <xdr:twoCellAnchor>
    <xdr:from>
      <xdr:col>20</xdr:col>
      <xdr:colOff>107159</xdr:colOff>
      <xdr:row>3</xdr:row>
      <xdr:rowOff>130974</xdr:rowOff>
    </xdr:from>
    <xdr:to>
      <xdr:col>21</xdr:col>
      <xdr:colOff>158434</xdr:colOff>
      <xdr:row>7</xdr:row>
      <xdr:rowOff>27468</xdr:rowOff>
    </xdr:to>
    <xdr:pic macro="[0]!ClearFilter">
      <xdr:nvPicPr>
        <xdr:cNvPr id="56" name="Picture 55">
          <a:extLst>
            <a:ext uri="{FF2B5EF4-FFF2-40B4-BE49-F238E27FC236}">
              <a16:creationId xmlns:a16="http://schemas.microsoft.com/office/drawing/2014/main" id="{6E466B02-ED50-FBAF-8D15-77039D7F4F1B}"/>
            </a:ext>
          </a:extLst>
        </xdr:cNvPr>
        <xdr:cNvPicPr>
          <a:picLocks noChangeAspect="1"/>
        </xdr:cNvPicPr>
      </xdr:nvPicPr>
      <xdr:blipFill>
        <a:blip xmlns:r="http://schemas.openxmlformats.org/officeDocument/2006/relationships" r:embed="rId8"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2251534" y="702474"/>
          <a:ext cx="658494" cy="65849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alph\Downloads\YOUTUBE.xlsx" TargetMode="External"/><Relationship Id="rId1" Type="http://schemas.openxmlformats.org/officeDocument/2006/relationships/externalLinkPath" Target="/Users/Ralph/Downloads/YOUTUB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urniture_data"/>
      <sheetName val="CALCULATIONS"/>
      <sheetName val="DASHBOARD"/>
    </sheetNames>
    <sheetDataSet>
      <sheetData sheetId="0"/>
      <sheetData sheetId="1">
        <row r="6">
          <cell r="I6">
            <v>741999.79529999977</v>
          </cell>
        </row>
        <row r="7">
          <cell r="M7" t="str">
            <v>▲11% YoY</v>
          </cell>
        </row>
        <row r="16">
          <cell r="B16" t="str">
            <v>Peak Sales Month: Dec with $121,818 in Sales</v>
          </cell>
        </row>
        <row r="26">
          <cell r="H26" t="str">
            <v>Most orders (28%) were delivered in 4- days.</v>
          </cell>
        </row>
        <row r="39">
          <cell r="H39" t="str">
            <v>Most Orders Used Standard Class (59%)</v>
          </cell>
        </row>
        <row r="49">
          <cell r="H49" t="str">
            <v>Highest Sales from Category: Chairs ($328,449)</v>
          </cell>
        </row>
      </sheetData>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gunleye Rapheal" refreshedDate="46222.71202939815" createdVersion="8" refreshedVersion="8" minRefreshableVersion="3" recordCount="2121" xr:uid="{C0491292-3198-4CA3-9A7E-033EFB9234F0}">
  <cacheSource type="worksheet">
    <worksheetSource ref="A1:T2122" sheet="Furniture_data"/>
  </cacheSource>
  <cacheFields count="26">
    <cacheField name="Order ID" numFmtId="0">
      <sharedItems count="1696">
        <s v="CA-2017-100001"/>
        <s v="US-2015-100002"/>
        <s v="CA-2016-100003"/>
        <s v="US-2014-100004"/>
        <s v="CA-2017-100005"/>
        <s v="US-2015-100006"/>
        <s v="US-2015-100007"/>
        <s v="CA-2017-100008"/>
        <s v="US-2017-100009"/>
        <s v="US-2015-100010"/>
        <s v="US-2017-100011"/>
        <s v="US-2014-100012"/>
        <s v="US-2015-100013"/>
        <s v="CA-2014-100014"/>
        <s v="US-2015-100015"/>
        <s v="CA-2014-100016"/>
        <s v="US-2015-100017"/>
        <s v="US-2014-100018"/>
        <s v="US-2017-100019"/>
        <s v="CA-2014-100020"/>
        <s v="US-2015-100021"/>
        <s v="US-2016-100022"/>
        <s v="CA-2016-100023"/>
        <s v="CA-2014-100024"/>
        <s v="CA-2016-100025"/>
        <s v="US-2017-100026"/>
        <s v="CA-2014-100027"/>
        <s v="US-2017-100028"/>
        <s v="CA-2017-100029"/>
        <s v="US-2014-100030"/>
        <s v="CA-2014-100031"/>
        <s v="US-2017-100032"/>
        <s v="CA-2015-100033"/>
        <s v="CA-2015-100034"/>
        <s v="CA-2015-100035"/>
        <s v="US-2016-100036"/>
        <s v="US-2016-100037"/>
        <s v="CA-2015-100038"/>
        <s v="US-2017-100039"/>
        <s v="US-2016-100040"/>
        <s v="US-2017-100041"/>
        <s v="US-2016-100042"/>
        <s v="US-2014-100043"/>
        <s v="CA-2015-100044"/>
        <s v="US-2016-100045"/>
        <s v="CA-2016-100046"/>
        <s v="CA-2014-100047"/>
        <s v="US-2014-100048"/>
        <s v="CA-2014-100049"/>
        <s v="CA-2017-100050"/>
        <s v="CA-2014-100051"/>
        <s v="US-2016-100052"/>
        <s v="US-2016-100053"/>
        <s v="CA-2014-100054"/>
        <s v="US-2017-100055"/>
        <s v="CA-2015-100056"/>
        <s v="CA-2015-100057"/>
        <s v="CA-2015-100058"/>
        <s v="US-2016-100059"/>
        <s v="CA-2017-100060"/>
        <s v="CA-2016-100061"/>
        <s v="US-2015-100062"/>
        <s v="CA-2016-100063"/>
        <s v="US-2015-100064"/>
        <s v="US-2017-100065"/>
        <s v="US-2015-100066"/>
        <s v="CA-2014-100067"/>
        <s v="US-2016-100068"/>
        <s v="CA-2017-100069"/>
        <s v="US-2016-100070"/>
        <s v="US-2014-100071"/>
        <s v="US-2016-100072"/>
        <s v="US-2016-100073"/>
        <s v="CA-2014-100074"/>
        <s v="CA-2015-100075"/>
        <s v="CA-2016-100076"/>
        <s v="US-2016-100077"/>
        <s v="US-2015-100078"/>
        <s v="CA-2017-100079"/>
        <s v="US-2014-100080"/>
        <s v="US-2015-100081"/>
        <s v="US-2015-100082"/>
        <s v="US-2017-100083"/>
        <s v="US-2014-100084"/>
        <s v="CA-2015-100085"/>
        <s v="CA-2015-100086"/>
        <s v="CA-2014-100087"/>
        <s v="US-2014-100088"/>
        <s v="US-2016-100089"/>
        <s v="US-2016-100090"/>
        <s v="CA-2016-100091"/>
        <s v="US-2017-100092"/>
        <s v="CA-2016-100093"/>
        <s v="CA-2017-100094"/>
        <s v="US-2017-100095"/>
        <s v="US-2017-100096"/>
        <s v="CA-2014-100097"/>
        <s v="CA-2016-100098"/>
        <s v="CA-2017-100099"/>
        <s v="CA-2017-100100"/>
        <s v="US-2015-100101"/>
        <s v="CA-2014-100102"/>
        <s v="CA-2015-100103"/>
        <s v="US-2016-100104"/>
        <s v="US-2015-100105"/>
        <s v="CA-2014-100106"/>
        <s v="CA-2015-100107"/>
        <s v="CA-2014-100108"/>
        <s v="US-2016-100109"/>
        <s v="CA-2017-100110"/>
        <s v="CA-2016-100111"/>
        <s v="US-2016-100112"/>
        <s v="US-2017-100113"/>
        <s v="US-2017-100114"/>
        <s v="CA-2016-100115"/>
        <s v="US-2015-100116"/>
        <s v="US-2017-100117"/>
        <s v="US-2017-100118"/>
        <s v="CA-2015-100119"/>
        <s v="US-2017-100120"/>
        <s v="US-2016-100121"/>
        <s v="CA-2016-100122"/>
        <s v="US-2016-100123"/>
        <s v="US-2016-100124"/>
        <s v="CA-2015-100125"/>
        <s v="CA-2015-100126"/>
        <s v="CA-2017-100127"/>
        <s v="CA-2015-100128"/>
        <s v="US-2016-100129"/>
        <s v="CA-2014-100130"/>
        <s v="CA-2016-100131"/>
        <s v="CA-2015-100132"/>
        <s v="CA-2014-100133"/>
        <s v="US-2016-100134"/>
        <s v="CA-2014-100135"/>
        <s v="CA-2014-100136"/>
        <s v="CA-2015-100137"/>
        <s v="US-2015-100138"/>
        <s v="US-2014-100139"/>
        <s v="CA-2016-100140"/>
        <s v="CA-2016-100141"/>
        <s v="CA-2017-100142"/>
        <s v="CA-2015-100143"/>
        <s v="US-2015-100144"/>
        <s v="US-2016-100145"/>
        <s v="CA-2016-100146"/>
        <s v="CA-2015-100147"/>
        <s v="CA-2015-100148"/>
        <s v="CA-2016-100149"/>
        <s v="CA-2014-100150"/>
        <s v="CA-2015-100151"/>
        <s v="CA-2014-100152"/>
        <s v="US-2017-100153"/>
        <s v="CA-2014-100154"/>
        <s v="US-2017-100155"/>
        <s v="US-2015-100156"/>
        <s v="CA-2016-100157"/>
        <s v="US-2016-100158"/>
        <s v="US-2016-100159"/>
        <s v="CA-2017-100160"/>
        <s v="US-2015-100161"/>
        <s v="US-2015-100162"/>
        <s v="CA-2016-100163"/>
        <s v="US-2016-100164"/>
        <s v="US-2015-100165"/>
        <s v="US-2016-100166"/>
        <s v="CA-2017-100167"/>
        <s v="CA-2016-100168"/>
        <s v="CA-2014-100169"/>
        <s v="US-2014-100170"/>
        <s v="US-2015-100171"/>
        <s v="US-2016-100172"/>
        <s v="US-2015-100173"/>
        <s v="CA-2016-100174"/>
        <s v="CA-2016-100175"/>
        <s v="CA-2014-100176"/>
        <s v="US-2016-100177"/>
        <s v="CA-2015-100178"/>
        <s v="US-2015-100179"/>
        <s v="CA-2015-100180"/>
        <s v="US-2015-100181"/>
        <s v="US-2014-100182"/>
        <s v="CA-2015-100183"/>
        <s v="CA-2017-100184"/>
        <s v="US-2014-100185"/>
        <s v="CA-2017-100186"/>
        <s v="US-2016-100187"/>
        <s v="US-2014-100188"/>
        <s v="CA-2014-100189"/>
        <s v="CA-2017-100190"/>
        <s v="CA-2014-100191"/>
        <s v="CA-2014-100192"/>
        <s v="US-2017-100193"/>
        <s v="US-2015-100194"/>
        <s v="CA-2017-100195"/>
        <s v="US-2016-100196"/>
        <s v="CA-2015-100197"/>
        <s v="US-2014-100198"/>
        <s v="CA-2014-100199"/>
        <s v="US-2015-100200"/>
        <s v="CA-2016-100201"/>
        <s v="CA-2014-100202"/>
        <s v="CA-2014-100203"/>
        <s v="US-2017-100204"/>
        <s v="CA-2015-100205"/>
        <s v="CA-2015-100206"/>
        <s v="CA-2014-100207"/>
        <s v="US-2015-100208"/>
        <s v="US-2014-100209"/>
        <s v="CA-2014-100210"/>
        <s v="CA-2016-100211"/>
        <s v="CA-2014-100212"/>
        <s v="US-2017-100213"/>
        <s v="CA-2014-100214"/>
        <s v="US-2015-100215"/>
        <s v="US-2014-100216"/>
        <s v="US-2016-100217"/>
        <s v="CA-2016-100218"/>
        <s v="US-2017-100219"/>
        <s v="CA-2017-100220"/>
        <s v="US-2014-100221"/>
        <s v="CA-2017-100222"/>
        <s v="CA-2014-100223"/>
        <s v="US-2016-100224"/>
        <s v="CA-2015-100225"/>
        <s v="US-2014-100226"/>
        <s v="CA-2016-100227"/>
        <s v="CA-2015-100228"/>
        <s v="CA-2014-100229"/>
        <s v="US-2017-100230"/>
        <s v="US-2014-100231"/>
        <s v="US-2017-100232"/>
        <s v="US-2016-100233"/>
        <s v="US-2016-100234"/>
        <s v="CA-2015-100235"/>
        <s v="US-2014-100236"/>
        <s v="CA-2015-100237"/>
        <s v="US-2017-100238"/>
        <s v="US-2015-100239"/>
        <s v="US-2017-100240"/>
        <s v="CA-2017-100241"/>
        <s v="US-2016-100242"/>
        <s v="CA-2014-100243"/>
        <s v="US-2015-100244"/>
        <s v="US-2017-100245"/>
        <s v="CA-2015-100246"/>
        <s v="CA-2014-100247"/>
        <s v="US-2016-100248"/>
        <s v="US-2015-100249"/>
        <s v="US-2014-100250"/>
        <s v="CA-2014-100251"/>
        <s v="CA-2017-100252"/>
        <s v="CA-2015-100253"/>
        <s v="CA-2017-100254"/>
        <s v="US-2015-100255"/>
        <s v="US-2014-100256"/>
        <s v="US-2014-100257"/>
        <s v="CA-2016-100258"/>
        <s v="CA-2014-100259"/>
        <s v="CA-2016-100260"/>
        <s v="CA-2014-100261"/>
        <s v="CA-2017-100262"/>
        <s v="CA-2017-100263"/>
        <s v="CA-2017-100264"/>
        <s v="CA-2014-100265"/>
        <s v="US-2017-100266"/>
        <s v="US-2015-100267"/>
        <s v="CA-2014-100268"/>
        <s v="US-2016-100269"/>
        <s v="CA-2014-100270"/>
        <s v="US-2017-100271"/>
        <s v="CA-2015-100272"/>
        <s v="US-2015-100273"/>
        <s v="US-2015-100274"/>
        <s v="CA-2016-100275"/>
        <s v="US-2017-100276"/>
        <s v="US-2017-100277"/>
        <s v="CA-2014-100278"/>
        <s v="CA-2016-100279"/>
        <s v="CA-2017-100280"/>
        <s v="CA-2014-100281"/>
        <s v="CA-2016-100282"/>
        <s v="US-2015-100283"/>
        <s v="US-2017-100284"/>
        <s v="US-2015-100285"/>
        <s v="CA-2016-100286"/>
        <s v="US-2016-100287"/>
        <s v="CA-2017-100288"/>
        <s v="US-2016-100289"/>
        <s v="CA-2015-100290"/>
        <s v="CA-2015-100291"/>
        <s v="US-2015-100292"/>
        <s v="US-2017-100293"/>
        <s v="US-2016-100294"/>
        <s v="CA-2016-100295"/>
        <s v="CA-2016-100296"/>
        <s v="CA-2017-100297"/>
        <s v="CA-2017-100298"/>
        <s v="US-2016-100299"/>
        <s v="CA-2017-100300"/>
        <s v="CA-2016-100301"/>
        <s v="CA-2015-100302"/>
        <s v="US-2015-100303"/>
        <s v="US-2017-100304"/>
        <s v="US-2017-100305"/>
        <s v="CA-2016-100306"/>
        <s v="CA-2014-100307"/>
        <s v="CA-2016-100308"/>
        <s v="CA-2015-100309"/>
        <s v="CA-2016-100310"/>
        <s v="US-2017-100311"/>
        <s v="US-2016-100312"/>
        <s v="CA-2015-100313"/>
        <s v="US-2014-100314"/>
        <s v="CA-2017-100315"/>
        <s v="CA-2017-100316"/>
        <s v="US-2015-100317"/>
        <s v="US-2015-100318"/>
        <s v="CA-2017-100319"/>
        <s v="CA-2015-100320"/>
        <s v="CA-2014-100321"/>
        <s v="US-2015-100322"/>
        <s v="US-2016-100323"/>
        <s v="CA-2014-100324"/>
        <s v="CA-2014-100325"/>
        <s v="US-2016-100326"/>
        <s v="CA-2017-100327"/>
        <s v="US-2015-100328"/>
        <s v="US-2017-100329"/>
        <s v="CA-2015-100330"/>
        <s v="US-2017-100331"/>
        <s v="US-2014-100332"/>
        <s v="CA-2016-100333"/>
        <s v="US-2015-100334"/>
        <s v="CA-2015-100335"/>
        <s v="CA-2014-100336"/>
        <s v="US-2015-100337"/>
        <s v="US-2014-100338"/>
        <s v="US-2017-100339"/>
        <s v="US-2015-100340"/>
        <s v="CA-2015-100341"/>
        <s v="CA-2017-100342"/>
        <s v="US-2016-100343"/>
        <s v="CA-2017-100344"/>
        <s v="US-2017-100345"/>
        <s v="US-2015-100346"/>
        <s v="CA-2017-100347"/>
        <s v="CA-2016-100348"/>
        <s v="CA-2014-100349"/>
        <s v="CA-2017-100350"/>
        <s v="US-2015-100351"/>
        <s v="US-2017-100352"/>
        <s v="US-2016-100353"/>
        <s v="US-2017-100354"/>
        <s v="US-2017-100355"/>
        <s v="CA-2014-100356"/>
        <s v="CA-2015-100357"/>
        <s v="CA-2016-100358"/>
        <s v="CA-2016-100359"/>
        <s v="US-2016-100360"/>
        <s v="CA-2016-100361"/>
        <s v="CA-2017-100362"/>
        <s v="US-2014-100363"/>
        <s v="CA-2017-100364"/>
        <s v="US-2016-100365"/>
        <s v="US-2014-100366"/>
        <s v="CA-2016-100367"/>
        <s v="US-2016-100368"/>
        <s v="CA-2016-100369"/>
        <s v="CA-2016-100370"/>
        <s v="CA-2017-100371"/>
        <s v="CA-2016-100372"/>
        <s v="US-2017-100373"/>
        <s v="US-2014-100374"/>
        <s v="CA-2015-100375"/>
        <s v="US-2017-100376"/>
        <s v="CA-2017-100377"/>
        <s v="CA-2015-100378"/>
        <s v="CA-2017-100379"/>
        <s v="CA-2014-100380"/>
        <s v="US-2014-100381"/>
        <s v="CA-2015-100382"/>
        <s v="US-2014-100383"/>
        <s v="CA-2014-100384"/>
        <s v="CA-2015-100385"/>
        <s v="CA-2017-100386"/>
        <s v="US-2016-100387"/>
        <s v="US-2014-100388"/>
        <s v="US-2015-100389"/>
        <s v="CA-2015-100390"/>
        <s v="CA-2017-100391"/>
        <s v="CA-2017-100392"/>
        <s v="CA-2014-100393"/>
        <s v="CA-2014-100394"/>
        <s v="US-2014-100395"/>
        <s v="CA-2014-100396"/>
        <s v="CA-2015-100397"/>
        <s v="US-2015-100398"/>
        <s v="US-2014-100399"/>
        <s v="US-2016-100400"/>
        <s v="CA-2017-100401"/>
        <s v="CA-2014-100402"/>
        <s v="US-2014-100403"/>
        <s v="US-2014-100404"/>
        <s v="US-2014-100405"/>
        <s v="CA-2017-100406"/>
        <s v="CA-2015-100407"/>
        <s v="US-2017-100408"/>
        <s v="US-2015-100409"/>
        <s v="CA-2017-100410"/>
        <s v="US-2016-100411"/>
        <s v="CA-2014-100412"/>
        <s v="CA-2015-100413"/>
        <s v="CA-2014-100414"/>
        <s v="US-2015-100415"/>
        <s v="US-2017-100416"/>
        <s v="US-2017-100417"/>
        <s v="US-2016-100418"/>
        <s v="CA-2014-100419"/>
        <s v="US-2014-100420"/>
        <s v="US-2014-100421"/>
        <s v="CA-2017-100422"/>
        <s v="US-2015-100423"/>
        <s v="CA-2014-100424"/>
        <s v="US-2017-100425"/>
        <s v="CA-2017-100426"/>
        <s v="US-2017-100427"/>
        <s v="US-2014-100428"/>
        <s v="US-2016-100429"/>
        <s v="US-2017-100430"/>
        <s v="US-2014-100431"/>
        <s v="US-2016-100432"/>
        <s v="US-2014-100433"/>
        <s v="US-2015-100434"/>
        <s v="US-2014-100435"/>
        <s v="US-2016-100436"/>
        <s v="CA-2014-100437"/>
        <s v="US-2016-100438"/>
        <s v="CA-2016-100439"/>
        <s v="CA-2014-100440"/>
        <s v="CA-2017-100441"/>
        <s v="US-2016-100442"/>
        <s v="US-2017-100443"/>
        <s v="CA-2016-100444"/>
        <s v="US-2014-100445"/>
        <s v="CA-2017-100446"/>
        <s v="US-2014-100447"/>
        <s v="CA-2015-100448"/>
        <s v="US-2017-100449"/>
        <s v="CA-2017-100450"/>
        <s v="US-2016-100451"/>
        <s v="CA-2017-100452"/>
        <s v="US-2014-100453"/>
        <s v="US-2014-100454"/>
        <s v="CA-2016-100455"/>
        <s v="US-2014-100456"/>
        <s v="US-2016-100457"/>
        <s v="US-2015-100458"/>
        <s v="CA-2017-100459"/>
        <s v="CA-2016-100460"/>
        <s v="US-2016-100461"/>
        <s v="CA-2016-100462"/>
        <s v="CA-2015-100463"/>
        <s v="CA-2017-100464"/>
        <s v="CA-2014-100465"/>
        <s v="CA-2014-100466"/>
        <s v="US-2017-100467"/>
        <s v="CA-2017-100468"/>
        <s v="CA-2015-100469"/>
        <s v="US-2017-100470"/>
        <s v="CA-2014-100471"/>
        <s v="US-2017-100472"/>
        <s v="CA-2016-100473"/>
        <s v="US-2015-100474"/>
        <s v="CA-2016-100475"/>
        <s v="US-2016-100476"/>
        <s v="CA-2017-100477"/>
        <s v="US-2016-100478"/>
        <s v="US-2014-100479"/>
        <s v="CA-2017-100480"/>
        <s v="CA-2017-100481"/>
        <s v="CA-2015-100482"/>
        <s v="US-2016-100483"/>
        <s v="CA-2017-100484"/>
        <s v="CA-2016-100485"/>
        <s v="US-2014-100486"/>
        <s v="CA-2017-100487"/>
        <s v="US-2016-100488"/>
        <s v="US-2014-100489"/>
        <s v="CA-2017-100490"/>
        <s v="US-2014-100491"/>
        <s v="CA-2015-100492"/>
        <s v="CA-2015-100493"/>
        <s v="CA-2016-100494"/>
        <s v="CA-2017-100495"/>
        <s v="US-2016-100496"/>
        <s v="US-2016-100497"/>
        <s v="US-2016-100498"/>
        <s v="CA-2017-100499"/>
        <s v="CA-2014-100500"/>
        <s v="CA-2016-100501"/>
        <s v="CA-2016-100502"/>
        <s v="US-2016-100503"/>
        <s v="US-2017-100504"/>
        <s v="CA-2014-100505"/>
        <s v="CA-2015-100506"/>
        <s v="US-2016-100507"/>
        <s v="CA-2014-100508"/>
        <s v="CA-2016-100509"/>
        <s v="CA-2015-100510"/>
        <s v="CA-2017-100511"/>
        <s v="US-2016-100512"/>
        <s v="CA-2016-100513"/>
        <s v="CA-2017-100514"/>
        <s v="US-2017-100515"/>
        <s v="CA-2017-100516"/>
        <s v="US-2014-100517"/>
        <s v="US-2017-100518"/>
        <s v="CA-2016-100519"/>
        <s v="US-2016-100520"/>
        <s v="US-2016-100521"/>
        <s v="US-2014-100522"/>
        <s v="US-2017-100523"/>
        <s v="US-2015-100524"/>
        <s v="US-2014-100525"/>
        <s v="CA-2017-100526"/>
        <s v="US-2016-100527"/>
        <s v="CA-2017-100528"/>
        <s v="CA-2017-100529"/>
        <s v="US-2014-100530"/>
        <s v="US-2016-100531"/>
        <s v="CA-2016-100532"/>
        <s v="CA-2016-100533"/>
        <s v="CA-2015-100534"/>
        <s v="US-2016-100535"/>
        <s v="CA-2017-100536"/>
        <s v="US-2016-100537"/>
        <s v="US-2016-100538"/>
        <s v="US-2015-100539"/>
        <s v="US-2015-100540"/>
        <s v="CA-2017-100541"/>
        <s v="CA-2016-100542"/>
        <s v="US-2016-100543"/>
        <s v="CA-2016-100544"/>
        <s v="CA-2014-100545"/>
        <s v="CA-2015-100546"/>
        <s v="CA-2015-100547"/>
        <s v="CA-2017-100548"/>
        <s v="CA-2014-100549"/>
        <s v="US-2015-100550"/>
        <s v="US-2015-100551"/>
        <s v="CA-2014-100552"/>
        <s v="CA-2017-100553"/>
        <s v="US-2014-100554"/>
        <s v="US-2016-100555"/>
        <s v="US-2015-100556"/>
        <s v="US-2017-100557"/>
        <s v="CA-2016-100558"/>
        <s v="CA-2015-100559"/>
        <s v="CA-2017-100560"/>
        <s v="US-2017-100561"/>
        <s v="CA-2017-100562"/>
        <s v="CA-2014-100563"/>
        <s v="CA-2017-100564"/>
        <s v="US-2014-100565"/>
        <s v="CA-2017-100566"/>
        <s v="US-2016-100567"/>
        <s v="US-2015-100568"/>
        <s v="US-2014-100569"/>
        <s v="CA-2015-100570"/>
        <s v="US-2017-100571"/>
        <s v="CA-2014-100572"/>
        <s v="CA-2017-100573"/>
        <s v="US-2016-100574"/>
        <s v="US-2017-100575"/>
        <s v="US-2016-100576"/>
        <s v="CA-2015-100577"/>
        <s v="US-2015-100578"/>
        <s v="CA-2014-100579"/>
        <s v="CA-2014-100580"/>
        <s v="CA-2017-100581"/>
        <s v="CA-2017-100582"/>
        <s v="CA-2017-100583"/>
        <s v="CA-2014-100584"/>
        <s v="US-2015-100585"/>
        <s v="CA-2016-100586"/>
        <s v="CA-2016-100587"/>
        <s v="CA-2017-100588"/>
        <s v="US-2015-100589"/>
        <s v="US-2015-100590"/>
        <s v="US-2014-100591"/>
        <s v="CA-2016-100592"/>
        <s v="CA-2015-100593"/>
        <s v="CA-2017-100594"/>
        <s v="CA-2016-100595"/>
        <s v="US-2016-100596"/>
        <s v="CA-2014-100597"/>
        <s v="CA-2016-100598"/>
        <s v="US-2016-100599"/>
        <s v="US-2017-100600"/>
        <s v="CA-2014-100601"/>
        <s v="US-2016-100602"/>
        <s v="CA-2017-100603"/>
        <s v="CA-2014-100604"/>
        <s v="CA-2016-100605"/>
        <s v="US-2016-100606"/>
        <s v="US-2015-100607"/>
        <s v="US-2015-100608"/>
        <s v="US-2014-100609"/>
        <s v="CA-2014-100610"/>
        <s v="US-2015-100611"/>
        <s v="US-2015-100612"/>
        <s v="US-2014-100613"/>
        <s v="US-2017-100614"/>
        <s v="CA-2015-100615"/>
        <s v="US-2017-100616"/>
        <s v="US-2017-100617"/>
        <s v="US-2015-100618"/>
        <s v="US-2015-100619"/>
        <s v="CA-2014-100620"/>
        <s v="CA-2017-100621"/>
        <s v="CA-2015-100622"/>
        <s v="US-2015-100623"/>
        <s v="US-2017-100624"/>
        <s v="US-2017-100625"/>
        <s v="CA-2014-100626"/>
        <s v="US-2014-100627"/>
        <s v="US-2014-100628"/>
        <s v="US-2014-100629"/>
        <s v="US-2016-100630"/>
        <s v="CA-2017-100631"/>
        <s v="CA-2015-100632"/>
        <s v="US-2014-100633"/>
        <s v="US-2015-100634"/>
        <s v="US-2015-100635"/>
        <s v="CA-2015-100636"/>
        <s v="CA-2015-100637"/>
        <s v="CA-2015-100638"/>
        <s v="CA-2015-100639"/>
        <s v="CA-2014-100640"/>
        <s v="US-2016-100641"/>
        <s v="CA-2017-100642"/>
        <s v="US-2017-100643"/>
        <s v="US-2015-100644"/>
        <s v="CA-2014-100645"/>
        <s v="CA-2015-100646"/>
        <s v="CA-2017-100647"/>
        <s v="US-2016-100648"/>
        <s v="US-2014-100649"/>
        <s v="US-2016-100650"/>
        <s v="US-2014-100651"/>
        <s v="CA-2014-100652"/>
        <s v="CA-2016-100653"/>
        <s v="US-2017-100654"/>
        <s v="US-2014-100655"/>
        <s v="US-2015-100656"/>
        <s v="US-2015-100657"/>
        <s v="CA-2017-100658"/>
        <s v="US-2015-100659"/>
        <s v="US-2014-100660"/>
        <s v="CA-2016-100661"/>
        <s v="US-2015-100662"/>
        <s v="CA-2016-100663"/>
        <s v="CA-2016-100664"/>
        <s v="CA-2015-100665"/>
        <s v="CA-2014-100666"/>
        <s v="CA-2015-100667"/>
        <s v="CA-2015-100668"/>
        <s v="US-2015-100669"/>
        <s v="US-2014-100670"/>
        <s v="CA-2016-100671"/>
        <s v="CA-2017-100672"/>
        <s v="US-2017-100673"/>
        <s v="US-2015-100674"/>
        <s v="US-2016-100675"/>
        <s v="CA-2014-100676"/>
        <s v="CA-2016-100677"/>
        <s v="US-2014-100678"/>
        <s v="US-2014-100679"/>
        <s v="US-2015-100680"/>
        <s v="US-2016-100681"/>
        <s v="CA-2014-100682"/>
        <s v="US-2016-100683"/>
        <s v="CA-2017-100684"/>
        <s v="CA-2017-100685"/>
        <s v="US-2014-100686"/>
        <s v="US-2014-100687"/>
        <s v="US-2017-100688"/>
        <s v="CA-2016-100689"/>
        <s v="CA-2016-100690"/>
        <s v="CA-2016-100691"/>
        <s v="US-2016-100692"/>
        <s v="US-2014-100693"/>
        <s v="US-2016-100694"/>
        <s v="CA-2017-100695"/>
        <s v="CA-2017-100696"/>
        <s v="CA-2015-100697"/>
        <s v="US-2016-100698"/>
        <s v="CA-2015-100699"/>
        <s v="CA-2015-100700"/>
        <s v="US-2014-100701"/>
        <s v="CA-2014-100702"/>
        <s v="CA-2014-100703"/>
        <s v="US-2014-100704"/>
        <s v="CA-2017-100705"/>
        <s v="US-2015-100706"/>
        <s v="US-2014-100707"/>
        <s v="CA-2017-100708"/>
        <s v="US-2014-100709"/>
        <s v="CA-2017-100710"/>
        <s v="US-2014-100711"/>
        <s v="US-2015-100712"/>
        <s v="US-2015-100713"/>
        <s v="CA-2015-100714"/>
        <s v="CA-2017-100715"/>
        <s v="US-2015-100716"/>
        <s v="CA-2015-100717"/>
        <s v="US-2017-100718"/>
        <s v="CA-2017-100719"/>
        <s v="CA-2017-100720"/>
        <s v="US-2017-100721"/>
        <s v="CA-2016-100722"/>
        <s v="CA-2015-100723"/>
        <s v="CA-2015-100724"/>
        <s v="CA-2017-100725"/>
        <s v="CA-2016-100726"/>
        <s v="CA-2014-100727"/>
        <s v="CA-2017-100728"/>
        <s v="CA-2017-100729"/>
        <s v="CA-2015-100730"/>
        <s v="US-2015-100731"/>
        <s v="US-2017-100732"/>
        <s v="CA-2015-100733"/>
        <s v="US-2015-100734"/>
        <s v="CA-2014-100735"/>
        <s v="CA-2015-100736"/>
        <s v="US-2014-100737"/>
        <s v="CA-2016-100738"/>
        <s v="CA-2015-100739"/>
        <s v="CA-2016-100740"/>
        <s v="US-2014-100741"/>
        <s v="US-2015-100742"/>
        <s v="CA-2016-100743"/>
        <s v="US-2014-100744"/>
        <s v="US-2015-100745"/>
        <s v="CA-2017-100746"/>
        <s v="CA-2016-100747"/>
        <s v="US-2014-100748"/>
        <s v="CA-2017-100749"/>
        <s v="CA-2015-100750"/>
        <s v="US-2015-100751"/>
        <s v="US-2014-100752"/>
        <s v="US-2015-100753"/>
        <s v="CA-2015-100754"/>
        <s v="US-2015-100755"/>
        <s v="CA-2016-100756"/>
        <s v="US-2014-100757"/>
        <s v="CA-2014-100758"/>
        <s v="CA-2014-100759"/>
        <s v="CA-2014-100760"/>
        <s v="CA-2016-100761"/>
        <s v="CA-2016-100762"/>
        <s v="US-2014-100763"/>
        <s v="US-2017-100764"/>
        <s v="CA-2014-100765"/>
        <s v="CA-2015-100766"/>
        <s v="US-2017-100767"/>
        <s v="US-2014-100768"/>
        <s v="US-2017-100769"/>
        <s v="CA-2016-100770"/>
        <s v="CA-2016-100771"/>
        <s v="US-2017-100772"/>
        <s v="CA-2015-100773"/>
        <s v="US-2017-100774"/>
        <s v="US-2015-100775"/>
        <s v="CA-2016-100776"/>
        <s v="CA-2014-100777"/>
        <s v="US-2015-100778"/>
        <s v="US-2015-100779"/>
        <s v="CA-2014-100780"/>
        <s v="CA-2014-100781"/>
        <s v="US-2017-100782"/>
        <s v="CA-2016-100783"/>
        <s v="US-2014-100784"/>
        <s v="US-2016-100785"/>
        <s v="US-2016-100786"/>
        <s v="US-2016-100787"/>
        <s v="CA-2016-100788"/>
        <s v="US-2016-100789"/>
        <s v="CA-2016-100790"/>
        <s v="US-2014-100791"/>
        <s v="CA-2017-100792"/>
        <s v="CA-2014-100793"/>
        <s v="US-2017-100794"/>
        <s v="CA-2017-100795"/>
        <s v="US-2016-100796"/>
        <s v="CA-2016-100797"/>
        <s v="US-2014-100798"/>
        <s v="US-2016-100799"/>
        <s v="US-2017-100800"/>
        <s v="CA-2017-100801"/>
        <s v="CA-2014-100802"/>
        <s v="CA-2016-100803"/>
        <s v="US-2016-100804"/>
        <s v="CA-2016-100805"/>
        <s v="US-2017-100806"/>
        <s v="CA-2014-100807"/>
        <s v="CA-2015-100808"/>
        <s v="CA-2014-100809"/>
        <s v="US-2015-100810"/>
        <s v="US-2017-100811"/>
        <s v="CA-2015-100812"/>
        <s v="CA-2017-100813"/>
        <s v="US-2016-100814"/>
        <s v="CA-2015-100815"/>
        <s v="US-2016-100816"/>
        <s v="US-2015-100817"/>
        <s v="CA-2015-100818"/>
        <s v="CA-2016-100819"/>
        <s v="US-2014-100820"/>
        <s v="CA-2017-100821"/>
        <s v="US-2014-100822"/>
        <s v="US-2017-100823"/>
        <s v="CA-2014-100824"/>
        <s v="CA-2017-100825"/>
        <s v="US-2016-100826"/>
        <s v="US-2017-100827"/>
        <s v="US-2014-100828"/>
        <s v="CA-2014-100829"/>
        <s v="US-2016-100830"/>
        <s v="US-2015-100831"/>
        <s v="CA-2014-100832"/>
        <s v="US-2014-100833"/>
        <s v="US-2017-100834"/>
        <s v="CA-2017-100835"/>
        <s v="US-2016-100836"/>
        <s v="CA-2015-100837"/>
        <s v="CA-2014-100838"/>
        <s v="CA-2017-100839"/>
        <s v="CA-2016-100840"/>
        <s v="US-2017-100841"/>
        <s v="CA-2016-100842"/>
        <s v="CA-2014-100843"/>
        <s v="US-2016-100844"/>
        <s v="CA-2015-100845"/>
        <s v="US-2016-100846"/>
        <s v="CA-2015-100847"/>
        <s v="CA-2014-100848"/>
        <s v="US-2016-100849"/>
        <s v="CA-2014-100850"/>
        <s v="CA-2014-100851"/>
        <s v="CA-2016-100852"/>
        <s v="US-2014-100853"/>
        <s v="CA-2014-100854"/>
        <s v="CA-2014-100855"/>
        <s v="CA-2016-100856"/>
        <s v="US-2016-100857"/>
        <s v="US-2017-100858"/>
        <s v="US-2015-100859"/>
        <s v="US-2016-100860"/>
        <s v="US-2017-100861"/>
        <s v="CA-2016-100862"/>
        <s v="CA-2016-100863"/>
        <s v="CA-2017-100864"/>
        <s v="CA-2014-100865"/>
        <s v="US-2016-100866"/>
        <s v="CA-2014-100867"/>
        <s v="US-2016-100868"/>
        <s v="CA-2014-100869"/>
        <s v="US-2017-100870"/>
        <s v="CA-2016-100871"/>
        <s v="US-2015-100872"/>
        <s v="CA-2014-100873"/>
        <s v="CA-2014-100874"/>
        <s v="CA-2017-100875"/>
        <s v="CA-2014-100876"/>
        <s v="US-2016-100877"/>
        <s v="CA-2017-100878"/>
        <s v="US-2015-100879"/>
        <s v="US-2014-100880"/>
        <s v="CA-2015-100881"/>
        <s v="US-2015-100882"/>
        <s v="US-2015-100883"/>
        <s v="CA-2014-100884"/>
        <s v="CA-2016-100885"/>
        <s v="US-2017-100886"/>
        <s v="CA-2016-100887"/>
        <s v="CA-2015-100888"/>
        <s v="US-2015-100889"/>
        <s v="US-2014-100890"/>
        <s v="US-2014-100891"/>
        <s v="CA-2015-100892"/>
        <s v="CA-2015-100893"/>
        <s v="CA-2014-100894"/>
        <s v="US-2015-100895"/>
        <s v="CA-2014-100896"/>
        <s v="CA-2016-100897"/>
        <s v="CA-2016-100898"/>
        <s v="US-2015-100899"/>
        <s v="US-2014-100900"/>
        <s v="US-2014-100901"/>
        <s v="US-2015-100902"/>
        <s v="US-2014-100903"/>
        <s v="CA-2017-100904"/>
        <s v="CA-2015-100905"/>
        <s v="CA-2015-100906"/>
        <s v="CA-2014-100907"/>
        <s v="CA-2016-100908"/>
        <s v="CA-2016-100909"/>
        <s v="US-2016-100910"/>
        <s v="CA-2014-100911"/>
        <s v="US-2015-100912"/>
        <s v="CA-2015-100913"/>
        <s v="CA-2016-100914"/>
        <s v="CA-2017-100915"/>
        <s v="US-2015-100916"/>
        <s v="US-2014-100917"/>
        <s v="US-2015-100918"/>
        <s v="CA-2016-100919"/>
        <s v="US-2015-100920"/>
        <s v="US-2017-100921"/>
        <s v="CA-2017-100922"/>
        <s v="US-2016-100923"/>
        <s v="CA-2014-100924"/>
        <s v="US-2017-100925"/>
        <s v="CA-2017-100926"/>
        <s v="CA-2016-100927"/>
        <s v="CA-2016-100928"/>
        <s v="US-2016-100929"/>
        <s v="CA-2017-100930"/>
        <s v="US-2015-100931"/>
        <s v="CA-2017-100932"/>
        <s v="US-2014-100933"/>
        <s v="US-2016-100934"/>
        <s v="US-2014-100935"/>
        <s v="CA-2014-100936"/>
        <s v="CA-2015-100937"/>
        <s v="CA-2017-100938"/>
        <s v="US-2016-100939"/>
        <s v="US-2014-100940"/>
        <s v="CA-2017-100941"/>
        <s v="US-2017-100942"/>
        <s v="CA-2015-100943"/>
        <s v="CA-2017-100944"/>
        <s v="CA-2015-100945"/>
        <s v="US-2016-100946"/>
        <s v="US-2015-100947"/>
        <s v="CA-2017-100948"/>
        <s v="US-2014-100949"/>
        <s v="US-2015-100950"/>
        <s v="CA-2014-100951"/>
        <s v="US-2016-100952"/>
        <s v="US-2014-100953"/>
        <s v="US-2017-100954"/>
        <s v="US-2014-100955"/>
        <s v="US-2015-100956"/>
        <s v="CA-2016-100957"/>
        <s v="US-2015-100958"/>
        <s v="CA-2017-100959"/>
        <s v="US-2016-100960"/>
        <s v="US-2016-100961"/>
        <s v="CA-2016-100962"/>
        <s v="CA-2017-100963"/>
        <s v="CA-2014-100964"/>
        <s v="US-2017-100965"/>
        <s v="US-2016-100966"/>
        <s v="US-2017-100967"/>
        <s v="US-2015-100968"/>
        <s v="US-2015-100969"/>
        <s v="US-2014-100970"/>
        <s v="CA-2016-100971"/>
        <s v="CA-2015-100972"/>
        <s v="US-2016-100973"/>
        <s v="CA-2016-100974"/>
        <s v="US-2014-100975"/>
        <s v="US-2016-100976"/>
        <s v="US-2016-100977"/>
        <s v="US-2015-100978"/>
        <s v="US-2015-100979"/>
        <s v="CA-2017-100980"/>
        <s v="US-2014-100981"/>
        <s v="US-2017-100982"/>
        <s v="US-2014-100983"/>
        <s v="US-2016-100984"/>
        <s v="US-2016-100985"/>
        <s v="US-2014-100986"/>
        <s v="US-2017-100987"/>
        <s v="CA-2016-100988"/>
        <s v="CA-2014-100989"/>
        <s v="CA-2016-100990"/>
        <s v="CA-2016-100991"/>
        <s v="US-2014-100992"/>
        <s v="CA-2015-100993"/>
        <s v="CA-2014-100994"/>
        <s v="CA-2016-100995"/>
        <s v="US-2016-100996"/>
        <s v="US-2016-100997"/>
        <s v="US-2017-100998"/>
        <s v="CA-2014-100999"/>
        <s v="US-2017-101000"/>
        <s v="US-2017-101001"/>
        <s v="CA-2017-101002"/>
        <s v="US-2014-101003"/>
        <s v="CA-2014-101004"/>
        <s v="CA-2017-101005"/>
        <s v="CA-2015-101006"/>
        <s v="US-2017-101007"/>
        <s v="CA-2016-101008"/>
        <s v="CA-2014-101009"/>
        <s v="US-2015-101010"/>
        <s v="US-2017-101011"/>
        <s v="CA-2016-101012"/>
        <s v="CA-2015-101013"/>
        <s v="CA-2015-101014"/>
        <s v="US-2016-101015"/>
        <s v="US-2015-101016"/>
        <s v="US-2014-101017"/>
        <s v="CA-2015-101018"/>
        <s v="US-2017-101019"/>
        <s v="US-2015-101020"/>
        <s v="CA-2014-101021"/>
        <s v="US-2017-101022"/>
        <s v="US-2015-101023"/>
        <s v="US-2016-101024"/>
        <s v="CA-2014-101025"/>
        <s v="US-2017-101026"/>
        <s v="CA-2016-101027"/>
        <s v="US-2017-101028"/>
        <s v="CA-2014-101029"/>
        <s v="CA-2017-101030"/>
        <s v="US-2014-101031"/>
        <s v="CA-2014-101032"/>
        <s v="CA-2016-101033"/>
        <s v="CA-2016-101034"/>
        <s v="US-2014-101035"/>
        <s v="CA-2014-101036"/>
        <s v="CA-2016-101037"/>
        <s v="US-2015-101038"/>
        <s v="US-2014-101039"/>
        <s v="US-2016-101040"/>
        <s v="CA-2017-101041"/>
        <s v="US-2016-101042"/>
        <s v="US-2017-101043"/>
        <s v="CA-2014-101044"/>
        <s v="US-2015-101045"/>
        <s v="US-2015-101046"/>
        <s v="CA-2016-101047"/>
        <s v="CA-2016-101048"/>
        <s v="CA-2014-101049"/>
        <s v="CA-2015-101050"/>
        <s v="US-2016-101051"/>
        <s v="CA-2014-101052"/>
        <s v="US-2015-101053"/>
        <s v="CA-2015-101054"/>
        <s v="US-2014-101055"/>
        <s v="US-2014-101056"/>
        <s v="US-2016-101057"/>
        <s v="CA-2014-101058"/>
        <s v="US-2016-101059"/>
        <s v="US-2016-101060"/>
        <s v="US-2017-101061"/>
        <s v="US-2016-101062"/>
        <s v="CA-2015-101063"/>
        <s v="US-2015-101064"/>
        <s v="US-2015-101065"/>
        <s v="US-2015-101066"/>
        <s v="US-2016-101067"/>
        <s v="CA-2015-101068"/>
        <s v="CA-2015-101069"/>
        <s v="CA-2017-101070"/>
        <s v="CA-2016-101071"/>
        <s v="US-2016-101072"/>
        <s v="US-2016-101073"/>
        <s v="CA-2015-101074"/>
        <s v="US-2015-101075"/>
        <s v="CA-2017-101076"/>
        <s v="CA-2014-101077"/>
        <s v="US-2016-101078"/>
        <s v="CA-2015-101079"/>
        <s v="US-2017-101080"/>
        <s v="CA-2016-101081"/>
        <s v="US-2014-101082"/>
        <s v="CA-2017-101083"/>
        <s v="CA-2017-101084"/>
        <s v="CA-2015-101085"/>
        <s v="US-2015-101086"/>
        <s v="CA-2017-101087"/>
        <s v="US-2014-101088"/>
        <s v="CA-2015-101089"/>
        <s v="US-2014-101090"/>
        <s v="US-2017-101091"/>
        <s v="US-2016-101092"/>
        <s v="CA-2014-101093"/>
        <s v="US-2016-101094"/>
        <s v="CA-2016-101095"/>
        <s v="US-2014-101096"/>
        <s v="CA-2015-101097"/>
        <s v="US-2015-101098"/>
        <s v="US-2017-101099"/>
        <s v="CA-2014-101100"/>
        <s v="CA-2017-101101"/>
        <s v="CA-2016-101102"/>
        <s v="US-2014-101103"/>
        <s v="US-2016-101104"/>
        <s v="US-2016-101105"/>
        <s v="US-2015-101106"/>
        <s v="US-2015-101107"/>
        <s v="CA-2017-101108"/>
        <s v="US-2014-101109"/>
        <s v="CA-2014-101110"/>
        <s v="US-2016-101111"/>
        <s v="CA-2016-101112"/>
        <s v="CA-2014-101113"/>
        <s v="CA-2016-101114"/>
        <s v="CA-2016-101115"/>
        <s v="US-2014-101116"/>
        <s v="CA-2017-101117"/>
        <s v="CA-2014-101118"/>
        <s v="US-2015-101119"/>
        <s v="US-2015-101120"/>
        <s v="CA-2015-101121"/>
        <s v="CA-2017-101122"/>
        <s v="CA-2015-101123"/>
        <s v="CA-2015-101124"/>
        <s v="CA-2016-101125"/>
        <s v="CA-2015-101126"/>
        <s v="CA-2015-101127"/>
        <s v="US-2014-101128"/>
        <s v="US-2015-101129"/>
        <s v="US-2016-101130"/>
        <s v="US-2016-101131"/>
        <s v="US-2015-101132"/>
        <s v="US-2016-101133"/>
        <s v="US-2017-101134"/>
        <s v="US-2017-101135"/>
        <s v="US-2017-101136"/>
        <s v="US-2017-101137"/>
        <s v="US-2017-101138"/>
        <s v="CA-2017-101139"/>
        <s v="US-2014-101140"/>
        <s v="CA-2016-101141"/>
        <s v="US-2016-101142"/>
        <s v="CA-2014-101143"/>
        <s v="CA-2014-101144"/>
        <s v="US-2017-101145"/>
        <s v="CA-2014-101146"/>
        <s v="US-2015-101147"/>
        <s v="CA-2014-101148"/>
        <s v="US-2014-101149"/>
        <s v="CA-2015-101150"/>
        <s v="US-2014-101151"/>
        <s v="CA-2017-101152"/>
        <s v="CA-2016-101153"/>
        <s v="US-2017-101154"/>
        <s v="US-2017-101155"/>
        <s v="CA-2015-101156"/>
        <s v="CA-2015-101157"/>
        <s v="CA-2017-101158"/>
        <s v="CA-2015-101159"/>
        <s v="CA-2014-101160"/>
        <s v="US-2016-101161"/>
        <s v="US-2016-101162"/>
        <s v="CA-2015-101163"/>
        <s v="US-2017-101164"/>
        <s v="US-2016-101165"/>
        <s v="US-2014-101166"/>
        <s v="CA-2016-101167"/>
        <s v="US-2014-101168"/>
        <s v="US-2017-101169"/>
        <s v="CA-2017-101170"/>
        <s v="US-2017-101171"/>
        <s v="CA-2015-101172"/>
        <s v="US-2015-101173"/>
        <s v="US-2016-101174"/>
        <s v="US-2014-101175"/>
        <s v="CA-2016-101176"/>
        <s v="US-2016-101177"/>
        <s v="US-2014-101178"/>
        <s v="US-2015-101179"/>
        <s v="US-2017-101180"/>
        <s v="CA-2016-101181"/>
        <s v="CA-2016-101182"/>
        <s v="CA-2017-101183"/>
        <s v="CA-2015-101184"/>
        <s v="CA-2016-101185"/>
        <s v="CA-2015-101186"/>
        <s v="CA-2017-101187"/>
        <s v="US-2015-101188"/>
        <s v="US-2016-101189"/>
        <s v="CA-2017-101190"/>
        <s v="US-2015-101191"/>
        <s v="CA-2015-101192"/>
        <s v="CA-2015-101193"/>
        <s v="US-2017-101194"/>
        <s v="CA-2015-101195"/>
        <s v="US-2016-101196"/>
        <s v="CA-2014-101197"/>
        <s v="US-2016-101198"/>
        <s v="CA-2014-101199"/>
        <s v="CA-2017-101200"/>
        <s v="US-2017-101201"/>
        <s v="US-2014-101202"/>
        <s v="CA-2015-101203"/>
        <s v="US-2016-101204"/>
        <s v="US-2016-101205"/>
        <s v="US-2017-101206"/>
        <s v="US-2016-101207"/>
        <s v="US-2014-101208"/>
        <s v="CA-2016-101209"/>
        <s v="CA-2017-101210"/>
        <s v="CA-2015-101211"/>
        <s v="US-2014-101212"/>
        <s v="CA-2015-101213"/>
        <s v="CA-2015-101214"/>
        <s v="US-2015-101215"/>
        <s v="CA-2014-101216"/>
        <s v="US-2016-101217"/>
        <s v="CA-2015-101218"/>
        <s v="CA-2014-101219"/>
        <s v="CA-2015-101220"/>
        <s v="CA-2016-101221"/>
        <s v="US-2015-101222"/>
        <s v="US-2017-101223"/>
        <s v="US-2015-101224"/>
        <s v="CA-2017-101225"/>
        <s v="US-2014-101226"/>
        <s v="US-2014-101227"/>
        <s v="US-2015-101228"/>
        <s v="US-2015-101229"/>
        <s v="CA-2015-101230"/>
        <s v="CA-2014-101231"/>
        <s v="US-2016-101232"/>
        <s v="US-2016-101233"/>
        <s v="CA-2016-101234"/>
        <s v="CA-2016-101235"/>
        <s v="US-2014-101236"/>
        <s v="US-2015-101237"/>
        <s v="US-2014-101238"/>
        <s v="CA-2017-101239"/>
        <s v="US-2016-101240"/>
        <s v="CA-2014-101241"/>
        <s v="US-2015-101242"/>
        <s v="US-2014-101243"/>
        <s v="US-2015-101244"/>
        <s v="CA-2014-101245"/>
        <s v="CA-2015-101246"/>
        <s v="CA-2016-101247"/>
        <s v="US-2014-101248"/>
        <s v="US-2016-101249"/>
        <s v="US-2015-101250"/>
        <s v="CA-2014-101251"/>
        <s v="CA-2017-101252"/>
        <s v="CA-2017-101253"/>
        <s v="CA-2015-101254"/>
        <s v="CA-2015-101255"/>
        <s v="CA-2016-101256"/>
        <s v="CA-2015-101257"/>
        <s v="US-2016-101258"/>
        <s v="CA-2016-101259"/>
        <s v="CA-2015-101260"/>
        <s v="CA-2014-101261"/>
        <s v="CA-2015-101262"/>
        <s v="CA-2016-101263"/>
        <s v="CA-2014-101264"/>
        <s v="CA-2017-101265"/>
        <s v="US-2014-101266"/>
        <s v="US-2014-101267"/>
        <s v="CA-2017-101268"/>
        <s v="CA-2016-101269"/>
        <s v="US-2017-101270"/>
        <s v="CA-2015-101271"/>
        <s v="CA-2015-101272"/>
        <s v="CA-2014-101273"/>
        <s v="CA-2014-101274"/>
        <s v="CA-2016-101275"/>
        <s v="US-2015-101276"/>
        <s v="US-2017-101277"/>
        <s v="CA-2016-101278"/>
        <s v="US-2016-101279"/>
        <s v="CA-2017-101280"/>
        <s v="CA-2015-101281"/>
        <s v="US-2017-101282"/>
        <s v="US-2015-101283"/>
        <s v="US-2016-101284"/>
        <s v="CA-2015-101285"/>
        <s v="US-2014-101286"/>
        <s v="CA-2014-101287"/>
        <s v="CA-2015-101288"/>
        <s v="US-2014-101289"/>
        <s v="CA-2016-101290"/>
        <s v="US-2016-101291"/>
        <s v="CA-2014-101292"/>
        <s v="US-2015-101293"/>
        <s v="US-2016-101294"/>
        <s v="US-2017-101295"/>
        <s v="CA-2016-101296"/>
        <s v="US-2014-101297"/>
        <s v="CA-2016-101298"/>
        <s v="CA-2014-101299"/>
        <s v="CA-2016-101300"/>
        <s v="US-2017-101301"/>
        <s v="CA-2014-101302"/>
        <s v="CA-2016-101303"/>
        <s v="US-2016-101304"/>
        <s v="CA-2016-101305"/>
        <s v="CA-2016-101306"/>
        <s v="CA-2015-101307"/>
        <s v="CA-2015-101308"/>
        <s v="CA-2015-101309"/>
        <s v="US-2015-101310"/>
        <s v="US-2014-101311"/>
        <s v="US-2015-101312"/>
        <s v="CA-2014-101313"/>
        <s v="CA-2015-101314"/>
        <s v="CA-2017-101315"/>
        <s v="CA-2016-101316"/>
        <s v="CA-2014-101317"/>
        <s v="US-2016-101318"/>
        <s v="CA-2014-101319"/>
        <s v="US-2017-101320"/>
        <s v="CA-2015-101321"/>
        <s v="US-2015-101322"/>
        <s v="CA-2015-101323"/>
        <s v="CA-2015-101324"/>
        <s v="CA-2016-101325"/>
        <s v="US-2016-101326"/>
        <s v="CA-2014-101327"/>
        <s v="US-2016-101328"/>
        <s v="CA-2017-101329"/>
        <s v="CA-2016-101330"/>
        <s v="US-2015-101331"/>
        <s v="US-2017-101332"/>
        <s v="US-2017-101333"/>
        <s v="US-2014-101334"/>
        <s v="CA-2016-101335"/>
        <s v="US-2017-101336"/>
        <s v="CA-2017-101337"/>
        <s v="US-2017-101338"/>
        <s v="US-2016-101339"/>
        <s v="US-2015-101340"/>
        <s v="US-2016-101341"/>
        <s v="US-2017-101342"/>
        <s v="CA-2015-101343"/>
        <s v="CA-2015-101344"/>
        <s v="CA-2016-101345"/>
        <s v="US-2014-101346"/>
        <s v="US-2016-101347"/>
        <s v="CA-2016-101348"/>
        <s v="CA-2016-101349"/>
        <s v="US-2015-101350"/>
        <s v="US-2015-101351"/>
        <s v="US-2016-101352"/>
        <s v="US-2016-101353"/>
        <s v="CA-2017-101354"/>
        <s v="US-2017-101355"/>
        <s v="CA-2016-101356"/>
        <s v="CA-2017-101357"/>
        <s v="CA-2016-101358"/>
        <s v="US-2017-101359"/>
        <s v="CA-2014-101360"/>
        <s v="CA-2015-101361"/>
        <s v="US-2016-101362"/>
        <s v="US-2017-101363"/>
        <s v="CA-2017-101364"/>
        <s v="US-2016-101365"/>
        <s v="US-2014-101366"/>
        <s v="US-2017-101367"/>
        <s v="US-2014-101368"/>
        <s v="CA-2015-101369"/>
        <s v="CA-2015-101370"/>
        <s v="US-2015-101371"/>
        <s v="CA-2016-101372"/>
        <s v="US-2015-101373"/>
        <s v="US-2016-101374"/>
        <s v="CA-2015-101375"/>
        <s v="US-2016-101376"/>
        <s v="US-2014-101377"/>
        <s v="US-2014-101378"/>
        <s v="CA-2016-101379"/>
        <s v="US-2017-101380"/>
        <s v="CA-2017-101381"/>
        <s v="CA-2017-101382"/>
        <s v="CA-2016-101383"/>
        <s v="US-2016-101384"/>
        <s v="US-2016-101385"/>
        <s v="CA-2017-101386"/>
        <s v="CA-2016-101387"/>
        <s v="CA-2016-101388"/>
        <s v="US-2015-101389"/>
        <s v="US-2016-101390"/>
        <s v="CA-2016-101391"/>
        <s v="CA-2015-101392"/>
        <s v="CA-2017-101393"/>
        <s v="CA-2017-101394"/>
        <s v="US-2014-101395"/>
        <s v="CA-2017-101396"/>
        <s v="US-2017-101397"/>
        <s v="CA-2015-101398"/>
        <s v="US-2015-101399"/>
        <s v="US-2017-101400"/>
        <s v="US-2015-101401"/>
        <s v="CA-2017-101402"/>
        <s v="CA-2014-101403"/>
        <s v="CA-2016-101404"/>
        <s v="CA-2014-101405"/>
        <s v="CA-2017-101406"/>
        <s v="US-2014-101407"/>
        <s v="CA-2016-101408"/>
        <s v="CA-2016-101409"/>
        <s v="US-2015-101410"/>
        <s v="US-2014-101411"/>
        <s v="US-2017-101412"/>
        <s v="US-2014-101413"/>
        <s v="CA-2016-101414"/>
        <s v="US-2015-101415"/>
        <s v="US-2017-101416"/>
        <s v="US-2017-101417"/>
        <s v="CA-2016-101418"/>
        <s v="CA-2017-101419"/>
        <s v="US-2017-101420"/>
        <s v="CA-2016-101421"/>
        <s v="US-2016-101422"/>
        <s v="US-2016-101423"/>
        <s v="CA-2017-101424"/>
        <s v="US-2014-101425"/>
        <s v="US-2016-101426"/>
        <s v="US-2017-101427"/>
        <s v="US-2014-101428"/>
        <s v="US-2014-101429"/>
        <s v="US-2016-101430"/>
        <s v="US-2017-101431"/>
        <s v="CA-2016-101432"/>
        <s v="CA-2017-101433"/>
        <s v="US-2017-101434"/>
        <s v="US-2016-101435"/>
        <s v="CA-2014-101436"/>
        <s v="US-2015-101437"/>
        <s v="CA-2016-101438"/>
        <s v="US-2017-101439"/>
        <s v="CA-2015-101440"/>
        <s v="US-2017-101441"/>
        <s v="US-2017-101442"/>
        <s v="US-2014-101443"/>
        <s v="CA-2016-101444"/>
        <s v="CA-2015-101445"/>
        <s v="CA-2015-101446"/>
        <s v="US-2014-101447"/>
        <s v="US-2017-101448"/>
        <s v="US-2017-101449"/>
        <s v="CA-2016-101450"/>
        <s v="CA-2017-101451"/>
        <s v="CA-2017-101452"/>
        <s v="CA-2017-101453"/>
        <s v="US-2014-101454"/>
        <s v="US-2014-101455"/>
        <s v="CA-2015-101456"/>
        <s v="US-2017-101457"/>
        <s v="CA-2017-101458"/>
        <s v="US-2014-101459"/>
        <s v="US-2017-101460"/>
        <s v="US-2014-101461"/>
        <s v="CA-2014-101462"/>
        <s v="US-2017-101463"/>
        <s v="CA-2016-101464"/>
        <s v="US-2015-101465"/>
        <s v="CA-2014-101466"/>
        <s v="US-2017-101467"/>
        <s v="US-2015-101468"/>
        <s v="CA-2017-101469"/>
        <s v="US-2014-101470"/>
        <s v="CA-2015-101471"/>
        <s v="CA-2017-101472"/>
        <s v="US-2017-101473"/>
        <s v="US-2015-101474"/>
        <s v="US-2017-101475"/>
        <s v="CA-2016-101476"/>
        <s v="US-2017-101477"/>
        <s v="CA-2014-101478"/>
        <s v="CA-2014-101479"/>
        <s v="US-2016-101480"/>
        <s v="US-2015-101481"/>
        <s v="CA-2016-101482"/>
        <s v="US-2014-101483"/>
        <s v="US-2014-101484"/>
        <s v="CA-2017-101485"/>
        <s v="CA-2017-101486"/>
        <s v="US-2017-101487"/>
        <s v="CA-2017-101488"/>
        <s v="CA-2016-101489"/>
        <s v="US-2017-101490"/>
        <s v="CA-2016-101491"/>
        <s v="CA-2014-101492"/>
        <s v="CA-2016-101493"/>
        <s v="US-2016-101494"/>
        <s v="CA-2014-101495"/>
        <s v="US-2015-101496"/>
        <s v="US-2017-101497"/>
        <s v="CA-2016-101498"/>
        <s v="CA-2016-101499"/>
        <s v="CA-2016-101500"/>
        <s v="CA-2014-101501"/>
        <s v="US-2014-101502"/>
        <s v="CA-2016-101503"/>
        <s v="CA-2014-101504"/>
        <s v="CA-2015-101505"/>
        <s v="CA-2016-101506"/>
        <s v="CA-2015-101507"/>
        <s v="CA-2015-101508"/>
        <s v="CA-2014-101509"/>
        <s v="CA-2014-101510"/>
        <s v="US-2016-101511"/>
        <s v="CA-2017-101512"/>
        <s v="US-2014-101513"/>
        <s v="US-2015-101514"/>
        <s v="US-2014-101515"/>
        <s v="US-2014-101516"/>
        <s v="US-2015-101517"/>
        <s v="US-2016-101518"/>
        <s v="CA-2017-101519"/>
        <s v="CA-2017-101520"/>
        <s v="CA-2015-101521"/>
        <s v="US-2014-101522"/>
        <s v="CA-2015-101523"/>
        <s v="CA-2017-101524"/>
        <s v="US-2016-101525"/>
        <s v="US-2015-101526"/>
        <s v="US-2015-101527"/>
        <s v="US-2014-101528"/>
        <s v="CA-2015-101529"/>
        <s v="US-2014-101530"/>
        <s v="US-2017-101531"/>
        <s v="US-2015-101532"/>
        <s v="US-2016-101533"/>
        <s v="CA-2014-101534"/>
        <s v="CA-2015-101535"/>
        <s v="CA-2017-101536"/>
        <s v="CA-2015-101537"/>
        <s v="CA-2014-101538"/>
        <s v="CA-2017-101539"/>
        <s v="CA-2017-101540"/>
        <s v="CA-2014-101541"/>
        <s v="US-2014-101542"/>
        <s v="CA-2016-101543"/>
        <s v="CA-2017-101544"/>
        <s v="US-2014-101545"/>
        <s v="US-2014-101546"/>
        <s v="US-2015-101547"/>
        <s v="US-2017-101548"/>
        <s v="US-2015-101549"/>
        <s v="CA-2017-101550"/>
        <s v="US-2016-101551"/>
        <s v="US-2017-101552"/>
        <s v="US-2016-101553"/>
        <s v="US-2017-101554"/>
        <s v="US-2016-101555"/>
        <s v="CA-2014-101556"/>
        <s v="CA-2017-101557"/>
        <s v="US-2015-101558"/>
        <s v="US-2017-101559"/>
        <s v="US-2016-101560"/>
        <s v="US-2016-101561"/>
        <s v="US-2015-101562"/>
        <s v="CA-2017-101563"/>
        <s v="CA-2017-101564"/>
        <s v="CA-2015-101565"/>
        <s v="CA-2015-101566"/>
        <s v="US-2015-101567"/>
        <s v="CA-2016-101568"/>
        <s v="CA-2015-101569"/>
        <s v="US-2017-101570"/>
        <s v="CA-2016-101571"/>
        <s v="CA-2017-101572"/>
        <s v="CA-2014-101573"/>
        <s v="US-2015-101574"/>
        <s v="CA-2015-101575"/>
        <s v="US-2014-101576"/>
        <s v="CA-2015-101577"/>
        <s v="US-2015-101578"/>
        <s v="US-2016-101579"/>
        <s v="US-2014-101580"/>
        <s v="US-2016-101581"/>
        <s v="CA-2017-101582"/>
        <s v="CA-2017-101583"/>
        <s v="CA-2016-101584"/>
        <s v="US-2014-101585"/>
        <s v="CA-2014-101586"/>
        <s v="CA-2014-101587"/>
        <s v="US-2016-101588"/>
        <s v="CA-2016-101589"/>
        <s v="CA-2017-101590"/>
        <s v="US-2017-101591"/>
        <s v="US-2016-101592"/>
        <s v="US-2017-101593"/>
        <s v="US-2015-101594"/>
        <s v="CA-2017-101595"/>
        <s v="CA-2015-101596"/>
        <s v="CA-2016-101597"/>
        <s v="US-2015-101598"/>
        <s v="CA-2014-101599"/>
        <s v="CA-2017-101600"/>
        <s v="US-2016-101601"/>
        <s v="CA-2015-101602"/>
        <s v="US-2017-101603"/>
        <s v="US-2015-101604"/>
        <s v="US-2016-101605"/>
        <s v="CA-2014-101606"/>
        <s v="CA-2015-101607"/>
        <s v="CA-2015-101608"/>
        <s v="CA-2015-101609"/>
        <s v="US-2016-101610"/>
        <s v="CA-2015-101611"/>
        <s v="CA-2014-101612"/>
        <s v="CA-2014-101613"/>
        <s v="US-2016-101614"/>
        <s v="CA-2017-101615"/>
        <s v="US-2014-101616"/>
        <s v="US-2015-101617"/>
        <s v="CA-2014-101618"/>
        <s v="US-2017-101619"/>
        <s v="CA-2015-101620"/>
        <s v="US-2016-101621"/>
        <s v="US-2016-101622"/>
        <s v="US-2015-101623"/>
        <s v="US-2014-101624"/>
        <s v="US-2017-101625"/>
        <s v="US-2014-101626"/>
        <s v="US-2014-101627"/>
        <s v="CA-2014-101628"/>
        <s v="US-2017-101629"/>
        <s v="US-2014-101630"/>
        <s v="CA-2014-101631"/>
        <s v="CA-2014-101632"/>
        <s v="US-2017-101633"/>
        <s v="US-2014-101634"/>
        <s v="CA-2014-101635"/>
        <s v="US-2016-101636"/>
        <s v="US-2014-101637"/>
        <s v="CA-2016-101638"/>
        <s v="US-2014-101639"/>
        <s v="CA-2014-101640"/>
        <s v="CA-2015-101641"/>
        <s v="CA-2016-101642"/>
        <s v="CA-2014-101643"/>
        <s v="US-2016-101644"/>
        <s v="US-2017-101645"/>
        <s v="CA-2017-101646"/>
        <s v="US-2016-101647"/>
        <s v="CA-2016-101648"/>
        <s v="CA-2016-101649"/>
        <s v="CA-2016-101650"/>
        <s v="CA-2015-101651"/>
        <s v="US-2017-101652"/>
        <s v="US-2017-101653"/>
        <s v="US-2017-101654"/>
        <s v="US-2015-101655"/>
        <s v="CA-2016-101656"/>
        <s v="US-2014-101657"/>
        <s v="CA-2017-101658"/>
        <s v="CA-2017-101659"/>
        <s v="US-2016-101660"/>
        <s v="CA-2014-101661"/>
        <s v="US-2016-101662"/>
        <s v="US-2016-101663"/>
        <s v="CA-2014-101664"/>
        <s v="US-2014-101665"/>
        <s v="CA-2014-101666"/>
        <s v="CA-2015-101667"/>
        <s v="US-2015-101668"/>
        <s v="CA-2015-101669"/>
        <s v="CA-2015-101670"/>
        <s v="CA-2015-101671"/>
        <s v="US-2015-101672"/>
        <s v="US-2017-101673"/>
        <s v="CA-2016-101674"/>
        <s v="US-2015-101675"/>
        <s v="US-2015-101676"/>
        <s v="CA-2016-101677"/>
        <s v="CA-2017-101678"/>
        <s v="CA-2015-101679"/>
        <s v="CA-2014-101680"/>
        <s v="US-2014-101681"/>
        <s v="US-2017-101682"/>
        <s v="US-2017-101683"/>
        <s v="US-2014-101684"/>
        <s v="US-2017-101685"/>
        <s v="CA-2016-101686"/>
        <s v="CA-2017-101687"/>
        <s v="US-2015-101688"/>
        <s v="CA-2014-101689"/>
        <s v="CA-2016-101690"/>
        <s v="CA-2017-101691"/>
        <s v="US-2014-101692"/>
        <s v="CA-2015-101693"/>
        <s v="US-2014-101694"/>
        <s v="CA-2015-101695"/>
        <s v="CA-2016-101696"/>
      </sharedItems>
    </cacheField>
    <cacheField name="Order Date" numFmtId="164">
      <sharedItems containsSemiMixedTypes="0" containsNonDate="0" containsDate="1" containsString="0" minDate="2014-01-02T00:00:00" maxDate="2018-01-01T00:00:00" count="1011">
        <d v="2017-08-27T00:00:00"/>
        <d v="2015-03-23T00:00:00"/>
        <d v="2016-03-23T00:00:00"/>
        <d v="2014-03-26T00:00:00"/>
        <d v="2017-12-19T00:00:00"/>
        <d v="2015-07-26T00:00:00"/>
        <d v="2015-11-29T00:00:00"/>
        <d v="2017-02-11T00:00:00"/>
        <d v="2017-04-06T00:00:00"/>
        <d v="2015-01-30T00:00:00"/>
        <d v="2017-05-07T00:00:00"/>
        <d v="2014-04-22T00:00:00"/>
        <d v="2015-06-02T00:00:00"/>
        <d v="2014-06-24T00:00:00"/>
        <d v="2015-09-01T00:00:00"/>
        <d v="2014-06-16T00:00:00"/>
        <d v="2015-08-03T00:00:00"/>
        <d v="2014-11-02T00:00:00"/>
        <d v="2017-12-04T00:00:00"/>
        <d v="2014-07-07T00:00:00"/>
        <d v="2015-01-07T00:00:00"/>
        <d v="2016-04-23T00:00:00"/>
        <d v="2016-11-19T00:00:00"/>
        <d v="2014-04-16T00:00:00"/>
        <d v="2016-04-15T00:00:00"/>
        <d v="2017-12-15T00:00:00"/>
        <d v="2014-10-07T00:00:00"/>
        <d v="2017-09-13T00:00:00"/>
        <d v="2017-11-29T00:00:00"/>
        <d v="2014-11-08T00:00:00"/>
        <d v="2014-11-13T00:00:00"/>
        <d v="2017-07-07T00:00:00"/>
        <d v="2015-09-06T00:00:00"/>
        <d v="2015-01-04T00:00:00"/>
        <d v="2015-06-07T00:00:00"/>
        <d v="2016-02-27T00:00:00"/>
        <d v="2016-03-21T00:00:00"/>
        <d v="2015-03-25T00:00:00"/>
        <d v="2017-04-01T00:00:00"/>
        <d v="2016-12-23T00:00:00"/>
        <d v="2017-02-15T00:00:00"/>
        <d v="2016-02-20T00:00:00"/>
        <d v="2014-05-10T00:00:00"/>
        <d v="2015-04-26T00:00:00"/>
        <d v="2016-01-05T00:00:00"/>
        <d v="2014-05-21T00:00:00"/>
        <d v="2014-09-24T00:00:00"/>
        <d v="2014-04-18T00:00:00"/>
        <d v="2017-06-13T00:00:00"/>
        <d v="2014-05-31T00:00:00"/>
        <d v="2016-12-22T00:00:00"/>
        <d v="2016-04-27T00:00:00"/>
        <d v="2014-05-18T00:00:00"/>
        <d v="2017-02-24T00:00:00"/>
        <d v="2015-12-22T00:00:00"/>
        <d v="2015-07-25T00:00:00"/>
        <d v="2015-12-20T00:00:00"/>
        <d v="2016-05-09T00:00:00"/>
        <d v="2017-10-12T00:00:00"/>
        <d v="2016-05-30T00:00:00"/>
        <d v="2015-02-23T00:00:00"/>
        <d v="2016-12-26T00:00:00"/>
        <d v="2015-10-04T00:00:00"/>
        <d v="2017-11-13T00:00:00"/>
        <d v="2015-03-30T00:00:00"/>
        <d v="2014-10-30T00:00:00"/>
        <d v="2016-08-08T00:00:00"/>
        <d v="2017-04-26T00:00:00"/>
        <d v="2014-07-31T00:00:00"/>
        <d v="2016-02-03T00:00:00"/>
        <d v="2016-03-02T00:00:00"/>
        <d v="2014-09-22T00:00:00"/>
        <d v="2015-01-05T00:00:00"/>
        <d v="2016-11-05T00:00:00"/>
        <d v="2016-04-21T00:00:00"/>
        <d v="2015-02-02T00:00:00"/>
        <d v="2017-05-23T00:00:00"/>
        <d v="2014-10-29T00:00:00"/>
        <d v="2015-04-28T00:00:00"/>
        <d v="2015-08-11T00:00:00"/>
        <d v="2017-01-28T00:00:00"/>
        <d v="2014-08-16T00:00:00"/>
        <d v="2015-01-19T00:00:00"/>
        <d v="2015-06-04T00:00:00"/>
        <d v="2014-10-01T00:00:00"/>
        <d v="2016-08-27T00:00:00"/>
        <d v="2016-03-30T00:00:00"/>
        <d v="2016-05-31T00:00:00"/>
        <d v="2016-11-16T00:00:00"/>
        <d v="2017-05-24T00:00:00"/>
        <d v="2017-08-23T00:00:00"/>
        <d v="2017-06-07T00:00:00"/>
        <d v="2014-11-19T00:00:00"/>
        <d v="2016-08-15T00:00:00"/>
        <d v="2017-03-23T00:00:00"/>
        <d v="2017-08-03T00:00:00"/>
        <d v="2015-12-10T00:00:00"/>
        <d v="2014-11-12T00:00:00"/>
        <d v="2015-06-27T00:00:00"/>
        <d v="2016-04-11T00:00:00"/>
        <d v="2015-10-16T00:00:00"/>
        <d v="2014-10-16T00:00:00"/>
        <d v="2015-10-03T00:00:00"/>
        <d v="2014-04-10T00:00:00"/>
        <d v="2016-04-05T00:00:00"/>
        <d v="2017-06-30T00:00:00"/>
        <d v="2016-04-02T00:00:00"/>
        <d v="2016-03-15T00:00:00"/>
        <d v="2017-04-10T00:00:00"/>
        <d v="2017-06-23T00:00:00"/>
        <d v="2016-05-07T00:00:00"/>
        <d v="2015-03-01T00:00:00"/>
        <d v="2017-10-26T00:00:00"/>
        <d v="2017-12-14T00:00:00"/>
        <d v="2015-08-18T00:00:00"/>
        <d v="2017-02-25T00:00:00"/>
        <d v="2016-04-26T00:00:00"/>
        <d v="2016-09-04T00:00:00"/>
        <d v="2016-03-24T00:00:00"/>
        <d v="2016-12-09T00:00:00"/>
        <d v="2015-01-17T00:00:00"/>
        <d v="2015-01-14T00:00:00"/>
        <d v="2017-04-07T00:00:00"/>
        <d v="2015-09-29T00:00:00"/>
        <d v="2016-02-05T00:00:00"/>
        <d v="2014-06-09T00:00:00"/>
        <d v="2016-09-28T00:00:00"/>
        <d v="2015-09-24T00:00:00"/>
        <d v="2014-05-04T00:00:00"/>
        <d v="2016-02-13T00:00:00"/>
        <d v="2014-01-08T00:00:00"/>
        <d v="2014-08-20T00:00:00"/>
        <d v="2015-05-17T00:00:00"/>
        <d v="2014-12-25T00:00:00"/>
        <d v="2016-02-10T00:00:00"/>
        <d v="2016-03-06T00:00:00"/>
        <d v="2017-05-19T00:00:00"/>
        <d v="2015-01-25T00:00:00"/>
        <d v="2016-01-30T00:00:00"/>
        <d v="2016-02-17T00:00:00"/>
        <d v="2015-12-23T00:00:00"/>
        <d v="2015-04-19T00:00:00"/>
        <d v="2016-04-22T00:00:00"/>
        <d v="2014-07-17T00:00:00"/>
        <d v="2015-05-14T00:00:00"/>
        <d v="2014-01-20T00:00:00"/>
        <d v="2017-03-06T00:00:00"/>
        <d v="2014-02-02T00:00:00"/>
        <d v="2017-01-12T00:00:00"/>
        <d v="2016-02-18T00:00:00"/>
        <d v="2016-03-08T00:00:00"/>
        <d v="2016-07-08T00:00:00"/>
        <d v="2017-02-19T00:00:00"/>
        <d v="2015-07-20T00:00:00"/>
        <d v="2015-02-05T00:00:00"/>
        <d v="2015-03-06T00:00:00"/>
        <d v="2016-05-16T00:00:00"/>
        <d v="2017-12-07T00:00:00"/>
        <d v="2016-11-28T00:00:00"/>
        <d v="2014-08-26T00:00:00"/>
        <d v="2015-11-09T00:00:00"/>
        <d v="2016-07-09T00:00:00"/>
        <d v="2015-01-18T00:00:00"/>
        <d v="2016-07-26T00:00:00"/>
        <d v="2016-02-04T00:00:00"/>
        <d v="2014-12-21T00:00:00"/>
        <d v="2016-04-17T00:00:00"/>
        <d v="2015-07-17T00:00:00"/>
        <d v="2015-07-03T00:00:00"/>
        <d v="2015-09-02T00:00:00"/>
        <d v="2014-12-11T00:00:00"/>
        <d v="2015-05-27T00:00:00"/>
        <d v="2017-07-21T00:00:00"/>
        <d v="2014-07-10T00:00:00"/>
        <d v="2017-01-25T00:00:00"/>
        <d v="2016-06-22T00:00:00"/>
        <d v="2014-07-11T00:00:00"/>
        <d v="2014-01-03T00:00:00"/>
        <d v="2017-11-22T00:00:00"/>
        <d v="2014-10-20T00:00:00"/>
        <d v="2014-07-25T00:00:00"/>
        <d v="2017-02-07T00:00:00"/>
        <d v="2015-05-06T00:00:00"/>
        <d v="2017-10-30T00:00:00"/>
        <d v="2016-11-03T00:00:00"/>
        <d v="2015-02-21T00:00:00"/>
        <d v="2014-01-24T00:00:00"/>
        <d v="2015-11-18T00:00:00"/>
        <d v="2016-01-24T00:00:00"/>
        <d v="2014-11-04T00:00:00"/>
        <d v="2014-09-02T00:00:00"/>
        <d v="2017-02-06T00:00:00"/>
        <d v="2015-02-25T00:00:00"/>
        <d v="2014-06-23T00:00:00"/>
        <d v="2015-06-19T00:00:00"/>
        <d v="2014-12-03T00:00:00"/>
        <d v="2014-09-03T00:00:00"/>
        <d v="2016-03-22T00:00:00"/>
        <d v="2014-07-28T00:00:00"/>
        <d v="2014-09-08T00:00:00"/>
        <d v="2015-07-18T00:00:00"/>
        <d v="2014-06-29T00:00:00"/>
        <d v="2016-10-25T00:00:00"/>
        <d v="2016-01-03T00:00:00"/>
        <d v="2017-03-25T00:00:00"/>
        <d v="2017-02-28T00:00:00"/>
        <d v="2014-02-10T00:00:00"/>
        <d v="2017-04-16T00:00:00"/>
        <d v="2016-02-14T00:00:00"/>
        <d v="2015-10-14T00:00:00"/>
        <d v="2014-07-01T00:00:00"/>
        <d v="2015-04-07T00:00:00"/>
        <d v="2014-11-26T00:00:00"/>
        <d v="2017-05-28T00:00:00"/>
        <d v="2014-04-12T00:00:00"/>
        <d v="2017-05-14T00:00:00"/>
        <d v="2016-08-22T00:00:00"/>
        <d v="2016-08-10T00:00:00"/>
        <d v="2015-04-11T00:00:00"/>
        <d v="2014-06-11T00:00:00"/>
        <d v="2015-02-18T00:00:00"/>
        <d v="2017-04-18T00:00:00"/>
        <d v="2015-12-06T00:00:00"/>
        <d v="2017-11-26T00:00:00"/>
        <d v="2016-04-13T00:00:00"/>
        <d v="2014-03-01T00:00:00"/>
        <d v="2015-07-16T00:00:00"/>
        <d v="2016-12-02T00:00:00"/>
        <d v="2015-11-20T00:00:00"/>
        <d v="2014-04-27T00:00:00"/>
        <d v="2014-03-14T00:00:00"/>
        <d v="2017-09-08T00:00:00"/>
        <d v="2015-11-19T00:00:00"/>
        <d v="2017-07-23T00:00:00"/>
        <d v="2015-02-15T00:00:00"/>
        <d v="2014-12-29T00:00:00"/>
        <d v="2014-09-23T00:00:00"/>
        <d v="2014-05-14T00:00:00"/>
        <d v="2016-01-06T00:00:00"/>
        <d v="2014-12-13T00:00:00"/>
        <d v="2017-08-31T00:00:00"/>
        <d v="2017-11-05T00:00:00"/>
        <d v="2017-06-19T00:00:00"/>
        <d v="2014-11-25T00:00:00"/>
        <d v="2017-03-21T00:00:00"/>
        <d v="2015-06-25T00:00:00"/>
        <d v="2017-06-05T00:00:00"/>
        <d v="2015-10-06T00:00:00"/>
        <d v="2015-05-09T00:00:00"/>
        <d v="2016-07-06T00:00:00"/>
        <d v="2017-05-22T00:00:00"/>
        <d v="2017-09-07T00:00:00"/>
        <d v="2014-04-04T00:00:00"/>
        <d v="2016-07-25T00:00:00"/>
        <d v="2017-09-10T00:00:00"/>
        <d v="2014-09-20T00:00:00"/>
        <d v="2016-07-16T00:00:00"/>
        <d v="2015-08-19T00:00:00"/>
        <d v="2017-12-25T00:00:00"/>
        <d v="2015-02-14T00:00:00"/>
        <d v="2016-07-15T00:00:00"/>
        <d v="2016-03-04T00:00:00"/>
        <d v="2017-04-20T00:00:00"/>
        <d v="2016-05-27T00:00:00"/>
        <d v="2015-10-23T00:00:00"/>
        <d v="2015-01-12T00:00:00"/>
        <d v="2015-03-24T00:00:00"/>
        <d v="2017-10-29T00:00:00"/>
        <d v="2016-12-28T00:00:00"/>
        <d v="2016-06-10T00:00:00"/>
        <d v="2017-08-06T00:00:00"/>
        <d v="2016-02-21T00:00:00"/>
        <d v="2017-07-22T00:00:00"/>
        <d v="2016-03-18T00:00:00"/>
        <d v="2015-02-09T00:00:00"/>
        <d v="2017-09-12T00:00:00"/>
        <d v="2017-08-05T00:00:00"/>
        <d v="2016-09-24T00:00:00"/>
        <d v="2014-06-04T00:00:00"/>
        <d v="2016-08-24T00:00:00"/>
        <d v="2015-05-05T00:00:00"/>
        <d v="2016-01-27T00:00:00"/>
        <d v="2017-12-12T00:00:00"/>
        <d v="2016-11-23T00:00:00"/>
        <d v="2015-04-17T00:00:00"/>
        <d v="2014-08-21T00:00:00"/>
        <d v="2017-04-28T00:00:00"/>
        <d v="2017-07-29T00:00:00"/>
        <d v="2015-01-08T00:00:00"/>
        <d v="2015-02-19T00:00:00"/>
        <d v="2017-01-09T00:00:00"/>
        <d v="2015-12-19T00:00:00"/>
        <d v="2014-01-15T00:00:00"/>
        <d v="2015-06-20T00:00:00"/>
        <d v="2016-01-29T00:00:00"/>
        <d v="2014-11-28T00:00:00"/>
        <d v="2014-07-06T00:00:00"/>
        <d v="2016-03-31T00:00:00"/>
        <d v="2017-05-12T00:00:00"/>
        <d v="2015-12-25T00:00:00"/>
        <d v="2017-04-08T00:00:00"/>
        <d v="2014-02-26T00:00:00"/>
        <d v="2015-10-05T00:00:00"/>
        <d v="2015-02-28T00:00:00"/>
        <d v="2014-01-14T00:00:00"/>
        <d v="2015-07-28T00:00:00"/>
        <d v="2014-12-24T00:00:00"/>
        <d v="2017-06-08T00:00:00"/>
        <d v="2015-03-08T00:00:00"/>
        <d v="2015-02-06T00:00:00"/>
        <d v="2017-03-08T00:00:00"/>
        <d v="2016-01-08T00:00:00"/>
        <d v="2017-01-07T00:00:00"/>
        <d v="2017-08-04T00:00:00"/>
        <d v="2015-07-02T00:00:00"/>
        <d v="2017-12-06T00:00:00"/>
        <d v="2014-09-26T00:00:00"/>
        <d v="2015-09-23T00:00:00"/>
        <d v="2017-11-09T00:00:00"/>
        <d v="2016-06-14T00:00:00"/>
        <d v="2014-01-17T00:00:00"/>
        <d v="2016-08-01T00:00:00"/>
        <d v="2016-06-08T00:00:00"/>
        <d v="2016-08-31T00:00:00"/>
        <d v="2017-08-13T00:00:00"/>
        <d v="2014-02-13T00:00:00"/>
        <d v="2016-01-22T00:00:00"/>
        <d v="2016-12-07T00:00:00"/>
        <d v="2016-10-03T00:00:00"/>
        <d v="2016-12-19T00:00:00"/>
        <d v="2016-05-24T00:00:00"/>
        <d v="2017-07-20T00:00:00"/>
        <d v="2014-03-12T00:00:00"/>
        <d v="2017-03-14T00:00:00"/>
        <d v="2017-03-26T00:00:00"/>
        <d v="2015-04-10T00:00:00"/>
        <d v="2017-11-30T00:00:00"/>
        <d v="2014-10-31T00:00:00"/>
        <d v="2014-10-04T00:00:00"/>
        <d v="2015-10-25T00:00:00"/>
        <d v="2014-06-25T00:00:00"/>
        <d v="2015-03-05T00:00:00"/>
        <d v="2014-07-23T00:00:00"/>
        <d v="2015-05-22T00:00:00"/>
        <d v="2015-07-19T00:00:00"/>
        <d v="2017-04-04T00:00:00"/>
        <d v="2014-08-31T00:00:00"/>
        <d v="2014-02-23T00:00:00"/>
        <d v="2014-10-09T00:00:00"/>
        <d v="2014-03-22T00:00:00"/>
        <d v="2016-05-15T00:00:00"/>
        <d v="2017-01-24T00:00:00"/>
        <d v="2014-12-02T00:00:00"/>
        <d v="2014-11-24T00:00:00"/>
        <d v="2014-01-12T00:00:00"/>
        <d v="2017-07-11T00:00:00"/>
        <d v="2015-11-10T00:00:00"/>
        <d v="2017-03-31T00:00:00"/>
        <d v="2015-08-23T00:00:00"/>
        <d v="2017-03-16T00:00:00"/>
        <d v="2016-10-16T00:00:00"/>
        <d v="2014-08-30T00:00:00"/>
        <d v="2015-06-06T00:00:00"/>
        <d v="2014-12-26T00:00:00"/>
        <d v="2017-11-04T00:00:00"/>
        <d v="2017-05-25T00:00:00"/>
        <d v="2016-07-14T00:00:00"/>
        <d v="2014-03-16T00:00:00"/>
        <d v="2017-10-06T00:00:00"/>
        <d v="2014-04-14T00:00:00"/>
        <d v="2017-07-13T00:00:00"/>
        <d v="2017-06-17T00:00:00"/>
        <d v="2014-12-16T00:00:00"/>
        <d v="2016-12-27T00:00:00"/>
        <d v="2017-04-25T00:00:00"/>
        <d v="2014-08-23T00:00:00"/>
        <d v="2016-02-16T00:00:00"/>
        <d v="2015-09-16T00:00:00"/>
        <d v="2014-01-02T00:00:00"/>
        <d v="2014-09-15T00:00:00"/>
        <d v="2016-07-22T00:00:00"/>
        <d v="2016-10-17T00:00:00"/>
        <d v="2014-06-13T00:00:00"/>
        <d v="2017-10-01T00:00:00"/>
        <d v="2016-08-18T00:00:00"/>
        <d v="2017-07-12T00:00:00"/>
        <d v="2016-11-01T00:00:00"/>
        <d v="2014-11-06T00:00:00"/>
        <d v="2017-05-04T00:00:00"/>
        <d v="2015-06-22T00:00:00"/>
        <d v="2017-06-04T00:00:00"/>
        <d v="2017-10-08T00:00:00"/>
        <d v="2016-07-02T00:00:00"/>
        <d v="2014-06-05T00:00:00"/>
        <d v="2016-06-02T00:00:00"/>
        <d v="2014-02-08T00:00:00"/>
        <d v="2016-09-06T00:00:00"/>
        <d v="2015-11-14T00:00:00"/>
        <d v="2017-08-19T00:00:00"/>
        <d v="2016-06-15T00:00:00"/>
        <d v="2016-10-20T00:00:00"/>
        <d v="2016-07-27T00:00:00"/>
        <d v="2015-05-13T00:00:00"/>
        <d v="2017-06-14T00:00:00"/>
        <d v="2014-03-25T00:00:00"/>
        <d v="2017-12-18T00:00:00"/>
        <d v="2015-01-29T00:00:00"/>
        <d v="2014-03-30T00:00:00"/>
        <d v="2016-02-09T00:00:00"/>
        <d v="2016-05-06T00:00:00"/>
        <d v="2014-09-29T00:00:00"/>
        <d v="2017-07-08T00:00:00"/>
        <d v="2016-01-19T00:00:00"/>
        <d v="2017-04-03T00:00:00"/>
        <d v="2016-10-23T00:00:00"/>
        <d v="2014-06-14T00:00:00"/>
        <d v="2016-11-30T00:00:00"/>
        <d v="2014-12-18T00:00:00"/>
        <d v="2017-12-21T00:00:00"/>
        <d v="2014-03-13T00:00:00"/>
        <d v="2015-10-18T00:00:00"/>
        <d v="2015-11-25T00:00:00"/>
        <d v="2016-01-02T00:00:00"/>
        <d v="2017-10-18T00:00:00"/>
        <d v="2016-01-28T00:00:00"/>
        <d v="2016-05-01T00:00:00"/>
        <d v="2016-12-11T00:00:00"/>
        <d v="2017-03-09T00:00:00"/>
        <d v="2014-02-24T00:00:00"/>
        <d v="2016-10-06T00:00:00"/>
        <d v="2017-01-18T00:00:00"/>
        <d v="2014-01-27T00:00:00"/>
        <d v="2015-01-21T00:00:00"/>
        <d v="2016-06-24T00:00:00"/>
        <d v="2016-11-17T00:00:00"/>
        <d v="2017-06-09T00:00:00"/>
        <d v="2016-10-29T00:00:00"/>
        <d v="2016-05-18T00:00:00"/>
        <d v="2017-02-08T00:00:00"/>
        <d v="2014-05-13T00:00:00"/>
        <d v="2017-04-30T00:00:00"/>
        <d v="2016-10-15T00:00:00"/>
        <d v="2016-02-23T00:00:00"/>
        <d v="2015-12-24T00:00:00"/>
        <d v="2014-07-19T00:00:00"/>
        <d v="2017-11-10T00:00:00"/>
        <d v="2016-05-12T00:00:00"/>
        <d v="2017-11-15T00:00:00"/>
        <d v="2017-01-02T00:00:00"/>
        <d v="2014-07-14T00:00:00"/>
        <d v="2016-06-05T00:00:00"/>
        <d v="2016-08-05T00:00:00"/>
        <d v="2016-12-04T00:00:00"/>
        <d v="2015-04-29T00:00:00"/>
        <d v="2015-10-11T00:00:00"/>
        <d v="2017-09-18T00:00:00"/>
        <d v="2016-06-17T00:00:00"/>
        <d v="2014-04-17T00:00:00"/>
        <d v="2015-08-01T00:00:00"/>
        <d v="2015-06-30T00:00:00"/>
        <d v="2017-02-14T00:00:00"/>
        <d v="2014-01-11T00:00:00"/>
        <d v="2015-07-30T00:00:00"/>
        <d v="2017-02-12T00:00:00"/>
        <d v="2016-10-10T00:00:00"/>
        <d v="2017-03-11T00:00:00"/>
        <d v="2014-07-02T00:00:00"/>
        <d v="2017-11-03T00:00:00"/>
        <d v="2014-07-04T00:00:00"/>
        <d v="2015-06-03T00:00:00"/>
        <d v="2014-06-20T00:00:00"/>
        <d v="2015-03-09T00:00:00"/>
        <d v="2017-09-05T00:00:00"/>
        <d v="2014-01-29T00:00:00"/>
        <d v="2017-01-08T00:00:00"/>
        <d v="2016-06-30T00:00:00"/>
        <d v="2017-12-31T00:00:00"/>
        <d v="2016-05-14T00:00:00"/>
        <d v="2015-08-13T00:00:00"/>
        <d v="2015-08-24T00:00:00"/>
        <d v="2014-04-07T00:00:00"/>
        <d v="2017-06-18T00:00:00"/>
        <d v="2017-11-14T00:00:00"/>
        <d v="2015-12-01T00:00:00"/>
        <d v="2016-05-13T00:00:00"/>
        <d v="2016-06-25T00:00:00"/>
        <d v="2017-09-14T00:00:00"/>
        <d v="2015-12-09T00:00:00"/>
        <d v="2015-09-03T00:00:00"/>
        <d v="2017-10-09T00:00:00"/>
        <d v="2014-10-23T00:00:00"/>
        <d v="2016-02-06T00:00:00"/>
        <d v="2017-01-26T00:00:00"/>
        <d v="2016-04-18T00:00:00"/>
        <d v="2014-04-19T00:00:00"/>
        <d v="2016-06-28T00:00:00"/>
        <d v="2016-12-17T00:00:00"/>
        <d v="2015-09-21T00:00:00"/>
        <d v="2015-10-26T00:00:00"/>
        <d v="2014-08-24T00:00:00"/>
        <d v="2014-07-27T00:00:00"/>
        <d v="2015-05-18T00:00:00"/>
        <d v="2015-07-14T00:00:00"/>
        <d v="2014-05-24T00:00:00"/>
        <d v="2017-10-28T00:00:00"/>
        <d v="2015-11-04T00:00:00"/>
        <d v="2017-12-11T00:00:00"/>
        <d v="2017-05-16T00:00:00"/>
        <d v="2015-04-05T00:00:00"/>
        <d v="2015-04-08T00:00:00"/>
        <d v="2017-05-13T00:00:00"/>
        <d v="2014-09-19T00:00:00"/>
        <d v="2014-07-16T00:00:00"/>
        <d v="2014-09-16T00:00:00"/>
        <d v="2014-08-03T00:00:00"/>
        <d v="2015-02-03T00:00:00"/>
        <d v="2015-05-19T00:00:00"/>
        <d v="2015-01-24T00:00:00"/>
        <d v="2015-08-26T00:00:00"/>
        <d v="2017-06-26T00:00:00"/>
        <d v="2015-04-24T00:00:00"/>
        <d v="2017-04-02T00:00:00"/>
        <d v="2016-08-17T00:00:00"/>
        <d v="2014-03-03T00:00:00"/>
        <d v="2016-04-06T00:00:00"/>
        <d v="2014-05-11T00:00:00"/>
        <d v="2014-12-30T00:00:00"/>
        <d v="2017-01-03T00:00:00"/>
        <d v="2014-11-22T00:00:00"/>
        <d v="2015-05-21T00:00:00"/>
        <d v="2015-12-12T00:00:00"/>
        <d v="2017-12-01T00:00:00"/>
        <d v="2015-03-21T00:00:00"/>
        <d v="2014-12-04T00:00:00"/>
        <d v="2015-05-12T00:00:00"/>
        <d v="2016-03-11T00:00:00"/>
        <d v="2015-10-10T00:00:00"/>
        <d v="2015-09-10T00:00:00"/>
        <d v="2014-09-30T00:00:00"/>
        <d v="2016-11-12T00:00:00"/>
        <d v="2017-05-09T00:00:00"/>
        <d v="2015-04-15T00:00:00"/>
        <d v="2016-12-03T00:00:00"/>
        <d v="2015-08-04T00:00:00"/>
        <d v="2016-10-22T00:00:00"/>
        <d v="2014-03-21T00:00:00"/>
        <d v="2016-11-09T00:00:00"/>
        <d v="2017-07-16T00:00:00"/>
        <d v="2017-09-19T00:00:00"/>
        <d v="2014-12-06T00:00:00"/>
        <d v="2017-11-27T00:00:00"/>
        <d v="2016-10-26T00:00:00"/>
        <d v="2016-06-21T00:00:00"/>
        <d v="2016-09-20T00:00:00"/>
        <d v="2014-01-07T00:00:00"/>
        <d v="2016-11-20T00:00:00"/>
        <d v="2017-03-17T00:00:00"/>
        <d v="2016-02-25T00:00:00"/>
        <d v="2015-11-13T00:00:00"/>
        <d v="2015-04-23T00:00:00"/>
        <d v="2014-09-18T00:00:00"/>
        <d v="2014-10-26T00:00:00"/>
        <d v="2014-05-01T00:00:00"/>
        <d v="2017-03-24T00:00:00"/>
        <d v="2014-08-29T00:00:00"/>
        <d v="2014-09-07T00:00:00"/>
        <d v="2015-01-06T00:00:00"/>
        <d v="2017-08-29T00:00:00"/>
        <d v="2015-05-01T00:00:00"/>
        <d v="2017-01-31T00:00:00"/>
        <d v="2017-11-01T00:00:00"/>
        <d v="2016-02-15T00:00:00"/>
        <d v="2015-07-10T00:00:00"/>
        <d v="2015-06-15T00:00:00"/>
        <d v="2016-05-26T00:00:00"/>
        <d v="2017-09-16T00:00:00"/>
        <d v="2015-08-25T00:00:00"/>
        <d v="2015-12-28T00:00:00"/>
        <d v="2015-04-09T00:00:00"/>
        <d v="2016-10-21T00:00:00"/>
        <d v="2015-05-23T00:00:00"/>
        <d v="2016-08-28T00:00:00"/>
        <d v="2014-10-27T00:00:00"/>
        <d v="2014-07-26T00:00:00"/>
        <d v="2017-05-17T00:00:00"/>
        <d v="2014-05-19T00:00:00"/>
        <d v="2017-11-21T00:00:00"/>
        <d v="2015-07-11T00:00:00"/>
        <d v="2015-12-13T00:00:00"/>
        <d v="2015-12-30T00:00:00"/>
        <d v="2015-02-27T00:00:00"/>
        <d v="2016-09-08T00:00:00"/>
        <d v="2014-01-25T00:00:00"/>
        <d v="2014-01-28T00:00:00"/>
        <d v="2016-04-30T00:00:00"/>
        <d v="2017-11-08T00:00:00"/>
        <d v="2014-06-06T00:00:00"/>
        <d v="2014-06-21T00:00:00"/>
        <d v="2017-02-17T00:00:00"/>
        <d v="2016-02-01T00:00:00"/>
        <d v="2015-03-10T00:00:00"/>
        <d v="2016-02-19T00:00:00"/>
        <d v="2014-02-27T00:00:00"/>
        <d v="2015-05-08T00:00:00"/>
        <d v="2015-08-02T00:00:00"/>
        <d v="2014-06-28T00:00:00"/>
        <d v="2016-04-01T00:00:00"/>
        <d v="2016-07-10T00:00:00"/>
        <d v="2016-12-31T00:00:00"/>
        <d v="2016-09-22T00:00:00"/>
        <d v="2014-03-06T00:00:00"/>
        <d v="2017-07-25T00:00:00"/>
        <d v="2014-04-21T00:00:00"/>
        <d v="2017-06-16T00:00:00"/>
        <d v="2016-04-12T00:00:00"/>
        <d v="2016-05-10T00:00:00"/>
        <d v="2014-02-03T00:00:00"/>
        <d v="2016-05-22T00:00:00"/>
        <d v="2017-11-11T00:00:00"/>
        <d v="2017-07-01T00:00:00"/>
        <d v="2016-02-07T00:00:00"/>
        <d v="2016-03-10T00:00:00"/>
        <d v="2015-03-02T00:00:00"/>
        <d v="2017-11-17T00:00:00"/>
        <d v="2016-11-15T00:00:00"/>
        <d v="2015-10-01T00:00:00"/>
        <d v="2016-02-24T00:00:00"/>
        <d v="2016-12-15T00:00:00"/>
        <d v="2017-02-13T00:00:00"/>
        <d v="2014-01-22T00:00:00"/>
        <d v="2017-07-28T00:00:00"/>
        <d v="2014-07-08T00:00:00"/>
        <d v="2016-11-18T00:00:00"/>
        <d v="2015-02-20T00:00:00"/>
        <d v="2014-08-08T00:00:00"/>
        <d v="2014-06-22T00:00:00"/>
        <d v="2017-08-21T00:00:00"/>
        <d v="2017-08-16T00:00:00"/>
        <d v="2016-04-08T00:00:00"/>
        <d v="2014-10-18T00:00:00"/>
        <d v="2017-04-09T00:00:00"/>
        <d v="2017-09-20T00:00:00"/>
        <d v="2016-09-18T00:00:00"/>
        <d v="2015-08-14T00:00:00"/>
        <d v="2014-10-13T00:00:00"/>
        <d v="2016-08-02T00:00:00"/>
        <d v="2014-09-06T00:00:00"/>
        <d v="2016-06-27T00:00:00"/>
        <d v="2017-10-27T00:00:00"/>
        <d v="2016-07-30T00:00:00"/>
        <d v="2017-09-11T00:00:00"/>
        <d v="2014-04-03T00:00:00"/>
        <d v="2016-02-26T00:00:00"/>
        <d v="2014-03-02T00:00:00"/>
        <d v="2016-10-02T00:00:00"/>
        <d v="2017-08-08T00:00:00"/>
        <d v="2015-08-17T00:00:00"/>
        <d v="2017-12-10T00:00:00"/>
        <d v="2014-08-02T00:00:00"/>
        <d v="2016-12-30T00:00:00"/>
        <d v="2017-01-30T00:00:00"/>
        <d v="2014-03-31T00:00:00"/>
        <d v="2015-05-28T00:00:00"/>
        <d v="2015-05-16T00:00:00"/>
        <d v="2015-04-18T00:00:00"/>
        <d v="2014-08-22T00:00:00"/>
        <d v="2016-10-11T00:00:00"/>
        <d v="2017-01-14T00:00:00"/>
        <d v="2016-05-25T00:00:00"/>
        <d v="2015-05-03T00:00:00"/>
        <d v="2014-01-19T00:00:00"/>
        <d v="2014-05-12T00:00:00"/>
        <d v="2015-04-22T00:00:00"/>
        <d v="2015-06-12T00:00:00"/>
        <d v="2014-02-22T00:00:00"/>
        <d v="2014-10-10T00:00:00"/>
        <d v="2015-01-11T00:00:00"/>
        <d v="2015-07-27T00:00:00"/>
        <d v="2014-10-21T00:00:00"/>
        <d v="2016-11-07T00:00:00"/>
        <d v="2016-05-23T00:00:00"/>
        <d v="2014-06-27T00:00:00"/>
        <d v="2015-10-13T00:00:00"/>
        <d v="2016-09-19T00:00:00"/>
        <d v="2017-02-16T00:00:00"/>
        <d v="2014-08-19T00:00:00"/>
        <d v="2015-07-04T00:00:00"/>
        <d v="2017-06-10T00:00:00"/>
        <d v="2014-03-28T00:00:00"/>
        <d v="2017-09-04T00:00:00"/>
        <d v="2016-07-28T00:00:00"/>
        <d v="2016-07-04T00:00:00"/>
        <d v="2015-09-30T00:00:00"/>
        <d v="2017-08-28T00:00:00"/>
        <d v="2014-06-08T00:00:00"/>
        <d v="2016-12-10T00:00:00"/>
        <d v="2014-10-17T00:00:00"/>
        <d v="2014-10-05T00:00:00"/>
        <d v="2014-09-17T00:00:00"/>
        <d v="2017-09-23T00:00:00"/>
        <d v="2015-10-12T00:00:00"/>
        <d v="2015-03-14T00:00:00"/>
        <d v="2016-01-26T00:00:00"/>
        <d v="2014-04-25T00:00:00"/>
        <d v="2014-05-06T00:00:00"/>
        <d v="2014-06-26T00:00:00"/>
        <d v="2017-07-30T00:00:00"/>
        <d v="2014-04-20T00:00:00"/>
        <d v="2015-06-16T00:00:00"/>
        <d v="2016-02-29T00:00:00"/>
        <d v="2016-01-04T00:00:00"/>
        <d v="2016-03-28T00:00:00"/>
        <d v="2016-11-04T00:00:00"/>
        <d v="2017-10-13T00:00:00"/>
        <d v="2015-04-27T00:00:00"/>
        <d v="2015-06-14T00:00:00"/>
        <d v="2016-12-24T00:00:00"/>
        <d v="2016-06-09T00:00:00"/>
        <d v="2014-02-18T00:00:00"/>
        <d v="2016-12-08T00:00:00"/>
        <d v="2015-11-23T00:00:00"/>
        <d v="2017-12-23T00:00:00"/>
        <d v="2014-01-26T00:00:00"/>
        <d v="2016-03-09T00:00:00"/>
        <d v="2014-02-17T00:00:00"/>
        <d v="2016-01-14T00:00:00"/>
        <d v="2014-11-18T00:00:00"/>
        <d v="2016-04-20T00:00:00"/>
        <d v="2015-05-11T00:00:00"/>
        <d v="2016-12-29T00:00:00"/>
        <d v="2016-11-13T00:00:00"/>
        <d v="2016-01-21T00:00:00"/>
        <d v="2014-03-15T00:00:00"/>
        <d v="2017-08-11T00:00:00"/>
        <d v="2017-07-06T00:00:00"/>
        <d v="2017-02-04T00:00:00"/>
        <d v="2014-07-24T00:00:00"/>
        <d v="2017-08-14T00:00:00"/>
        <d v="2016-09-25T00:00:00"/>
        <d v="2015-12-03T00:00:00"/>
        <d v="2015-09-07T00:00:00"/>
        <d v="2015-10-08T00:00:00"/>
        <d v="2014-10-14T00:00:00"/>
        <d v="2015-10-30T00:00:00"/>
        <d v="2017-04-29T00:00:00"/>
        <d v="2014-11-07T00:00:00"/>
        <d v="2015-04-12T00:00:00"/>
        <d v="2016-06-04T00:00:00"/>
        <d v="2017-04-11T00:00:00"/>
        <d v="2017-09-09T00:00:00"/>
        <d v="2014-09-10T00:00:00"/>
        <d v="2014-09-13T00:00:00"/>
        <d v="2014-11-15T00:00:00"/>
        <d v="2016-05-08T00:00:00"/>
        <d v="2015-09-19T00:00:00"/>
        <d v="2016-09-01T00:00:00"/>
        <d v="2016-04-07T00:00:00"/>
        <d v="2017-04-24T00:00:00"/>
        <d v="2014-04-09T00:00:00"/>
        <d v="2015-01-20T00:00:00"/>
        <d v="2015-11-22T00:00:00"/>
        <d v="2016-06-12T00:00:00"/>
        <d v="2016-09-02T00:00:00"/>
        <d v="2014-05-17T00:00:00"/>
        <d v="2015-05-25T00:00:00"/>
        <d v="2015-11-02T00:00:00"/>
        <d v="2016-09-26T00:00:00"/>
        <d v="2016-01-09T00:00:00"/>
        <d v="2017-07-10T00:00:00"/>
        <d v="2016-07-24T00:00:00"/>
        <d v="2015-06-23T00:00:00"/>
        <d v="2015-09-28T00:00:00"/>
        <d v="2016-01-17T00:00:00"/>
        <d v="2016-07-31T00:00:00"/>
        <d v="2015-12-27T00:00:00"/>
        <d v="2017-06-11T00:00:00"/>
        <d v="2017-02-27T00:00:00"/>
        <d v="2014-08-09T00:00:00"/>
        <d v="2017-02-09T00:00:00"/>
        <d v="2015-10-19T00:00:00"/>
        <d v="2015-10-21T00:00:00"/>
        <d v="2017-03-15T00:00:00"/>
        <d v="2017-10-25T00:00:00"/>
        <d v="2016-03-26T00:00:00"/>
        <d v="2016-09-07T00:00:00"/>
        <d v="2015-05-29T00:00:00"/>
        <d v="2015-09-08T00:00:00"/>
        <d v="2014-11-05T00:00:00"/>
        <d v="2016-08-30T00:00:00"/>
        <d v="2016-04-19T00:00:00"/>
        <d v="2014-07-18T00:00:00"/>
        <d v="2016-03-17T00:00:00"/>
        <d v="2017-08-22T00:00:00"/>
        <d v="2014-09-25T00:00:00"/>
        <d v="2015-07-31T00:00:00"/>
        <d v="2015-02-13T00:00:00"/>
        <d v="2015-08-08T00:00:00"/>
        <d v="2014-05-09T00:00:00"/>
        <d v="2015-10-15T00:00:00"/>
        <d v="2016-08-03T00:00:00"/>
        <d v="2016-03-12T00:00:00"/>
        <d v="2017-05-27T00:00:00"/>
        <d v="2017-05-29T00:00:00"/>
        <d v="2017-03-03T00:00:00"/>
        <d v="2016-01-16T00:00:00"/>
        <d v="2014-05-05T00:00:00"/>
        <d v="2014-02-21T00:00:00"/>
        <d v="2017-05-01T00:00:00"/>
        <d v="2014-02-04T00:00:00"/>
        <d v="2014-05-08T00:00:00"/>
        <d v="2016-11-08T00:00:00"/>
        <d v="2017-10-07T00:00:00"/>
        <d v="2015-09-04T00:00:00"/>
        <d v="2016-07-21T00:00:00"/>
        <d v="2017-02-18T00:00:00"/>
        <d v="2016-07-12T00:00:00"/>
        <d v="2014-06-17T00:00:00"/>
        <d v="2017-12-24T00:00:00"/>
        <d v="2017-11-24T00:00:00"/>
        <d v="2016-08-19T00:00:00"/>
        <d v="2016-11-02T00:00:00"/>
        <d v="2015-02-12T00:00:00"/>
        <d v="2015-04-21T00:00:00"/>
        <d v="2015-03-15T00:00:00"/>
        <d v="2017-03-05T00:00:00"/>
        <d v="2015-09-14T00:00:00"/>
        <d v="2015-09-20T00:00:00"/>
        <d v="2015-08-20T00:00:00"/>
        <d v="2016-07-29T00:00:00"/>
        <d v="2017-02-05T00:00:00"/>
        <d v="2017-10-31T00:00:00"/>
        <d v="2014-02-11T00:00:00"/>
        <d v="2014-12-27T00:00:00"/>
        <d v="2015-07-06T00:00:00"/>
        <d v="2015-10-29T00:00:00"/>
        <d v="2015-06-13T00:00:00"/>
        <d v="2014-08-07T00:00:00"/>
        <d v="2016-03-29T00:00:00"/>
        <d v="2016-06-11T00:00:00"/>
        <d v="2016-02-11T00:00:00"/>
        <d v="2014-01-05T00:00:00"/>
        <d v="2015-09-27T00:00:00"/>
        <d v="2014-11-01T00:00:00"/>
        <d v="2014-11-17T00:00:00"/>
        <d v="2014-01-16T00:00:00"/>
        <d v="2016-08-29T00:00:00"/>
        <d v="2014-04-08T00:00:00"/>
        <d v="2015-09-26T00:00:00"/>
        <d v="2016-09-17T00:00:00"/>
        <d v="2014-08-27T00:00:00"/>
        <d v="2017-01-13T00:00:00"/>
        <d v="2014-03-29T00:00:00"/>
        <d v="2016-10-05T00:00:00"/>
        <d v="2015-01-13T00:00:00"/>
        <d v="2015-07-21T00:00:00"/>
        <d v="2016-08-07T00:00:00"/>
        <d v="2017-03-01T00:00:00"/>
        <d v="2016-08-14T00:00:00"/>
        <d v="2015-03-16T00:00:00"/>
        <d v="2014-12-09T00:00:00"/>
        <d v="2015-07-23T00:00:00"/>
        <d v="2014-05-30T00:00:00"/>
        <d v="2015-03-18T00:00:00"/>
        <d v="2017-02-21T00:00:00"/>
        <d v="2014-04-01T00:00:00"/>
        <d v="2014-02-19T00:00:00"/>
        <d v="2016-01-31T00:00:00"/>
        <d v="2017-08-15T00:00:00"/>
        <d v="2016-11-22T00:00:00"/>
        <d v="2015-09-22T00:00:00"/>
        <d v="2014-06-18T00:00:00"/>
        <d v="2015-05-10T00:00:00"/>
        <d v="2017-11-07T00:00:00"/>
        <d v="2016-03-19T00:00:00"/>
        <d v="2016-10-31T00:00:00"/>
        <d v="2016-01-10T00:00:00"/>
        <d v="2016-09-21T00:00:00"/>
        <d v="2015-08-16T00:00:00"/>
        <d v="2017-12-17T00:00:00"/>
        <d v="2017-10-16T00:00:00"/>
        <d v="2017-08-07T00:00:00"/>
        <d v="2017-08-24T00:00:00"/>
        <d v="2017-06-03T00:00:00"/>
        <d v="2015-11-17T00:00:00"/>
        <d v="2016-01-25T00:00:00"/>
        <d v="2016-07-18T00:00:00"/>
        <d v="2016-08-06T00:00:00"/>
        <d v="2016-04-16T00:00:00"/>
        <d v="2016-01-18T00:00:00"/>
        <d v="2017-10-22T00:00:00"/>
        <d v="2014-05-29T00:00:00"/>
        <d v="2015-08-15T00:00:00"/>
        <d v="2016-06-06T00:00:00"/>
        <d v="2017-09-06T00:00:00"/>
        <d v="2014-03-20T00:00:00"/>
        <d v="2015-12-05T00:00:00"/>
        <d v="2016-09-12T00:00:00"/>
        <d v="2016-05-02T00:00:00"/>
        <d v="2017-10-02T00:00:00"/>
        <d v="2017-06-12T00:00:00"/>
        <d v="2017-04-15T00:00:00"/>
        <d v="2016-09-11T00:00:00"/>
        <d v="2017-12-20T00:00:00"/>
        <d v="2016-02-12T00:00:00"/>
        <d v="2015-06-29T00:00:00"/>
        <d v="2016-07-17T00:00:00"/>
        <d v="2017-04-13T00:00:00"/>
        <d v="2017-01-11T00:00:00"/>
        <d v="2014-11-27T00:00:00"/>
        <d v="2017-09-27T00:00:00"/>
        <d v="2015-06-28T00:00:00"/>
        <d v="2017-08-09T00:00:00"/>
        <d v="2016-03-25T00:00:00"/>
        <d v="2014-03-17T00:00:00"/>
        <d v="2015-02-01T00:00:00"/>
        <d v="2017-01-10T00:00:00"/>
        <d v="2016-06-26T00:00:00"/>
        <d v="2017-06-15T00:00:00"/>
        <d v="2017-10-04T00:00:00"/>
        <d v="2014-10-11T00:00:00"/>
        <d v="2014-03-19T00:00:00"/>
        <d v="2014-09-04T00:00:00"/>
        <d v="2017-10-03T00:00:00"/>
        <d v="2016-06-01T00:00:00"/>
        <d v="2017-09-15T00:00:00"/>
        <d v="2017-01-05T00:00:00"/>
        <d v="2016-07-13T00:00:00"/>
        <d v="2014-12-20T00:00:00"/>
        <d v="2016-05-17T00:00:00"/>
        <d v="2015-05-24T00:00:00"/>
        <d v="2017-06-06T00:00:00"/>
        <d v="2016-10-24T00:00:00"/>
        <d v="2017-11-28T00:00:00"/>
        <d v="2015-06-21T00:00:00"/>
        <d v="2014-07-09T00:00:00"/>
        <d v="2014-01-31T00:00:00"/>
        <d v="2016-05-20T00:00:00"/>
        <d v="2015-10-28T00:00:00"/>
        <d v="2015-03-22T00:00:00"/>
        <d v="2017-05-10T00:00:00"/>
        <d v="2016-06-07T00:00:00"/>
        <d v="2015-01-23T00:00:00"/>
        <d v="2016-11-11T00:00:00"/>
        <d v="2014-04-05T00:00:00"/>
        <d v="2017-12-22T00:00:00"/>
        <d v="2017-03-04T00:00:00"/>
        <d v="2016-04-04T00:00:00"/>
        <d v="2014-01-06T00:00:00"/>
        <d v="2015-12-02T00:00:00"/>
        <d v="2016-01-13T00:00:00"/>
        <d v="2014-05-25T00:00:00"/>
        <d v="2015-08-31T00:00:00"/>
        <d v="2014-11-20T00:00:00"/>
        <d v="2017-03-12T00:00:00"/>
        <d v="2017-11-25T00:00:00"/>
        <d v="2015-04-06T00:00:00"/>
        <d v="2014-01-09T00:00:00"/>
        <d v="2015-04-30T00:00:00"/>
        <d v="2015-06-01T00:00:00"/>
        <d v="2017-03-28T00:00:00"/>
        <d v="2017-05-03T00:00:00"/>
        <d v="2014-01-18T00:00:00"/>
        <d v="2017-06-29T00:00:00"/>
        <d v="2017-03-18T00:00:00"/>
        <d v="2017-08-25T00:00:00"/>
        <d v="2015-03-27T00:00:00"/>
        <d v="2017-01-29T00:00:00"/>
        <d v="2015-02-04T00:00:00"/>
        <d v="2017-01-04T00:00:00"/>
        <d v="2015-05-20T00:00:00"/>
        <d v="2017-02-02T00:00:00"/>
        <d v="2015-08-22T00:00:00"/>
        <d v="2014-04-24T00:00:00"/>
        <d v="2015-09-17T00:00:00"/>
        <d v="2016-01-11T00:00:00"/>
        <d v="2014-08-25T00:00:00"/>
        <d v="2014-11-21T00:00:00"/>
        <d v="2016-05-11T00:00:00"/>
        <d v="2017-12-02T00:00:00"/>
        <d v="2015-11-08T00:00:00"/>
        <d v="2017-04-21T00:00:00"/>
        <d v="2016-09-03T00:00:00"/>
        <d v="2015-11-01T00:00:00"/>
        <d v="2016-03-16T00:00:00"/>
        <d v="2017-01-15T00:00:00"/>
        <d v="2016-10-30T00:00:00"/>
        <d v="2014-04-13T00:00:00"/>
        <d v="2015-11-21T00:00:00"/>
        <d v="2015-05-26T00:00:00"/>
        <d v="2017-06-28T00:00:00"/>
        <d v="2015-12-04T00:00:00"/>
        <d v="2014-02-05T00:00:00"/>
        <d v="2017-12-27T00:00:00"/>
        <d v="2014-08-13T00:00:00"/>
        <d v="2016-12-25T00:00:00"/>
        <d v="2014-11-11T00:00:00"/>
        <d v="2015-02-07T00:00:00"/>
        <d v="2016-12-20T00:00:00"/>
        <d v="2017-09-21T00:00:00"/>
        <d v="2016-12-18T00:00:00"/>
        <d v="2015-12-26T00:00:00"/>
        <d v="2014-01-21T00:00:00"/>
        <d v="2016-06-03T00:00:00"/>
        <d v="2014-03-05T00:00:00"/>
        <d v="2015-10-31T00:00:00"/>
        <d v="2015-12-11T00:00:00"/>
        <d v="2017-12-30T00:00:00"/>
        <d v="2015-09-05T00:00:00"/>
        <d v="2017-03-19T00:00:00"/>
        <d v="2014-07-03T00:00:00"/>
        <d v="2015-11-03T00:00:00"/>
      </sharedItems>
      <fieldGroup par="22"/>
    </cacheField>
    <cacheField name="Ship Date" numFmtId="164">
      <sharedItems containsSemiMixedTypes="0" containsNonDate="0" containsDate="1" containsString="0" minDate="2014-01-04T00:00:00" maxDate="2018-01-08T00:00:00" count="1006">
        <d v="2017-08-28T00:00:00"/>
        <d v="2015-03-24T00:00:00"/>
        <d v="2016-03-25T00:00:00"/>
        <d v="2014-04-01T00:00:00"/>
        <d v="2017-12-23T00:00:00"/>
        <d v="2015-07-31T00:00:00"/>
        <d v="2015-12-02T00:00:00"/>
        <d v="2017-02-14T00:00:00"/>
        <d v="2017-04-13T00:00:00"/>
        <d v="2015-02-01T00:00:00"/>
        <d v="2017-05-07T00:00:00"/>
        <d v="2014-04-29T00:00:00"/>
        <d v="2015-06-02T00:00:00"/>
        <d v="2014-06-24T00:00:00"/>
        <d v="2015-09-01T00:00:00"/>
        <d v="2014-06-23T00:00:00"/>
        <d v="2015-08-04T00:00:00"/>
        <d v="2014-11-06T00:00:00"/>
        <d v="2017-12-10T00:00:00"/>
        <d v="2014-07-09T00:00:00"/>
        <d v="2015-01-12T00:00:00"/>
        <d v="2016-04-28T00:00:00"/>
        <d v="2016-11-24T00:00:00"/>
        <d v="2014-04-16T00:00:00"/>
        <d v="2016-04-16T00:00:00"/>
        <d v="2017-12-21T00:00:00"/>
        <d v="2014-10-08T00:00:00"/>
        <d v="2017-09-19T00:00:00"/>
        <d v="2017-12-02T00:00:00"/>
        <d v="2014-11-15T00:00:00"/>
        <d v="2014-11-13T00:00:00"/>
        <d v="2017-07-09T00:00:00"/>
        <d v="2015-09-08T00:00:00"/>
        <d v="2015-01-06T00:00:00"/>
        <d v="2015-06-07T00:00:00"/>
        <d v="2016-02-27T00:00:00"/>
        <d v="2016-03-22T00:00:00"/>
        <d v="2015-03-27T00:00:00"/>
        <d v="2017-04-04T00:00:00"/>
        <d v="2016-12-24T00:00:00"/>
        <d v="2017-02-20T00:00:00"/>
        <d v="2016-02-22T00:00:00"/>
        <d v="2014-05-10T00:00:00"/>
        <d v="2015-04-29T00:00:00"/>
        <d v="2016-04-15T00:00:00"/>
        <d v="2016-01-09T00:00:00"/>
        <d v="2014-05-25T00:00:00"/>
        <d v="2014-09-27T00:00:00"/>
        <d v="2014-04-22T00:00:00"/>
        <d v="2017-06-20T00:00:00"/>
        <d v="2014-06-04T00:00:00"/>
        <d v="2016-05-01T00:00:00"/>
        <d v="2014-05-20T00:00:00"/>
        <d v="2017-02-26T00:00:00"/>
        <d v="2015-12-23T00:00:00"/>
        <d v="2015-07-29T00:00:00"/>
        <d v="2015-12-20T00:00:00"/>
        <d v="2016-05-09T00:00:00"/>
        <d v="2017-10-16T00:00:00"/>
        <d v="2016-06-02T00:00:00"/>
        <d v="2015-03-02T00:00:00"/>
        <d v="2016-12-26T00:00:00"/>
        <d v="2015-10-09T00:00:00"/>
        <d v="2017-11-14T00:00:00"/>
        <d v="2015-03-31T00:00:00"/>
        <d v="2014-10-30T00:00:00"/>
        <d v="2016-08-09T00:00:00"/>
        <d v="2017-05-01T00:00:00"/>
        <d v="2016-03-05T00:00:00"/>
        <d v="2014-08-03T00:00:00"/>
        <d v="2016-02-08T00:00:00"/>
        <d v="2016-03-04T00:00:00"/>
        <d v="2014-09-25T00:00:00"/>
        <d v="2015-01-05T00:00:00"/>
        <d v="2016-11-07T00:00:00"/>
        <d v="2016-04-24T00:00:00"/>
        <d v="2015-02-06T00:00:00"/>
        <d v="2017-05-27T00:00:00"/>
        <d v="2014-10-29T00:00:00"/>
        <d v="2015-04-30T00:00:00"/>
        <d v="2015-08-12T00:00:00"/>
        <d v="2017-02-03T00:00:00"/>
        <d v="2014-08-16T00:00:00"/>
        <d v="2015-01-26T00:00:00"/>
        <d v="2015-06-04T00:00:00"/>
        <d v="2014-10-01T00:00:00"/>
        <d v="2014-05-14T00:00:00"/>
        <d v="2016-08-27T00:00:00"/>
        <d v="2016-04-03T00:00:00"/>
        <d v="2017-11-13T00:00:00"/>
        <d v="2016-11-21T00:00:00"/>
        <d v="2017-05-28T00:00:00"/>
        <d v="2017-08-29T00:00:00"/>
        <d v="2017-06-14T00:00:00"/>
        <d v="2014-11-26T00:00:00"/>
        <d v="2016-08-15T00:00:00"/>
        <d v="2017-03-25T00:00:00"/>
        <d v="2017-08-05T00:00:00"/>
        <d v="2015-12-10T00:00:00"/>
        <d v="2014-11-12T00:00:00"/>
        <d v="2015-06-29T00:00:00"/>
        <d v="2016-04-18T00:00:00"/>
        <d v="2015-10-19T00:00:00"/>
        <d v="2014-10-18T00:00:00"/>
        <d v="2015-10-04T00:00:00"/>
        <d v="2014-04-11T00:00:00"/>
        <d v="2016-04-11T00:00:00"/>
        <d v="2017-07-05T00:00:00"/>
        <d v="2016-04-04T00:00:00"/>
        <d v="2016-03-15T00:00:00"/>
        <d v="2017-04-14T00:00:00"/>
        <d v="2017-06-23T00:00:00"/>
        <d v="2015-03-06T00:00:00"/>
        <d v="2017-10-30T00:00:00"/>
        <d v="2017-12-20T00:00:00"/>
        <d v="2015-08-21T00:00:00"/>
        <d v="2017-03-01T00:00:00"/>
        <d v="2016-04-26T00:00:00"/>
        <d v="2016-09-04T00:00:00"/>
        <d v="2016-12-10T00:00:00"/>
        <d v="2015-01-19T00:00:00"/>
        <d v="2015-01-21T00:00:00"/>
        <d v="2017-04-11T00:00:00"/>
        <d v="2015-10-01T00:00:00"/>
        <d v="2016-02-09T00:00:00"/>
        <d v="2014-06-16T00:00:00"/>
        <d v="2016-10-05T00:00:00"/>
        <d v="2015-09-24T00:00:00"/>
        <d v="2014-05-07T00:00:00"/>
        <d v="2016-02-19T00:00:00"/>
        <d v="2014-01-08T00:00:00"/>
        <d v="2014-08-20T00:00:00"/>
        <d v="2015-05-21T00:00:00"/>
        <d v="2015-10-20T00:00:00"/>
        <d v="2014-12-30T00:00:00"/>
        <d v="2016-02-17T00:00:00"/>
        <d v="2016-03-09T00:00:00"/>
        <d v="2017-05-20T00:00:00"/>
        <d v="2015-01-29T00:00:00"/>
        <d v="2015-09-26T00:00:00"/>
        <d v="2016-02-05T00:00:00"/>
        <d v="2015-12-24T00:00:00"/>
        <d v="2015-04-23T00:00:00"/>
        <d v="2014-07-17T00:00:00"/>
        <d v="2015-05-20T00:00:00"/>
        <d v="2014-01-21T00:00:00"/>
        <d v="2017-03-08T00:00:00"/>
        <d v="2014-02-05T00:00:00"/>
        <d v="2017-01-17T00:00:00"/>
        <d v="2015-12-05T00:00:00"/>
        <d v="2016-02-20T00:00:00"/>
        <d v="2016-03-12T00:00:00"/>
        <d v="2016-07-13T00:00:00"/>
        <d v="2017-02-23T00:00:00"/>
        <d v="2015-07-20T00:00:00"/>
        <d v="2016-06-06T00:00:00"/>
        <d v="2016-02-14T00:00:00"/>
        <d v="2015-03-10T00:00:00"/>
        <d v="2016-05-22T00:00:00"/>
        <d v="2017-12-13T00:00:00"/>
        <d v="2016-11-28T00:00:00"/>
        <d v="2014-08-27T00:00:00"/>
        <d v="2014-05-19T00:00:00"/>
        <d v="2015-11-15T00:00:00"/>
        <d v="2016-07-09T00:00:00"/>
        <d v="2015-01-20T00:00:00"/>
        <d v="2016-07-28T00:00:00"/>
        <d v="2016-02-11T00:00:00"/>
        <d v="2014-12-23T00:00:00"/>
        <d v="2016-04-17T00:00:00"/>
        <d v="2015-07-09T00:00:00"/>
        <d v="2015-09-03T00:00:00"/>
        <d v="2015-12-22T00:00:00"/>
        <d v="2014-12-11T00:00:00"/>
        <d v="2015-05-31T00:00:00"/>
        <d v="2017-07-21T00:00:00"/>
        <d v="2014-07-16T00:00:00"/>
        <d v="2017-02-01T00:00:00"/>
        <d v="2016-06-23T00:00:00"/>
        <d v="2014-07-12T00:00:00"/>
        <d v="2017-11-27T00:00:00"/>
        <d v="2014-10-21T00:00:00"/>
        <d v="2014-07-27T00:00:00"/>
        <d v="2017-02-08T00:00:00"/>
        <d v="2015-05-06T00:00:00"/>
        <d v="2017-11-02T00:00:00"/>
        <d v="2016-11-05T00:00:00"/>
        <d v="2015-02-24T00:00:00"/>
        <d v="2014-01-28T00:00:00"/>
        <d v="2015-11-23T00:00:00"/>
        <d v="2016-01-24T00:00:00"/>
        <d v="2014-11-09T00:00:00"/>
        <d v="2014-09-03T00:00:00"/>
        <d v="2017-02-07T00:00:00"/>
        <d v="2015-02-05T00:00:00"/>
        <d v="2015-02-28T00:00:00"/>
        <d v="2014-06-29T00:00:00"/>
        <d v="2015-06-20T00:00:00"/>
        <d v="2014-12-03T00:00:00"/>
        <d v="2014-09-08T00:00:00"/>
        <d v="2016-03-24T00:00:00"/>
        <d v="2014-07-29T00:00:00"/>
        <d v="2017-04-09T00:00:00"/>
        <d v="2014-09-14T00:00:00"/>
        <d v="2015-07-21T00:00:00"/>
        <d v="2016-10-29T00:00:00"/>
        <d v="2016-01-05T00:00:00"/>
        <d v="2017-03-30T00:00:00"/>
        <d v="2017-02-28T00:00:00"/>
        <d v="2014-02-12T00:00:00"/>
        <d v="2017-04-19T00:00:00"/>
        <d v="2014-10-12T00:00:00"/>
        <d v="2015-10-15T00:00:00"/>
        <d v="2014-07-02T00:00:00"/>
        <d v="2016-05-16T00:00:00"/>
        <d v="2015-04-08T00:00:00"/>
        <d v="2017-06-01T00:00:00"/>
        <d v="2014-04-18T00:00:00"/>
        <d v="2017-05-14T00:00:00"/>
        <d v="2016-08-23T00:00:00"/>
        <d v="2015-04-12T00:00:00"/>
        <d v="2014-06-13T00:00:00"/>
        <d v="2015-02-23T00:00:00"/>
        <d v="2017-04-20T00:00:00"/>
        <d v="2015-12-08T00:00:00"/>
        <d v="2017-10-28T00:00:00"/>
        <d v="2017-11-30T00:00:00"/>
        <d v="2016-04-19T00:00:00"/>
        <d v="2014-03-08T00:00:00"/>
        <d v="2015-07-23T00:00:00"/>
        <d v="2017-04-16T00:00:00"/>
        <d v="2015-04-01T00:00:00"/>
        <d v="2014-12-27T00:00:00"/>
        <d v="2016-12-06T00:00:00"/>
        <d v="2015-11-22T00:00:00"/>
        <d v="2014-03-17T00:00:00"/>
        <d v="2017-09-12T00:00:00"/>
        <d v="2017-07-29T00:00:00"/>
        <d v="2015-02-15T00:00:00"/>
        <d v="2014-09-26T00:00:00"/>
        <d v="2016-01-08T00:00:00"/>
        <d v="2014-12-13T00:00:00"/>
        <d v="2017-09-04T00:00:00"/>
        <d v="2017-11-07T00:00:00"/>
        <d v="2017-06-21T00:00:00"/>
        <d v="2014-11-25T00:00:00"/>
        <d v="2015-06-26T00:00:00"/>
        <d v="2014-08-31T00:00:00"/>
        <d v="2014-08-21T00:00:00"/>
        <d v="2017-06-11T00:00:00"/>
        <d v="2015-10-07T00:00:00"/>
        <d v="2015-12-17T00:00:00"/>
        <d v="2015-05-12T00:00:00"/>
        <d v="2016-07-12T00:00:00"/>
        <d v="2017-05-22T00:00:00"/>
        <d v="2017-09-11T00:00:00"/>
        <d v="2014-04-05T00:00:00"/>
        <d v="2016-07-27T00:00:00"/>
        <d v="2014-09-23T00:00:00"/>
        <d v="2016-07-20T00:00:00"/>
        <d v="2017-12-25T00:00:00"/>
        <d v="2015-02-16T00:00:00"/>
        <d v="2016-07-19T00:00:00"/>
        <d v="2016-03-11T00:00:00"/>
        <d v="2017-04-22T00:00:00"/>
        <d v="2016-06-03T00:00:00"/>
        <d v="2015-10-24T00:00:00"/>
        <d v="2015-01-15T00:00:00"/>
        <d v="2016-11-20T00:00:00"/>
        <d v="2016-12-28T00:00:00"/>
        <d v="2016-06-10T00:00:00"/>
        <d v="2017-03-23T00:00:00"/>
        <d v="2017-08-10T00:00:00"/>
        <d v="2017-07-22T00:00:00"/>
        <d v="2016-03-20T00:00:00"/>
        <d v="2015-02-10T00:00:00"/>
        <d v="2017-09-17T00:00:00"/>
        <d v="2017-08-12T00:00:00"/>
        <d v="2016-09-24T00:00:00"/>
        <d v="2014-06-06T00:00:00"/>
        <d v="2016-08-25T00:00:00"/>
        <d v="2015-05-08T00:00:00"/>
        <d v="2016-01-27T00:00:00"/>
        <d v="2016-11-23T00:00:00"/>
        <d v="2015-04-18T00:00:00"/>
        <d v="2014-08-24T00:00:00"/>
        <d v="2017-05-02T00:00:00"/>
        <d v="2017-08-01T00:00:00"/>
        <d v="2015-01-11T00:00:00"/>
        <d v="2015-02-20T00:00:00"/>
        <d v="2017-01-12T00:00:00"/>
        <d v="2015-12-25T00:00:00"/>
        <d v="2014-01-16T00:00:00"/>
        <d v="2015-06-23T00:00:00"/>
        <d v="2016-01-31T00:00:00"/>
        <d v="2014-11-28T00:00:00"/>
        <d v="2014-07-11T00:00:00"/>
        <d v="2017-05-13T00:00:00"/>
        <d v="2015-12-26T00:00:00"/>
        <d v="2017-04-08T00:00:00"/>
        <d v="2014-02-27T00:00:00"/>
        <d v="2016-11-25T00:00:00"/>
        <d v="2015-10-08T00:00:00"/>
        <d v="2015-03-01T00:00:00"/>
        <d v="2014-01-15T00:00:00"/>
        <d v="2017-06-08T00:00:00"/>
        <d v="2015-02-11T00:00:00"/>
        <d v="2017-03-09T00:00:00"/>
        <d v="2017-01-11T00:00:00"/>
        <d v="2017-08-07T00:00:00"/>
        <d v="2015-07-04T00:00:00"/>
        <d v="2017-12-07T00:00:00"/>
        <d v="2016-12-12T00:00:00"/>
        <d v="2014-09-30T00:00:00"/>
        <d v="2015-09-25T00:00:00"/>
        <d v="2017-11-11T00:00:00"/>
        <d v="2016-06-20T00:00:00"/>
        <d v="2017-11-22T00:00:00"/>
        <d v="2017-06-19T00:00:00"/>
        <d v="2014-01-24T00:00:00"/>
        <d v="2015-01-14T00:00:00"/>
        <d v="2016-08-03T00:00:00"/>
        <d v="2016-12-04T00:00:00"/>
        <d v="2016-06-11T00:00:00"/>
        <d v="2016-09-05T00:00:00"/>
        <d v="2017-08-18T00:00:00"/>
        <d v="2014-02-17T00:00:00"/>
        <d v="2014-05-12T00:00:00"/>
        <d v="2016-12-14T00:00:00"/>
        <d v="2016-03-07T00:00:00"/>
        <d v="2016-10-06T00:00:00"/>
        <d v="2016-12-22T00:00:00"/>
        <d v="2016-05-28T00:00:00"/>
        <d v="2017-07-27T00:00:00"/>
        <d v="2014-03-15T00:00:00"/>
        <d v="2017-03-14T00:00:00"/>
        <d v="2017-03-26T00:00:00"/>
        <d v="2015-04-15T00:00:00"/>
        <d v="2017-12-01T00:00:00"/>
        <d v="2014-10-07T00:00:00"/>
        <d v="2015-10-30T00:00:00"/>
        <d v="2014-12-16T00:00:00"/>
        <d v="2014-06-26T00:00:00"/>
        <d v="2014-07-30T00:00:00"/>
        <d v="2015-05-24T00:00:00"/>
        <d v="2015-07-19T00:00:00"/>
        <d v="2017-09-13T00:00:00"/>
        <d v="2014-02-25T00:00:00"/>
        <d v="2014-10-09T00:00:00"/>
        <d v="2015-02-26T00:00:00"/>
        <d v="2015-10-03T00:00:00"/>
        <d v="2014-03-26T00:00:00"/>
        <d v="2017-01-27T00:00:00"/>
        <d v="2014-12-08T00:00:00"/>
        <d v="2014-11-24T00:00:00"/>
        <d v="2014-01-12T00:00:00"/>
        <d v="2017-07-11T00:00:00"/>
        <d v="2015-11-14T00:00:00"/>
        <d v="2017-03-31T00:00:00"/>
        <d v="2015-08-26T00:00:00"/>
        <d v="2017-03-21T00:00:00"/>
        <d v="2016-10-16T00:00:00"/>
        <d v="2014-09-02T00:00:00"/>
        <d v="2015-06-08T00:00:00"/>
        <d v="2014-12-29T00:00:00"/>
        <d v="2017-11-10T00:00:00"/>
        <d v="2017-05-31T00:00:00"/>
        <d v="2016-07-15T00:00:00"/>
        <d v="2014-03-18T00:00:00"/>
        <d v="2017-10-06T00:00:00"/>
        <d v="2014-04-20T00:00:00"/>
        <d v="2017-07-17T00:00:00"/>
        <d v="2017-03-15T00:00:00"/>
        <d v="2017-06-18T00:00:00"/>
        <d v="2014-12-17T00:00:00"/>
        <d v="2017-01-03T00:00:00"/>
        <d v="2017-04-26T00:00:00"/>
        <d v="2014-08-23T00:00:00"/>
        <d v="2016-02-18T00:00:00"/>
        <d v="2014-11-04T00:00:00"/>
        <d v="2015-09-17T00:00:00"/>
        <d v="2014-01-05T00:00:00"/>
        <d v="2014-09-16T00:00:00"/>
        <d v="2016-07-25T00:00:00"/>
        <d v="2016-10-22T00:00:00"/>
        <d v="2014-06-14T00:00:00"/>
        <d v="2017-10-03T00:00:00"/>
        <d v="2016-08-22T00:00:00"/>
        <d v="2017-07-14T00:00:00"/>
        <d v="2016-11-02T00:00:00"/>
        <d v="2017-05-05T00:00:00"/>
        <d v="2014-04-25T00:00:00"/>
        <d v="2015-06-27T00:00:00"/>
        <d v="2017-10-08T00:00:00"/>
        <d v="2016-07-03T00:00:00"/>
        <d v="2014-06-07T00:00:00"/>
        <d v="2014-05-05T00:00:00"/>
        <d v="2014-02-13T00:00:00"/>
        <d v="2016-09-13T00:00:00"/>
        <d v="2017-08-25T00:00:00"/>
        <d v="2016-06-21T00:00:00"/>
        <d v="2016-10-21T00:00:00"/>
        <d v="2015-05-15T00:00:00"/>
        <d v="2017-06-16T00:00:00"/>
        <d v="2014-04-09T00:00:00"/>
        <d v="2014-03-25T00:00:00"/>
        <d v="2017-12-22T00:00:00"/>
        <d v="2017-06-06T00:00:00"/>
        <d v="2014-03-31T00:00:00"/>
        <d v="2017-04-29T00:00:00"/>
        <d v="2016-02-16T00:00:00"/>
        <d v="2016-05-10T00:00:00"/>
        <d v="2016-12-23T00:00:00"/>
        <d v="2017-04-15T00:00:00"/>
        <d v="2017-07-12T00:00:00"/>
        <d v="2017-04-03T00:00:00"/>
        <d v="2016-10-24T00:00:00"/>
        <d v="2017-07-08T00:00:00"/>
        <d v="2014-12-25T00:00:00"/>
        <d v="2014-03-14T00:00:00"/>
        <d v="2015-10-22T00:00:00"/>
        <d v="2015-11-25T00:00:00"/>
        <d v="2016-01-04T00:00:00"/>
        <d v="2017-10-19T00:00:00"/>
        <d v="2016-01-28T00:00:00"/>
        <d v="2016-05-03T00:00:00"/>
        <d v="2016-12-15T00:00:00"/>
        <d v="2017-03-13T00:00:00"/>
        <d v="2014-03-03T00:00:00"/>
        <d v="2016-10-08T00:00:00"/>
        <d v="2016-02-06T00:00:00"/>
        <d v="2017-01-20T00:00:00"/>
        <d v="2014-01-27T00:00:00"/>
        <d v="2015-01-22T00:00:00"/>
        <d v="2016-06-26T00:00:00"/>
        <d v="2016-11-17T00:00:00"/>
        <d v="2017-06-12T00:00:00"/>
        <d v="2016-05-20T00:00:00"/>
        <d v="2017-02-19T00:00:00"/>
        <d v="2017-02-09T00:00:00"/>
        <d v="2017-10-09T00:00:00"/>
        <d v="2014-05-15T00:00:00"/>
        <d v="2017-05-03T00:00:00"/>
        <d v="2016-02-26T00:00:00"/>
        <d v="2014-07-20T00:00:00"/>
        <d v="2017-11-17T00:00:00"/>
        <d v="2016-05-17T00:00:00"/>
        <d v="2017-11-21T00:00:00"/>
        <d v="2017-01-04T00:00:00"/>
        <d v="2014-07-15T00:00:00"/>
        <d v="2016-06-09T00:00:00"/>
        <d v="2016-08-06T00:00:00"/>
        <d v="2015-08-14T00:00:00"/>
        <d v="2016-08-12T00:00:00"/>
        <d v="2017-09-10T00:00:00"/>
        <d v="2016-04-13T00:00:00"/>
        <d v="2015-05-03T00:00:00"/>
        <d v="2015-10-16T00:00:00"/>
        <d v="2017-09-20T00:00:00"/>
        <d v="2016-03-06T00:00:00"/>
        <d v="2016-06-18T00:00:00"/>
        <d v="2016-05-19T00:00:00"/>
        <d v="2014-04-21T00:00:00"/>
        <d v="2015-05-27T00:00:00"/>
        <d v="2015-08-01T00:00:00"/>
        <d v="2017-06-07T00:00:00"/>
        <d v="2014-11-05T00:00:00"/>
        <d v="2015-06-30T00:00:00"/>
        <d v="2015-01-08T00:00:00"/>
        <d v="2014-06-28T00:00:00"/>
        <d v="2014-01-11T00:00:00"/>
        <d v="2016-10-07T00:00:00"/>
        <d v="2015-08-05T00:00:00"/>
        <d v="2017-02-16T00:00:00"/>
        <d v="2016-10-12T00:00:00"/>
        <d v="2015-01-07T00:00:00"/>
        <d v="2017-11-09T00:00:00"/>
        <d v="2017-07-15T00:00:00"/>
        <d v="2016-12-13T00:00:00"/>
        <d v="2014-06-22T00:00:00"/>
        <d v="2015-03-09T00:00:00"/>
        <d v="2017-09-08T00:00:00"/>
        <d v="2014-01-31T00:00:00"/>
        <d v="2017-01-09T00:00:00"/>
        <d v="2016-07-06T00:00:00"/>
        <d v="2018-01-07T00:00:00"/>
        <d v="2015-08-18T00:00:00"/>
        <d v="2014-09-22T00:00:00"/>
        <d v="2014-04-07T00:00:00"/>
        <d v="2015-12-03T00:00:00"/>
        <d v="2016-05-13T00:00:00"/>
        <d v="2016-06-27T00:00:00"/>
        <d v="2017-09-16T00:00:00"/>
        <d v="2015-12-11T00:00:00"/>
        <d v="2016-05-15T00:00:00"/>
        <d v="2015-09-07T00:00:00"/>
        <d v="2017-10-12T00:00:00"/>
        <d v="2016-11-29T00:00:00"/>
        <d v="2014-10-26T00:00:00"/>
        <d v="2016-02-10T00:00:00"/>
        <d v="2017-02-02T00:00:00"/>
        <d v="2014-10-04T00:00:00"/>
        <d v="2014-04-19T00:00:00"/>
        <d v="2016-06-28T00:00:00"/>
        <d v="2016-12-19T00:00:00"/>
        <d v="2015-09-23T00:00:00"/>
        <d v="2015-10-29T00:00:00"/>
        <d v="2014-07-28T00:00:00"/>
        <d v="2015-05-19T00:00:00"/>
        <d v="2015-07-18T00:00:00"/>
        <d v="2014-05-24T00:00:00"/>
        <d v="2015-11-04T00:00:00"/>
        <d v="2017-05-19T00:00:00"/>
        <d v="2015-07-30T00:00:00"/>
        <d v="2017-08-08T00:00:00"/>
        <d v="2015-04-10T00:00:00"/>
        <d v="2015-04-09T00:00:00"/>
        <d v="2014-07-22T00:00:00"/>
        <d v="2014-02-24T00:00:00"/>
        <d v="2015-12-06T00:00:00"/>
        <d v="2014-08-06T00:00:00"/>
        <d v="2015-11-10T00:00:00"/>
        <d v="2015-02-07T00:00:00"/>
        <d v="2015-12-01T00:00:00"/>
        <d v="2015-01-27T00:00:00"/>
        <d v="2015-08-27T00:00:00"/>
        <d v="2014-05-18T00:00:00"/>
        <d v="2016-10-11T00:00:00"/>
        <d v="2017-06-27T00:00:00"/>
        <d v="2015-04-25T00:00:00"/>
        <d v="2015-07-22T00:00:00"/>
        <d v="2017-04-05T00:00:00"/>
        <d v="2016-08-20T00:00:00"/>
        <d v="2016-04-06T00:00:00"/>
        <d v="2014-05-13T00:00:00"/>
        <d v="2015-05-22T00:00:00"/>
        <d v="2015-12-18T00:00:00"/>
        <d v="2017-12-05T00:00:00"/>
        <d v="2015-03-25T00:00:00"/>
        <d v="2014-12-07T00:00:00"/>
        <d v="2016-03-26T00:00:00"/>
        <d v="2015-05-14T00:00:00"/>
        <d v="2016-03-16T00:00:00"/>
        <d v="2015-02-18T00:00:00"/>
        <d v="2014-05-11T00:00:00"/>
        <d v="2015-10-12T00:00:00"/>
        <d v="2015-09-16T00:00:00"/>
        <d v="2016-11-12T00:00:00"/>
        <d v="2017-06-26T00:00:00"/>
        <d v="2017-05-15T00:00:00"/>
        <d v="2015-04-17T00:00:00"/>
        <d v="2016-05-18T00:00:00"/>
        <d v="2014-06-19T00:00:00"/>
        <d v="2016-10-26T00:00:00"/>
        <d v="2014-03-21T00:00:00"/>
        <d v="2016-11-11T00:00:00"/>
        <d v="2017-07-16T00:00:00"/>
        <d v="2014-12-06T00:00:00"/>
        <d v="2014-10-20T00:00:00"/>
        <d v="2017-11-29T00:00:00"/>
        <d v="2016-10-28T00:00:00"/>
        <d v="2016-06-22T00:00:00"/>
        <d v="2016-09-20T00:00:00"/>
        <d v="2017-06-10T00:00:00"/>
        <d v="2017-03-17T00:00:00"/>
        <d v="2016-02-29T00:00:00"/>
        <d v="2015-11-19T00:00:00"/>
        <d v="2015-04-26T00:00:00"/>
        <d v="2014-09-21T00:00:00"/>
        <d v="2014-09-17T00:00:00"/>
        <d v="2014-05-01T00:00:00"/>
        <d v="2015-08-03T00:00:00"/>
        <d v="2014-08-29T00:00:00"/>
        <d v="2017-11-16T00:00:00"/>
        <d v="2015-01-16T00:00:00"/>
        <d v="2017-09-03T00:00:00"/>
        <d v="2015-08-28T00:00:00"/>
        <d v="2015-05-05T00:00:00"/>
        <d v="2017-02-04T00:00:00"/>
        <d v="2017-05-26T00:00:00"/>
        <d v="2015-07-12T00:00:00"/>
        <d v="2015-06-19T00:00:00"/>
        <d v="2017-12-19T00:00:00"/>
        <d v="2016-05-26T00:00:00"/>
        <d v="2017-11-08T00:00:00"/>
        <d v="2015-12-28T00:00:00"/>
        <d v="2015-04-13T00:00:00"/>
        <d v="2014-12-01T00:00:00"/>
        <d v="2015-11-17T00:00:00"/>
        <d v="2014-09-18T00:00:00"/>
        <d v="2016-10-25T00:00:00"/>
        <d v="2015-05-23T00:00:00"/>
        <d v="2016-08-30T00:00:00"/>
        <d v="2014-10-31T00:00:00"/>
        <d v="2015-11-24T00:00:00"/>
        <d v="2016-05-11T00:00:00"/>
        <d v="2015-11-16T00:00:00"/>
        <d v="2017-05-17T00:00:00"/>
        <d v="2017-01-02T00:00:00"/>
        <d v="2017-11-24T00:00:00"/>
        <d v="2015-07-13T00:00:00"/>
        <d v="2015-06-15T00:00:00"/>
        <d v="2015-12-14T00:00:00"/>
        <d v="2016-01-02T00:00:00"/>
        <d v="2016-09-15T00:00:00"/>
        <d v="2014-01-26T00:00:00"/>
        <d v="2014-02-04T00:00:00"/>
        <d v="2016-05-05T00:00:00"/>
        <d v="2017-05-24T00:00:00"/>
        <d v="2014-06-21T00:00:00"/>
        <d v="2017-02-17T00:00:00"/>
        <d v="2016-05-14T00:00:00"/>
        <d v="2017-03-16T00:00:00"/>
        <d v="2015-08-11T00:00:00"/>
        <d v="2015-03-11T00:00:00"/>
        <d v="2015-05-13T00:00:00"/>
        <d v="2015-08-02T00:00:00"/>
        <d v="2014-07-26T00:00:00"/>
        <d v="2014-06-11T00:00:00"/>
        <d v="2017-08-30T00:00:00"/>
        <d v="2014-07-03T00:00:00"/>
        <d v="2016-07-14T00:00:00"/>
        <d v="2017-01-05T00:00:00"/>
        <d v="2016-09-29T00:00:00"/>
        <d v="2014-03-09T00:00:00"/>
        <d v="2014-04-27T00:00:00"/>
        <d v="2014-02-06T00:00:00"/>
        <d v="2016-05-24T00:00:00"/>
        <d v="2017-07-01T00:00:00"/>
        <d v="2014-08-25T00:00:00"/>
        <d v="2016-02-07T00:00:00"/>
        <d v="2014-02-28T00:00:00"/>
        <d v="2014-08-02T00:00:00"/>
        <d v="2015-03-03T00:00:00"/>
        <d v="2017-07-26T00:00:00"/>
        <d v="2015-02-02T00:00:00"/>
        <d v="2017-11-19T00:00:00"/>
        <d v="2015-10-05T00:00:00"/>
        <d v="2016-02-24T00:00:00"/>
        <d v="2015-10-11T00:00:00"/>
        <d v="2016-12-18T00:00:00"/>
        <d v="2014-04-14T00:00:00"/>
        <d v="2017-04-01T00:00:00"/>
        <d v="2014-03-24T00:00:00"/>
        <d v="2017-07-30T00:00:00"/>
        <d v="2014-05-09T00:00:00"/>
        <d v="2016-11-18T00:00:00"/>
        <d v="2014-08-15T00:00:00"/>
        <d v="2017-08-17T00:00:00"/>
        <d v="2017-09-24T00:00:00"/>
        <d v="2016-09-25T00:00:00"/>
        <d v="2015-12-27T00:00:00"/>
        <d v="2014-10-25T00:00:00"/>
        <d v="2016-05-21T00:00:00"/>
        <d v="2014-07-19T00:00:00"/>
        <d v="2016-08-04T00:00:00"/>
        <d v="2014-04-26T00:00:00"/>
        <d v="2016-09-23T00:00:00"/>
        <d v="2015-02-19T00:00:00"/>
        <d v="2016-08-08T00:00:00"/>
        <d v="2016-08-01T00:00:00"/>
        <d v="2014-04-06T00:00:00"/>
        <d v="2014-03-02T00:00:00"/>
        <d v="2014-07-18T00:00:00"/>
        <d v="2015-08-20T00:00:00"/>
        <d v="2014-05-03T00:00:00"/>
        <d v="2014-10-14T00:00:00"/>
        <d v="2014-08-05T00:00:00"/>
        <d v="2017-01-30T00:00:00"/>
        <d v="2015-04-11T00:00:00"/>
        <d v="2014-04-03T00:00:00"/>
        <d v="2015-05-30T00:00:00"/>
        <d v="2015-05-18T00:00:00"/>
        <d v="2016-10-17T00:00:00"/>
        <d v="2017-01-14T00:00:00"/>
        <d v="2016-05-29T00:00:00"/>
        <d v="2014-01-20T00:00:00"/>
        <d v="2014-08-26T00:00:00"/>
        <d v="2015-11-18T00:00:00"/>
        <d v="2014-02-26T00:00:00"/>
        <d v="2016-02-15T00:00:00"/>
        <d v="2015-04-24T00:00:00"/>
        <d v="2014-06-08T00:00:00"/>
        <d v="2014-09-29T00:00:00"/>
        <d v="2016-06-19T00:00:00"/>
        <d v="2016-05-23T00:00:00"/>
        <d v="2016-09-19T00:00:00"/>
        <d v="2015-01-09T00:00:00"/>
        <d v="2015-12-16T00:00:00"/>
        <d v="2015-07-06T00:00:00"/>
        <d v="2016-07-31T00:00:00"/>
        <d v="2016-07-04T00:00:00"/>
        <d v="2017-04-30T00:00:00"/>
        <d v="2014-06-15T00:00:00"/>
        <d v="2016-12-16T00:00:00"/>
        <d v="2014-10-24T00:00:00"/>
        <d v="2016-04-08T00:00:00"/>
        <d v="2017-06-13T00:00:00"/>
        <d v="2017-09-29T00:00:00"/>
        <d v="2017-11-05T00:00:00"/>
        <d v="2015-03-17T00:00:00"/>
        <d v="2016-02-02T00:00:00"/>
        <d v="2015-06-03T00:00:00"/>
        <d v="2017-08-19T00:00:00"/>
        <d v="2015-11-13T00:00:00"/>
        <d v="2017-07-31T00:00:00"/>
        <d v="2014-04-23T00:00:00"/>
        <d v="2015-03-30T00:00:00"/>
        <d v="2017-09-15T00:00:00"/>
        <d v="2016-01-11T00:00:00"/>
        <d v="2016-11-06T00:00:00"/>
        <d v="2016-02-12T00:00:00"/>
        <d v="2017-10-17T00:00:00"/>
        <d v="2015-03-13T00:00:00"/>
        <d v="2016-04-14T00:00:00"/>
        <d v="2015-06-16T00:00:00"/>
        <d v="2016-12-27T00:00:00"/>
        <d v="2016-06-14T00:00:00"/>
        <d v="2014-02-18T00:00:00"/>
        <d v="2016-12-08T00:00:00"/>
        <d v="2014-02-10T00:00:00"/>
        <d v="2017-12-28T00:00:00"/>
        <d v="2016-03-14T00:00:00"/>
        <d v="2016-01-29T00:00:00"/>
        <d v="2016-01-17T00:00:00"/>
        <d v="2014-11-19T00:00:00"/>
        <d v="2016-08-24T00:00:00"/>
        <d v="2015-01-01T00:00:00"/>
        <d v="2015-05-11T00:00:00"/>
        <d v="2014-01-17T00:00:00"/>
        <d v="2016-12-31T00:00:00"/>
        <d v="2016-01-22T00:00:00"/>
        <d v="2017-12-30T00:00:00"/>
        <d v="2014-03-19T00:00:00"/>
        <d v="2014-09-04T00:00:00"/>
        <d v="2014-07-24T00:00:00"/>
        <d v="2016-10-01T00:00:00"/>
        <d v="2016-09-01T00:00:00"/>
        <d v="2014-10-19T00:00:00"/>
        <d v="2015-11-01T00:00:00"/>
        <d v="2016-03-28T00:00:00"/>
        <d v="2017-11-06T00:00:00"/>
        <d v="2016-06-07T00:00:00"/>
        <d v="2017-09-09T00:00:00"/>
        <d v="2014-09-20T00:00:00"/>
        <d v="2016-05-07T00:00:00"/>
        <d v="2016-03-30T00:00:00"/>
        <d v="2014-06-25T00:00:00"/>
        <d v="2014-11-17T00:00:00"/>
        <d v="2015-09-19T00:00:00"/>
        <d v="2016-09-08T00:00:00"/>
        <d v="2016-04-09T00:00:00"/>
        <d v="2017-04-24T00:00:00"/>
        <d v="2016-05-27T00:00:00"/>
        <d v="2016-06-13T00:00:00"/>
        <d v="2014-11-08T00:00:00"/>
        <d v="2016-09-06T00:00:00"/>
        <d v="2015-11-06T00:00:00"/>
        <d v="2014-12-15T00:00:00"/>
        <d v="2016-09-27T00:00:00"/>
        <d v="2016-01-12T00:00:00"/>
        <d v="2016-07-24T00:00:00"/>
        <d v="2015-06-24T00:00:00"/>
        <d v="2015-04-19T00:00:00"/>
        <d v="2015-09-29T00:00:00"/>
        <d v="2015-10-28T00:00:00"/>
        <d v="2017-03-11T00:00:00"/>
        <d v="2016-01-20T00:00:00"/>
        <d v="2016-11-09T00:00:00"/>
        <d v="2015-12-29T00:00:00"/>
        <d v="2015-04-27T00:00:00"/>
        <d v="2016-06-01T00:00:00"/>
        <d v="2015-06-12T00:00:00"/>
        <d v="2017-03-02T00:00:00"/>
        <d v="2014-08-11T00:00:00"/>
        <d v="2017-02-15T00:00:00"/>
        <d v="2017-09-18T00:00:00"/>
        <d v="2015-10-25T00:00:00"/>
        <d v="2015-10-21T00:00:00"/>
        <d v="2017-03-19T00:00:00"/>
        <d v="2017-10-31T00:00:00"/>
        <d v="2016-03-29T00:00:00"/>
        <d v="2016-09-07T00:00:00"/>
        <d v="2014-10-27T00:00:00"/>
        <d v="2016-07-11T00:00:00"/>
        <d v="2014-10-23T00:00:00"/>
        <d v="2016-08-05T00:00:00"/>
        <d v="2016-07-18T00:00:00"/>
        <d v="2015-09-12T00:00:00"/>
        <d v="2017-11-23T00:00:00"/>
        <d v="2014-02-15T00:00:00"/>
        <d v="2016-03-18T00:00:00"/>
        <d v="2014-02-02T00:00:00"/>
        <d v="2015-02-13T00:00:00"/>
        <d v="2015-10-23T00:00:00"/>
        <d v="2015-01-25T00:00:00"/>
        <d v="2014-05-16T00:00:00"/>
        <d v="2015-10-17T00:00:00"/>
        <d v="2015-10-13T00:00:00"/>
        <d v="2017-06-02T00:00:00"/>
        <d v="2014-02-23T00:00:00"/>
        <d v="2017-05-08T00:00:00"/>
        <d v="2015-10-26T00:00:00"/>
        <d v="2017-01-31T00:00:00"/>
        <d v="2016-11-13T00:00:00"/>
        <d v="2015-09-05T00:00:00"/>
        <d v="2017-05-18T00:00:00"/>
        <d v="2017-11-25T00:00:00"/>
        <d v="2015-09-11T00:00:00"/>
        <d v="2016-08-21T00:00:00"/>
        <d v="2016-11-04T00:00:00"/>
        <d v="2015-02-12T00:00:00"/>
        <d v="2017-04-10T00:00:00"/>
        <d v="2015-04-21T00:00:00"/>
        <d v="2015-03-15T00:00:00"/>
        <d v="2017-03-06T00:00:00"/>
        <d v="2016-11-10T00:00:00"/>
        <d v="2017-03-03T00:00:00"/>
        <d v="2016-07-29T00:00:00"/>
        <d v="2014-03-28T00:00:00"/>
        <d v="2017-02-06T00:00:00"/>
        <d v="2014-07-13T00:00:00"/>
        <d v="2016-07-02T00:00:00"/>
        <d v="2016-12-11T00:00:00"/>
        <d v="2017-11-04T00:00:00"/>
        <d v="2014-02-14T00:00:00"/>
        <d v="2015-07-26T00:00:00"/>
        <d v="2015-07-07T00:00:00"/>
        <d v="2015-10-31T00:00:00"/>
        <d v="2014-03-30T00:00:00"/>
        <d v="2015-03-04T00:00:00"/>
        <d v="2016-05-08T00:00:00"/>
        <d v="2016-01-01T00:00:00"/>
        <d v="2015-12-12T00:00:00"/>
        <d v="2017-03-07T00:00:00"/>
        <d v="2014-11-07T00:00:00"/>
        <d v="2014-08-07T00:00:00"/>
        <d v="2016-03-23T00:00:00"/>
        <d v="2014-01-07T00:00:00"/>
        <d v="2015-09-27T00:00:00"/>
        <d v="2017-12-06T00:00:00"/>
        <d v="2016-01-06T00:00:00"/>
        <d v="2014-11-01T00:00:00"/>
        <d v="2014-01-18T00:00:00"/>
        <d v="2016-09-02T00:00:00"/>
        <d v="2014-04-10T00:00:00"/>
        <d v="2015-06-13T00:00:00"/>
        <d v="2015-09-30T00:00:00"/>
        <d v="2016-09-22T00:00:00"/>
        <d v="2014-08-22T00:00:00"/>
        <d v="2017-01-19T00:00:00"/>
        <d v="2014-07-10T00:00:00"/>
        <d v="2015-01-13T00:00:00"/>
        <d v="2016-08-10T00:00:00"/>
        <d v="2015-08-09T00:00:00"/>
        <d v="2017-11-12T00:00:00"/>
        <d v="2016-03-02T00:00:00"/>
        <d v="2016-11-26T00:00:00"/>
        <d v="2016-08-14T00:00:00"/>
        <d v="2015-03-20T00:00:00"/>
        <d v="2014-07-14T00:00:00"/>
        <d v="2014-12-09T00:00:00"/>
        <d v="2016-08-31T00:00:00"/>
        <d v="2015-03-21T00:00:00"/>
        <d v="2017-02-24T00:00:00"/>
        <d v="2014-02-20T00:00:00"/>
        <d v="2016-08-16T00:00:00"/>
        <d v="2016-04-12T00:00:00"/>
        <d v="2015-06-17T00:00:00"/>
        <d v="2015-09-28T00:00:00"/>
        <d v="2015-05-10T00:00:00"/>
        <d v="2014-03-04T00:00:00"/>
        <d v="2017-12-12T00:00:00"/>
        <d v="2015-04-22T00:00:00"/>
        <d v="2015-03-19T00:00:00"/>
        <d v="2015-08-31T00:00:00"/>
        <d v="2016-09-21T00:00:00"/>
        <d v="2017-02-11T00:00:00"/>
        <d v="2015-08-16T00:00:00"/>
        <d v="2014-02-16T00:00:00"/>
        <d v="2017-06-05T00:00:00"/>
        <d v="2015-01-28T00:00:00"/>
        <d v="2016-11-08T00:00:00"/>
        <d v="2014-10-15T00:00:00"/>
        <d v="2017-01-08T00:00:00"/>
        <d v="2016-04-20T00:00:00"/>
        <d v="2017-11-01T00:00:00"/>
        <d v="2016-01-23T00:00:00"/>
        <d v="2017-10-24T00:00:00"/>
        <d v="2014-06-02T00:00:00"/>
        <d v="2015-08-15T00:00:00"/>
        <d v="2017-07-06T00:00:00"/>
        <d v="2015-01-02T00:00:00"/>
        <d v="2015-02-08T00:00:00"/>
        <d v="2016-09-12T00:00:00"/>
        <d v="2016-05-06T00:00:00"/>
        <d v="2016-07-10T00:00:00"/>
        <d v="2015-07-03T00:00:00"/>
        <d v="2016-08-19T00:00:00"/>
        <d v="2017-04-18T00:00:00"/>
        <d v="2017-01-18T00:00:00"/>
        <d v="2015-07-05T00:00:00"/>
        <d v="2017-12-14T00:00:00"/>
        <d v="2015-05-01T00:00:00"/>
        <d v="2017-08-13T00:00:00"/>
        <d v="2014-04-30T00:00:00"/>
        <d v="2016-04-01T00:00:00"/>
        <d v="2016-12-02T00:00:00"/>
        <d v="2016-06-30T00:00:00"/>
        <d v="2015-12-07T00:00:00"/>
        <d v="2017-10-04T00:00:00"/>
        <d v="2016-01-10T00:00:00"/>
        <d v="2017-10-07T00:00:00"/>
        <d v="2017-09-22T00:00:00"/>
        <d v="2017-01-06T00:00:00"/>
        <d v="2014-12-21T00:00:00"/>
        <d v="2015-09-10T00:00:00"/>
        <d v="2015-05-25T00:00:00"/>
        <d v="2014-11-27T00:00:00"/>
        <d v="2015-09-09T00:00:00"/>
        <d v="2016-04-27T00:00:00"/>
        <d v="2015-06-22T00:00:00"/>
        <d v="2017-03-18T00:00:00"/>
        <d v="2017-09-07T00:00:00"/>
        <d v="2017-05-10T00:00:00"/>
        <d v="2017-08-31T00:00:00"/>
        <d v="2017-08-14T00:00:00"/>
        <d v="2017-07-24T00:00:00"/>
        <d v="2017-10-05T00:00:00"/>
        <d v="2017-05-12T00:00:00"/>
        <d v="2016-11-16T00:00:00"/>
        <d v="2017-12-26T00:00:00"/>
        <d v="2017-06-17T00:00:00"/>
        <d v="2017-12-08T00:00:00"/>
        <d v="2016-01-26T00:00:00"/>
        <d v="2014-07-06T00:00:00"/>
        <d v="2016-04-05T00:00:00"/>
        <d v="2016-01-21T00:00:00"/>
        <d v="2014-01-06T00:00:00"/>
        <d v="2017-06-09T00:00:00"/>
        <d v="2016-01-14T00:00:00"/>
        <d v="2014-05-28T00:00:00"/>
        <d v="2016-06-12T00:00:00"/>
        <d v="2015-07-27T00:00:00"/>
        <d v="2016-07-05T00:00:00"/>
        <d v="2014-11-20T00:00:00"/>
        <d v="2016-01-07T00:00:00"/>
        <d v="2015-04-06T00:00:00"/>
        <d v="2014-05-30T00:00:00"/>
        <d v="2016-04-30T00:00:00"/>
        <d v="2015-08-06T00:00:00"/>
        <d v="2014-01-14T00:00:00"/>
        <d v="2014-01-04T00:00:00"/>
        <d v="2015-06-05T00:00:00"/>
        <d v="2017-03-28T00:00:00"/>
        <d v="2017-05-04T00:00:00"/>
        <d v="2017-08-27T00:00:00"/>
        <d v="2014-09-05T00:00:00"/>
        <d v="2016-03-21T00:00:00"/>
        <d v="2017-09-06T00:00:00"/>
        <d v="2017-07-02T00:00:00"/>
        <d v="2016-10-30T00:00:00"/>
        <d v="2014-10-11T00:00:00"/>
        <d v="2015-12-21T00:00:00"/>
        <d v="2016-02-23T00:00:00"/>
        <d v="2014-09-28T00:00:00"/>
        <d v="2014-04-24T00:00:00"/>
        <d v="2017-09-27T00:00:00"/>
        <d v="2014-08-30T00:00:00"/>
        <d v="2014-11-22T00:00:00"/>
        <d v="2017-06-15T00:00:00"/>
        <d v="2015-11-09T00:00:00"/>
        <d v="2016-09-03T00:00:00"/>
        <d v="2015-11-03T00:00:00"/>
        <d v="2014-09-19T00:00:00"/>
        <d v="2017-01-15T00:00:00"/>
        <d v="2016-10-31T00:00:00"/>
        <d v="2014-04-17T00:00:00"/>
        <d v="2015-11-21T00:00:00"/>
        <d v="2015-05-28T00:00:00"/>
        <d v="2014-02-08T00:00:00"/>
        <d v="2016-10-09T00:00:00"/>
        <d v="2014-02-07T00:00:00"/>
        <d v="2014-11-21T00:00:00"/>
        <d v="2014-04-02T00:00:00"/>
        <d v="2018-01-02T00:00:00"/>
        <d v="2014-08-13T00:00:00"/>
        <d v="2014-10-17T00:00:00"/>
        <d v="2016-12-25T00:00:00"/>
        <d v="2014-02-11T00:00:00"/>
        <d v="2017-01-16T00:00:00"/>
        <d v="2017-09-23T00:00:00"/>
        <d v="2016-01-30T00:00:00"/>
        <d v="2016-04-22T00:00:00"/>
        <d v="2017-06-24T00:00:00"/>
        <d v="2016-12-30T00:00:00"/>
        <d v="2015-11-07T00:00:00"/>
        <d v="2015-12-15T00:00:00"/>
        <d v="2016-05-12T00:00:00"/>
        <d v="2017-02-18T00:00:00"/>
        <d v="2014-06-30T00:00:00"/>
        <d v="2017-05-06T00:00:00"/>
        <d v="2016-12-07T00:00:00"/>
        <d v="2014-08-09T00:00:00"/>
        <d v="2016-10-03T00:00:00"/>
        <d v="2015-11-05T00:00:00"/>
      </sharedItems>
      <fieldGroup par="25"/>
    </cacheField>
    <cacheField name="Ship Mode" numFmtId="0">
      <sharedItems count="4">
        <s v="Second Class"/>
        <s v="First Class"/>
        <s v="Standard Class"/>
        <s v="Same Day"/>
      </sharedItems>
    </cacheField>
    <cacheField name="Customer ID" numFmtId="0">
      <sharedItems/>
    </cacheField>
    <cacheField name="Customer Name" numFmtId="0">
      <sharedItems/>
    </cacheField>
    <cacheField name="Segment" numFmtId="0">
      <sharedItems count="3">
        <s v="Home Office"/>
        <s v="Corporate"/>
        <s v="Consumer"/>
      </sharedItems>
    </cacheField>
    <cacheField name="Country" numFmtId="0">
      <sharedItems/>
    </cacheField>
    <cacheField name="City" numFmtId="0">
      <sharedItems count="131">
        <s v="Charleston"/>
        <s v="Columbus"/>
        <s v="Dover"/>
        <s v="Fayetteville"/>
        <s v="Franklin"/>
        <s v="Las Vegas"/>
        <s v="Columbia"/>
        <s v="Portland"/>
        <s v="Gulfport"/>
        <s v="Savannah"/>
        <s v="Los Angeles"/>
        <s v="Tacoma"/>
        <s v="Sioux Falls"/>
        <s v="Des Moines"/>
        <s v="Norfolk"/>
        <s v="Montpelier"/>
        <s v="Dallas"/>
        <s v="Lincoln"/>
        <s v="Salt Lake City"/>
        <s v="Albuquerque"/>
        <s v="Durham"/>
        <s v="Omaha"/>
        <s v="Meridian"/>
        <s v="Reno"/>
        <s v="Tucson"/>
        <s v="Shreveport"/>
        <s v="Topeka"/>
        <s v="Grand Rapids"/>
        <s v="Knoxville"/>
        <s v="Rapid City"/>
        <s v="Philadelphia"/>
        <s v="Missoula"/>
        <s v="Ann Arbor"/>
        <s v="Mesa"/>
        <s v="Jersey City"/>
        <s v="Boston"/>
        <s v="Cheyenne"/>
        <s v="Cedar Rapids"/>
        <s v="Saint Paul"/>
        <s v="Green Bay"/>
        <s v="Virginia Beach"/>
        <s v="Pittsburgh"/>
        <s v="San Francisco"/>
        <s v="Salem"/>
        <s v="Orem"/>
        <s v="Lexington"/>
        <s v="Billings"/>
        <s v="Overland Park"/>
        <s v="Oklahoma City"/>
        <s v="Washington"/>
        <s v="Raleigh"/>
        <s v="Hartford"/>
        <s v="Miami"/>
        <s v="Boise"/>
        <s v="Toledo"/>
        <s v="Spokane"/>
        <s v="Eugene"/>
        <s v="Huntington"/>
        <s v="Minneapolis"/>
        <s v="Baltimore"/>
        <s v="Providence"/>
        <s v="Augusta"/>
        <s v="Wichita"/>
        <s v="Annapolis"/>
        <s v="Trenton"/>
        <s v="Fort Wayne"/>
        <s v="Phoenix"/>
        <s v="Baton Rouge"/>
        <s v="Milwaukee"/>
        <s v="Evansville"/>
        <s v="Tampa"/>
        <s v="Nashville"/>
        <s v="Greenville"/>
        <s v="Cambridge"/>
        <s v="Stamford"/>
        <s v="Rockville"/>
        <s v="Louisville"/>
        <s v="Birmingham"/>
        <s v="New Haven"/>
        <s v="Burlington"/>
        <s v="Cleveland"/>
        <s v="Colorado Springs"/>
        <s v="Provo"/>
        <s v="Allentown"/>
        <s v="Newark"/>
        <s v="Manchester"/>
        <s v="Denver"/>
        <s v="Houston"/>
        <s v="Casper"/>
        <s v="San Diego"/>
        <s v="Saint Louis"/>
        <s v="Springfield"/>
        <s v="Naperville"/>
        <s v="Bangor"/>
        <s v="Worcester"/>
        <s v="Madison"/>
        <s v="Richmond"/>
        <s v="Rochester"/>
        <s v="Chicago"/>
        <s v="Santa Fe"/>
        <s v="Kansas City"/>
        <s v="Oakland"/>
        <s v="Tulsa"/>
        <s v="Aurora"/>
        <s v="Detroit"/>
        <s v="Atlanta"/>
        <s v="Henderson"/>
        <s v="Warwick"/>
        <s v="Austin"/>
        <s v="Fort Worth"/>
        <s v="Albany"/>
        <s v="Jackson"/>
        <s v="Cincinnati"/>
        <s v="Buffalo"/>
        <s v="Mobile"/>
        <s v="Seattle"/>
        <s v="Jacksonville"/>
        <s v="Nashua"/>
        <s v="Orlando"/>
        <s v="Indianapolis"/>
        <s v="Montgomery"/>
        <s v="Little Rock"/>
        <s v="Boulder"/>
        <s v="New Orleans"/>
        <s v="Memphis"/>
        <s v="Sacramento"/>
        <s v="New York City"/>
        <s v="Peoria"/>
        <s v="Charlotte"/>
        <s v="Wilmington"/>
        <s v="San Antonio"/>
      </sharedItems>
    </cacheField>
    <cacheField name="State" numFmtId="0">
      <sharedItems count="48">
        <s v="West Virginia"/>
        <s v="Ohio"/>
        <s v="Delaware"/>
        <s v="Arkansas"/>
        <s v="Tennessee"/>
        <s v="Nevada"/>
        <s v="South Carolina"/>
        <s v="Oregon"/>
        <s v="Mississippi"/>
        <s v="Maine"/>
        <s v="Georgia"/>
        <s v="California"/>
        <s v="Washington"/>
        <s v="South Dakota"/>
        <s v="Iowa"/>
        <s v="Virginia"/>
        <s v="Vermont"/>
        <s v="Texas"/>
        <s v="Nebraska"/>
        <s v="Utah"/>
        <s v="New Mexico"/>
        <s v="North Carolina"/>
        <s v="Idaho"/>
        <s v="Arizona"/>
        <s v="Louisiana"/>
        <s v="Kansas"/>
        <s v="Michigan"/>
        <s v="Pennsylvania"/>
        <s v="Montana"/>
        <s v="New Jersey"/>
        <s v="Massachusetts"/>
        <s v="Wyoming"/>
        <s v="Minnesota"/>
        <s v="Wisconsin"/>
        <s v="Kentucky"/>
        <s v="Oklahoma"/>
        <s v="District of Columbia"/>
        <s v="Connecticut"/>
        <s v="Florida"/>
        <s v="Maryland"/>
        <s v="Rhode Island"/>
        <s v="Indiana"/>
        <s v="Alabama"/>
        <s v="Colorado"/>
        <s v="New Hampshire"/>
        <s v="Missouri"/>
        <s v="Illinois"/>
        <s v="New York"/>
      </sharedItems>
    </cacheField>
    <cacheField name="Region" numFmtId="0">
      <sharedItems count="4">
        <s v="East"/>
        <s v="South"/>
        <s v="West"/>
        <s v="Central"/>
      </sharedItems>
    </cacheField>
    <cacheField name="Product ID" numFmtId="0">
      <sharedItems/>
    </cacheField>
    <cacheField name="Category" numFmtId="0">
      <sharedItems count="1">
        <s v="Furniture"/>
      </sharedItems>
    </cacheField>
    <cacheField name="Sub-Category" numFmtId="0">
      <sharedItems count="4">
        <s v="Furnishings"/>
        <s v="Chairs"/>
        <s v="Bookcases"/>
        <s v="Tables"/>
      </sharedItems>
    </cacheField>
    <cacheField name="Product Name" numFmtId="0">
      <sharedItems/>
    </cacheField>
    <cacheField name="Sales" numFmtId="0">
      <sharedItems containsSemiMixedTypes="0" containsString="0" containsNumber="1" minValue="2" maxValue="4400"/>
    </cacheField>
    <cacheField name="Quantity" numFmtId="0">
      <sharedItems containsSemiMixedTypes="0" containsString="0" containsNumber="1" containsInteger="1" minValue="1" maxValue="13"/>
    </cacheField>
    <cacheField name="Profit" numFmtId="0">
      <sharedItems containsSemiMixedTypes="0" containsString="0" containsNumber="1" minValue="-3067.4994000000002" maxValue="2490.598"/>
    </cacheField>
    <cacheField name="Duration" numFmtId="0">
      <sharedItems count="8">
        <s v="1- days"/>
        <s v="2- days"/>
        <s v="6- days"/>
        <s v="4- days"/>
        <s v="5- days"/>
        <s v="3- days"/>
        <s v="7- days"/>
        <s v="0- days"/>
      </sharedItems>
    </cacheField>
    <cacheField name="Month" numFmtId="0">
      <sharedItems count="12">
        <s v="Aug"/>
        <s v="Mar"/>
        <s v="Dec"/>
        <s v="Jul"/>
        <s v="Nov"/>
        <s v="Feb"/>
        <s v="Apr"/>
        <s v="Jan"/>
        <s v="May"/>
        <s v="Jun"/>
        <s v="Sep"/>
        <s v="Oct"/>
      </sharedItems>
    </cacheField>
    <cacheField name="Months (Order Date)" numFmtId="0" databaseField="0">
      <fieldGroup base="1">
        <rangePr groupBy="months" startDate="2014-01-02T00:00:00" endDate="2018-01-01T00:00:00"/>
        <groupItems count="14">
          <s v="&lt;02/01/2014"/>
          <s v="Jan"/>
          <s v="Feb"/>
          <s v="Mar"/>
          <s v="Apr"/>
          <s v="May"/>
          <s v="Jun"/>
          <s v="Jul"/>
          <s v="Aug"/>
          <s v="Sep"/>
          <s v="Oct"/>
          <s v="Nov"/>
          <s v="Dec"/>
          <s v="&gt;01/01/2018"/>
        </groupItems>
      </fieldGroup>
    </cacheField>
    <cacheField name="Quarters (Order Date)" numFmtId="0" databaseField="0">
      <fieldGroup base="1">
        <rangePr groupBy="quarters" startDate="2014-01-02T00:00:00" endDate="2018-01-01T00:00:00"/>
        <groupItems count="6">
          <s v="&lt;02/01/2014"/>
          <s v="Qtr1"/>
          <s v="Qtr2"/>
          <s v="Qtr3"/>
          <s v="Qtr4"/>
          <s v="&gt;01/01/2018"/>
        </groupItems>
      </fieldGroup>
    </cacheField>
    <cacheField name="Years (Order Date)" numFmtId="0" databaseField="0">
      <fieldGroup base="1">
        <rangePr groupBy="years" startDate="2014-01-02T00:00:00" endDate="2018-01-01T00:00:00"/>
        <groupItems count="7">
          <s v="&lt;02/01/2014"/>
          <s v="2014"/>
          <s v="2015"/>
          <s v="2016"/>
          <s v="2017"/>
          <s v="2018"/>
          <s v="&gt;01/01/2018"/>
        </groupItems>
      </fieldGroup>
    </cacheField>
    <cacheField name="Months (Ship Date)" numFmtId="0" databaseField="0">
      <fieldGroup base="2">
        <rangePr groupBy="months" startDate="2014-01-04T00:00:00" endDate="2018-01-08T00:00:00"/>
        <groupItems count="14">
          <s v="&lt;04/01/2014"/>
          <s v="Jan"/>
          <s v="Feb"/>
          <s v="Mar"/>
          <s v="Apr"/>
          <s v="May"/>
          <s v="Jun"/>
          <s v="Jul"/>
          <s v="Aug"/>
          <s v="Sep"/>
          <s v="Oct"/>
          <s v="Nov"/>
          <s v="Dec"/>
          <s v="&gt;08/01/2018"/>
        </groupItems>
      </fieldGroup>
    </cacheField>
    <cacheField name="Quarters (Ship Date)" numFmtId="0" databaseField="0">
      <fieldGroup base="2">
        <rangePr groupBy="quarters" startDate="2014-01-04T00:00:00" endDate="2018-01-08T00:00:00"/>
        <groupItems count="6">
          <s v="&lt;04/01/2014"/>
          <s v="Qtr1"/>
          <s v="Qtr2"/>
          <s v="Qtr3"/>
          <s v="Qtr4"/>
          <s v="&gt;08/01/2018"/>
        </groupItems>
      </fieldGroup>
    </cacheField>
    <cacheField name="Years (Ship Date)" numFmtId="0" databaseField="0">
      <fieldGroup base="2">
        <rangePr groupBy="years" startDate="2014-01-04T00:00:00" endDate="2018-01-08T00:00:00"/>
        <groupItems count="7">
          <s v="&lt;04/01/2014"/>
          <s v="2014"/>
          <s v="2015"/>
          <s v="2016"/>
          <s v="2017"/>
          <s v="2018"/>
          <s v="&gt;08/01/2018"/>
        </groupItems>
      </fieldGroup>
    </cacheField>
  </cacheFields>
  <extLst>
    <ext xmlns:x14="http://schemas.microsoft.com/office/spreadsheetml/2009/9/main" uri="{725AE2AE-9491-48be-B2B4-4EB974FC3084}">
      <x14:pivotCacheDefinition pivotCacheId="5250987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1">
  <r>
    <x v="0"/>
    <x v="0"/>
    <x v="0"/>
    <x v="0"/>
    <s v="JF-14557"/>
    <s v="James Ferrell"/>
    <x v="0"/>
    <s v="United States"/>
    <x v="0"/>
    <x v="0"/>
    <x v="0"/>
    <s v="FUR-FU-105733"/>
    <x v="0"/>
    <x v="0"/>
    <s v="Sable Halogen Replacement Bulb, 2-Pack"/>
    <n v="90.167199999999994"/>
    <n v="3"/>
    <n v="-17.2728"/>
    <x v="0"/>
    <x v="0"/>
  </r>
  <r>
    <x v="1"/>
    <x v="1"/>
    <x v="1"/>
    <x v="0"/>
    <s v="TR-17749"/>
    <s v="Timothy Romero"/>
    <x v="1"/>
    <s v="United States"/>
    <x v="1"/>
    <x v="1"/>
    <x v="0"/>
    <s v="FUR-CH-105507"/>
    <x v="0"/>
    <x v="1"/>
    <s v="Kingsley Mesh-Back Task Chair"/>
    <n v="485.79820000000001"/>
    <n v="4"/>
    <n v="171.89439999999999"/>
    <x v="0"/>
    <x v="1"/>
  </r>
  <r>
    <x v="1"/>
    <x v="1"/>
    <x v="1"/>
    <x v="0"/>
    <s v="TR-17749"/>
    <s v="Timothy Romero"/>
    <x v="1"/>
    <s v="United States"/>
    <x v="1"/>
    <x v="1"/>
    <x v="0"/>
    <s v="FUR-FU-105733"/>
    <x v="0"/>
    <x v="0"/>
    <s v="Sable Halogen Replacement Bulb, 2-Pack"/>
    <n v="31.037400000000002"/>
    <n v="4"/>
    <n v="-0.91290000000000004"/>
    <x v="0"/>
    <x v="1"/>
  </r>
  <r>
    <x v="1"/>
    <x v="1"/>
    <x v="1"/>
    <x v="0"/>
    <s v="TR-17749"/>
    <s v="Timothy Romero"/>
    <x v="1"/>
    <s v="United States"/>
    <x v="1"/>
    <x v="1"/>
    <x v="0"/>
    <s v="FUR-FU-100317"/>
    <x v="0"/>
    <x v="0"/>
    <s v="Nomad Floor Lamp, Telescoping Adjustable"/>
    <n v="18.791399999999999"/>
    <n v="1"/>
    <n v="8.0259999999999998"/>
    <x v="0"/>
    <x v="1"/>
  </r>
  <r>
    <x v="2"/>
    <x v="2"/>
    <x v="2"/>
    <x v="1"/>
    <s v="MY-12664"/>
    <s v="Megan Young"/>
    <x v="1"/>
    <s v="United States"/>
    <x v="2"/>
    <x v="2"/>
    <x v="0"/>
    <s v="FUR-FU-105733"/>
    <x v="0"/>
    <x v="0"/>
    <s v="Sable Halogen Replacement Bulb, 2-Pack"/>
    <n v="17.0379"/>
    <n v="4"/>
    <n v="-1.1757"/>
    <x v="1"/>
    <x v="1"/>
  </r>
  <r>
    <x v="3"/>
    <x v="3"/>
    <x v="3"/>
    <x v="2"/>
    <s v="CG-15967"/>
    <s v="Cindy Gomez"/>
    <x v="2"/>
    <s v="United States"/>
    <x v="3"/>
    <x v="3"/>
    <x v="1"/>
    <s v="FUR-BO-107999"/>
    <x v="0"/>
    <x v="2"/>
    <s v="Braxton Barrister Bookcase, Mahogany"/>
    <n v="38.425199999999997"/>
    <n v="2"/>
    <n v="6.1969000000000003"/>
    <x v="2"/>
    <x v="1"/>
  </r>
  <r>
    <x v="3"/>
    <x v="3"/>
    <x v="3"/>
    <x v="2"/>
    <s v="CG-15967"/>
    <s v="Cindy Gomez"/>
    <x v="2"/>
    <s v="United States"/>
    <x v="3"/>
    <x v="3"/>
    <x v="1"/>
    <s v="FUR-FU-108837"/>
    <x v="0"/>
    <x v="0"/>
    <s v="Ivanhoe Poster Frame, Aluminum"/>
    <n v="28.574400000000001"/>
    <n v="3"/>
    <n v="-1.0880000000000001"/>
    <x v="2"/>
    <x v="1"/>
  </r>
  <r>
    <x v="4"/>
    <x v="4"/>
    <x v="4"/>
    <x v="2"/>
    <s v="TM-17007"/>
    <s v="Tracy Montoya"/>
    <x v="2"/>
    <s v="United States"/>
    <x v="4"/>
    <x v="4"/>
    <x v="1"/>
    <s v="FUR-CH-106624"/>
    <x v="0"/>
    <x v="1"/>
    <s v="Adler Fabric Manager's Chair, Slate Gray"/>
    <n v="830.11990000000003"/>
    <n v="4"/>
    <n v="-75.209800000000001"/>
    <x v="3"/>
    <x v="2"/>
  </r>
  <r>
    <x v="5"/>
    <x v="5"/>
    <x v="5"/>
    <x v="2"/>
    <s v="KG-18423"/>
    <s v="Kimberly Gutierrez"/>
    <x v="1"/>
    <s v="United States"/>
    <x v="5"/>
    <x v="5"/>
    <x v="2"/>
    <s v="FUR-CH-102091"/>
    <x v="0"/>
    <x v="1"/>
    <s v="Vantage Swivel Task Chair, Blue"/>
    <n v="365.93290000000002"/>
    <n v="2"/>
    <n v="6.9703999999999997"/>
    <x v="4"/>
    <x v="3"/>
  </r>
  <r>
    <x v="6"/>
    <x v="6"/>
    <x v="6"/>
    <x v="2"/>
    <s v="SR-10757"/>
    <s v="Samantha Robertson"/>
    <x v="1"/>
    <s v="United States"/>
    <x v="6"/>
    <x v="6"/>
    <x v="1"/>
    <s v="FUR-FU-108837"/>
    <x v="0"/>
    <x v="0"/>
    <s v="Ivanhoe Poster Frame, Aluminum"/>
    <n v="80.090500000000006"/>
    <n v="1"/>
    <n v="37.610300000000002"/>
    <x v="5"/>
    <x v="4"/>
  </r>
  <r>
    <x v="7"/>
    <x v="7"/>
    <x v="7"/>
    <x v="2"/>
    <s v="SG-21489"/>
    <s v="Samantha Gardner"/>
    <x v="1"/>
    <s v="United States"/>
    <x v="7"/>
    <x v="7"/>
    <x v="2"/>
    <s v="FUR-CH-100444"/>
    <x v="0"/>
    <x v="1"/>
    <s v="Harborview Mesh Task Chair, Adjustable Arms"/>
    <n v="119.3172"/>
    <n v="4"/>
    <n v="16.708300000000001"/>
    <x v="5"/>
    <x v="5"/>
  </r>
  <r>
    <x v="8"/>
    <x v="8"/>
    <x v="8"/>
    <x v="2"/>
    <s v="JB-14065"/>
    <s v="Jasmine Beltran"/>
    <x v="1"/>
    <s v="United States"/>
    <x v="8"/>
    <x v="8"/>
    <x v="1"/>
    <s v="FUR-CH-106624"/>
    <x v="0"/>
    <x v="1"/>
    <s v="Adler Fabric Manager's Chair, Slate Gray"/>
    <n v="784.92200000000003"/>
    <n v="2"/>
    <n v="-271.96719999999999"/>
    <x v="6"/>
    <x v="6"/>
  </r>
  <r>
    <x v="9"/>
    <x v="9"/>
    <x v="9"/>
    <x v="0"/>
    <s v="AF-12287"/>
    <s v="April Frost"/>
    <x v="1"/>
    <s v="United States"/>
    <x v="7"/>
    <x v="9"/>
    <x v="0"/>
    <s v="FUR-FU-100853"/>
    <x v="0"/>
    <x v="0"/>
    <s v="Blaine Cubicle Wall Clock, Black"/>
    <n v="31.3416"/>
    <n v="6"/>
    <n v="-6.1795"/>
    <x v="1"/>
    <x v="7"/>
  </r>
  <r>
    <x v="10"/>
    <x v="10"/>
    <x v="10"/>
    <x v="2"/>
    <s v="RV-15313"/>
    <s v="Rebecca Valencia"/>
    <x v="0"/>
    <s v="United States"/>
    <x v="9"/>
    <x v="10"/>
    <x v="1"/>
    <s v="FUR-CH-105507"/>
    <x v="0"/>
    <x v="1"/>
    <s v="Kingsley Mesh-Back Task Chair"/>
    <n v="415.11059999999998"/>
    <n v="4"/>
    <n v="133.12270000000001"/>
    <x v="7"/>
    <x v="8"/>
  </r>
  <r>
    <x v="11"/>
    <x v="11"/>
    <x v="11"/>
    <x v="2"/>
    <s v="MO-19560"/>
    <s v="Megan Orr"/>
    <x v="1"/>
    <s v="United States"/>
    <x v="10"/>
    <x v="11"/>
    <x v="2"/>
    <s v="FUR-CH-105507"/>
    <x v="0"/>
    <x v="1"/>
    <s v="Kingsley Mesh-Back Task Chair"/>
    <n v="181.017"/>
    <n v="3"/>
    <n v="-59.048000000000002"/>
    <x v="6"/>
    <x v="6"/>
  </r>
  <r>
    <x v="12"/>
    <x v="12"/>
    <x v="12"/>
    <x v="2"/>
    <s v="WH-18179"/>
    <s v="William Herrera"/>
    <x v="0"/>
    <s v="United States"/>
    <x v="7"/>
    <x v="7"/>
    <x v="2"/>
    <s v="FUR-FU-101341"/>
    <x v="0"/>
    <x v="0"/>
    <s v="Griswold Chairmats for Medium Pile Carpet"/>
    <n v="175.41929999999999"/>
    <n v="3"/>
    <n v="3.3128000000000002"/>
    <x v="7"/>
    <x v="9"/>
  </r>
  <r>
    <x v="13"/>
    <x v="13"/>
    <x v="13"/>
    <x v="1"/>
    <s v="KS-14339"/>
    <s v="Kenneth Scott"/>
    <x v="1"/>
    <s v="United States"/>
    <x v="11"/>
    <x v="12"/>
    <x v="2"/>
    <s v="FUR-CH-106455"/>
    <x v="0"/>
    <x v="1"/>
    <s v="Nolan Leather Highback Chair, Pneumatic Adjustment"/>
    <n v="739.93849999999998"/>
    <n v="6"/>
    <n v="-147.40620000000001"/>
    <x v="7"/>
    <x v="9"/>
  </r>
  <r>
    <x v="14"/>
    <x v="14"/>
    <x v="14"/>
    <x v="3"/>
    <s v="SR-12697"/>
    <s v="Shannon Ramsey"/>
    <x v="1"/>
    <s v="United States"/>
    <x v="12"/>
    <x v="13"/>
    <x v="3"/>
    <s v="FUR-CH-100444"/>
    <x v="0"/>
    <x v="1"/>
    <s v="Harborview Mesh Task Chair, Adjustable Arms"/>
    <n v="347.00490000000002"/>
    <n v="5"/>
    <n v="102.6478"/>
    <x v="7"/>
    <x v="10"/>
  </r>
  <r>
    <x v="15"/>
    <x v="15"/>
    <x v="15"/>
    <x v="2"/>
    <s v="DL-11104"/>
    <s v="Donna Landry"/>
    <x v="2"/>
    <s v="United States"/>
    <x v="13"/>
    <x v="14"/>
    <x v="3"/>
    <s v="FUR-CH-101375"/>
    <x v="0"/>
    <x v="1"/>
    <s v="Sutton Push-Button Manager's Chair, Indigo"/>
    <n v="359.03379999999999"/>
    <n v="7"/>
    <n v="-9.5618999999999996"/>
    <x v="6"/>
    <x v="9"/>
  </r>
  <r>
    <x v="16"/>
    <x v="16"/>
    <x v="16"/>
    <x v="0"/>
    <s v="BP-16227"/>
    <s v="Brittney Phillips"/>
    <x v="1"/>
    <s v="United States"/>
    <x v="14"/>
    <x v="15"/>
    <x v="1"/>
    <s v="FUR-TA-105355"/>
    <x v="0"/>
    <x v="3"/>
    <s v="Wexford Racetrack Conference Table"/>
    <n v="448.17950000000002"/>
    <n v="1"/>
    <n v="120.3125"/>
    <x v="0"/>
    <x v="0"/>
  </r>
  <r>
    <x v="17"/>
    <x v="17"/>
    <x v="17"/>
    <x v="2"/>
    <s v="JS-11040"/>
    <s v="Joyce Solis"/>
    <x v="2"/>
    <s v="United States"/>
    <x v="15"/>
    <x v="16"/>
    <x v="0"/>
    <s v="FUR-TA-100823"/>
    <x v="0"/>
    <x v="3"/>
    <s v="Redstone Wood Tables, Set of 2"/>
    <n v="394.61939999999998"/>
    <n v="4"/>
    <n v="-139.83250000000001"/>
    <x v="3"/>
    <x v="4"/>
  </r>
  <r>
    <x v="18"/>
    <x v="18"/>
    <x v="18"/>
    <x v="2"/>
    <s v="SJ-11612"/>
    <s v="Shannon James"/>
    <x v="2"/>
    <s v="United States"/>
    <x v="7"/>
    <x v="7"/>
    <x v="2"/>
    <s v="FUR-FU-106211"/>
    <x v="0"/>
    <x v="0"/>
    <s v="Aurora Brushed Chrome Wall Clock, 14in"/>
    <n v="118.42740000000001"/>
    <n v="3"/>
    <n v="1.6508"/>
    <x v="2"/>
    <x v="2"/>
  </r>
  <r>
    <x v="19"/>
    <x v="19"/>
    <x v="19"/>
    <x v="2"/>
    <s v="RL-18890"/>
    <s v="Ryan Landry"/>
    <x v="0"/>
    <s v="United States"/>
    <x v="16"/>
    <x v="17"/>
    <x v="3"/>
    <s v="FUR-FU-101341"/>
    <x v="0"/>
    <x v="0"/>
    <s v="Griswold Chairmats for Medium Pile Carpet"/>
    <n v="143.13820000000001"/>
    <n v="4"/>
    <n v="79.235399999999998"/>
    <x v="1"/>
    <x v="3"/>
  </r>
  <r>
    <x v="20"/>
    <x v="20"/>
    <x v="20"/>
    <x v="2"/>
    <s v="AH-20037"/>
    <s v="Andrew Harper"/>
    <x v="0"/>
    <s v="United States"/>
    <x v="17"/>
    <x v="18"/>
    <x v="3"/>
    <s v="FUR-FU-107705"/>
    <x v="0"/>
    <x v="0"/>
    <s v="Hawthorne Desk Accessory Set, Oak"/>
    <n v="63.254800000000003"/>
    <n v="3"/>
    <n v="21.755700000000001"/>
    <x v="4"/>
    <x v="7"/>
  </r>
  <r>
    <x v="21"/>
    <x v="21"/>
    <x v="21"/>
    <x v="2"/>
    <s v="JY-11235"/>
    <s v="John Young"/>
    <x v="1"/>
    <s v="United States"/>
    <x v="18"/>
    <x v="19"/>
    <x v="2"/>
    <s v="FUR-CH-100441"/>
    <x v="0"/>
    <x v="1"/>
    <s v="Dalton Folding Chair, 4/Carton"/>
    <n v="264.99610000000001"/>
    <n v="1"/>
    <n v="-168.5104"/>
    <x v="4"/>
    <x v="6"/>
  </r>
  <r>
    <x v="22"/>
    <x v="22"/>
    <x v="22"/>
    <x v="2"/>
    <s v="TH-14451"/>
    <s v="Timothy Hayden"/>
    <x v="0"/>
    <s v="United States"/>
    <x v="19"/>
    <x v="20"/>
    <x v="2"/>
    <s v="FUR-TA-105363"/>
    <x v="0"/>
    <x v="3"/>
    <s v="Ashcombe Rectangular Table Top"/>
    <n v="620.71789999999999"/>
    <n v="2"/>
    <n v="-114.4024"/>
    <x v="4"/>
    <x v="4"/>
  </r>
  <r>
    <x v="23"/>
    <x v="23"/>
    <x v="23"/>
    <x v="2"/>
    <s v="SA-21945"/>
    <s v="Shelly Alexander"/>
    <x v="1"/>
    <s v="United States"/>
    <x v="20"/>
    <x v="21"/>
    <x v="1"/>
    <s v="FUR-FU-104133"/>
    <x v="0"/>
    <x v="0"/>
    <s v="Preston Wood Photo Frame, Mahogany"/>
    <n v="43.613700000000001"/>
    <n v="4"/>
    <n v="-6.1459000000000001"/>
    <x v="7"/>
    <x v="6"/>
  </r>
  <r>
    <x v="23"/>
    <x v="23"/>
    <x v="23"/>
    <x v="2"/>
    <s v="SA-21945"/>
    <s v="Shelly Alexander"/>
    <x v="1"/>
    <s v="United States"/>
    <x v="20"/>
    <x v="21"/>
    <x v="1"/>
    <s v="FUR-FU-101341"/>
    <x v="0"/>
    <x v="0"/>
    <s v="Griswold Chairmats for Medium Pile Carpet"/>
    <n v="245.44579999999999"/>
    <n v="3"/>
    <n v="-88.373099999999994"/>
    <x v="7"/>
    <x v="6"/>
  </r>
  <r>
    <x v="23"/>
    <x v="23"/>
    <x v="23"/>
    <x v="2"/>
    <s v="SA-21945"/>
    <s v="Shelly Alexander"/>
    <x v="1"/>
    <s v="United States"/>
    <x v="20"/>
    <x v="21"/>
    <x v="1"/>
    <s v="FUR-FU-100853"/>
    <x v="0"/>
    <x v="0"/>
    <s v="Blaine Cubicle Wall Clock, Black"/>
    <n v="55.694299999999998"/>
    <n v="10"/>
    <n v="15.891"/>
    <x v="7"/>
    <x v="6"/>
  </r>
  <r>
    <x v="24"/>
    <x v="24"/>
    <x v="24"/>
    <x v="0"/>
    <s v="JS-13681"/>
    <s v="Jessica Stephens"/>
    <x v="0"/>
    <s v="United States"/>
    <x v="21"/>
    <x v="18"/>
    <x v="3"/>
    <s v="FUR-FU-100853"/>
    <x v="0"/>
    <x v="0"/>
    <s v="Blaine Cubicle Wall Clock, Black"/>
    <n v="39.153199999999998"/>
    <n v="2"/>
    <n v="0.6089"/>
    <x v="0"/>
    <x v="6"/>
  </r>
  <r>
    <x v="25"/>
    <x v="25"/>
    <x v="25"/>
    <x v="2"/>
    <s v="GP-20391"/>
    <s v="Gregory Ponce"/>
    <x v="0"/>
    <s v="United States"/>
    <x v="22"/>
    <x v="22"/>
    <x v="2"/>
    <s v="FUR-FU-101124"/>
    <x v="0"/>
    <x v="0"/>
    <s v="Rutledge Desk Organizer Tray, Letter Size"/>
    <n v="183.98169999999999"/>
    <n v="5"/>
    <n v="-18.1311"/>
    <x v="2"/>
    <x v="2"/>
  </r>
  <r>
    <x v="26"/>
    <x v="26"/>
    <x v="26"/>
    <x v="1"/>
    <s v="JG-15559"/>
    <s v="Jessica Garcia"/>
    <x v="1"/>
    <s v="United States"/>
    <x v="23"/>
    <x v="5"/>
    <x v="2"/>
    <s v="FUR-FU-105733"/>
    <x v="0"/>
    <x v="0"/>
    <s v="Sable Halogen Replacement Bulb, 2-Pack"/>
    <n v="240.1018"/>
    <n v="7"/>
    <n v="134.3844"/>
    <x v="0"/>
    <x v="11"/>
  </r>
  <r>
    <x v="27"/>
    <x v="27"/>
    <x v="27"/>
    <x v="2"/>
    <s v="DJ-19064"/>
    <s v="Denise Jones"/>
    <x v="2"/>
    <s v="United States"/>
    <x v="23"/>
    <x v="5"/>
    <x v="2"/>
    <s v="FUR-CH-107657"/>
    <x v="0"/>
    <x v="1"/>
    <s v="Hollis Stacking Chair, Rounded Back"/>
    <n v="159.1113"/>
    <n v="2"/>
    <n v="86.203900000000004"/>
    <x v="2"/>
    <x v="10"/>
  </r>
  <r>
    <x v="28"/>
    <x v="28"/>
    <x v="28"/>
    <x v="0"/>
    <s v="TB-15279"/>
    <s v="Tina Ballard"/>
    <x v="2"/>
    <s v="United States"/>
    <x v="24"/>
    <x v="23"/>
    <x v="2"/>
    <s v="FUR-FU-103673"/>
    <x v="0"/>
    <x v="0"/>
    <s v="Corcoran Document Holder, Wood"/>
    <n v="136.68219999999999"/>
    <n v="3"/>
    <n v="4.4200999999999997"/>
    <x v="5"/>
    <x v="4"/>
  </r>
  <r>
    <x v="29"/>
    <x v="29"/>
    <x v="29"/>
    <x v="2"/>
    <s v="CG-14552"/>
    <s v="Cassandra Gaines"/>
    <x v="2"/>
    <s v="United States"/>
    <x v="3"/>
    <x v="3"/>
    <x v="1"/>
    <s v="FUR-CH-100444"/>
    <x v="0"/>
    <x v="1"/>
    <s v="Harborview Mesh Task Chair, Adjustable Arms"/>
    <n v="149.66929999999999"/>
    <n v="4"/>
    <n v="37.200000000000003"/>
    <x v="6"/>
    <x v="4"/>
  </r>
  <r>
    <x v="30"/>
    <x v="30"/>
    <x v="30"/>
    <x v="0"/>
    <s v="DM-12938"/>
    <s v="Dawn Mullins"/>
    <x v="1"/>
    <s v="United States"/>
    <x v="25"/>
    <x v="24"/>
    <x v="1"/>
    <s v="FUR-FU-100853"/>
    <x v="0"/>
    <x v="0"/>
    <s v="Blaine Cubicle Wall Clock, Black"/>
    <n v="43.630400000000002"/>
    <n v="2"/>
    <n v="-5.3951000000000002"/>
    <x v="7"/>
    <x v="4"/>
  </r>
  <r>
    <x v="30"/>
    <x v="30"/>
    <x v="30"/>
    <x v="0"/>
    <s v="DM-12938"/>
    <s v="Dawn Mullins"/>
    <x v="1"/>
    <s v="United States"/>
    <x v="25"/>
    <x v="24"/>
    <x v="1"/>
    <s v="FUR-CH-108751"/>
    <x v="0"/>
    <x v="1"/>
    <s v="Prescott Ergonomic Chair with Lumbar Support"/>
    <n v="740.56399999999996"/>
    <n v="1"/>
    <n v="332.6979"/>
    <x v="7"/>
    <x v="4"/>
  </r>
  <r>
    <x v="31"/>
    <x v="31"/>
    <x v="31"/>
    <x v="0"/>
    <s v="RM-21792"/>
    <s v="Robert Morgan"/>
    <x v="2"/>
    <s v="United States"/>
    <x v="26"/>
    <x v="25"/>
    <x v="3"/>
    <s v="FUR-FU-100317"/>
    <x v="0"/>
    <x v="0"/>
    <s v="Nomad Floor Lamp, Telescoping Adjustable"/>
    <n v="859.28959999999995"/>
    <n v="3"/>
    <n v="68.949399999999997"/>
    <x v="1"/>
    <x v="3"/>
  </r>
  <r>
    <x v="31"/>
    <x v="31"/>
    <x v="31"/>
    <x v="0"/>
    <s v="RM-21792"/>
    <s v="Robert Morgan"/>
    <x v="2"/>
    <s v="United States"/>
    <x v="26"/>
    <x v="25"/>
    <x v="3"/>
    <s v="FUR-FU-103673"/>
    <x v="0"/>
    <x v="0"/>
    <s v="Corcoran Document Holder, Wood"/>
    <n v="69.425399999999996"/>
    <n v="5"/>
    <n v="36.921700000000001"/>
    <x v="1"/>
    <x v="3"/>
  </r>
  <r>
    <x v="31"/>
    <x v="31"/>
    <x v="31"/>
    <x v="0"/>
    <s v="RM-21792"/>
    <s v="Robert Morgan"/>
    <x v="2"/>
    <s v="United States"/>
    <x v="26"/>
    <x v="25"/>
    <x v="3"/>
    <s v="FUR-FU-104558"/>
    <x v="0"/>
    <x v="0"/>
    <s v="Lambert Swing Arm Desk Lamp"/>
    <n v="20.010300000000001"/>
    <n v="4"/>
    <n v="10.147600000000001"/>
    <x v="1"/>
    <x v="3"/>
  </r>
  <r>
    <x v="31"/>
    <x v="31"/>
    <x v="31"/>
    <x v="0"/>
    <s v="RM-21792"/>
    <s v="Robert Morgan"/>
    <x v="2"/>
    <s v="United States"/>
    <x v="26"/>
    <x v="25"/>
    <x v="3"/>
    <s v="FUR-TA-105529"/>
    <x v="0"/>
    <x v="3"/>
    <s v="Fenwick Compact Office Desk"/>
    <n v="595.16930000000002"/>
    <n v="2"/>
    <n v="-15.8058"/>
    <x v="1"/>
    <x v="3"/>
  </r>
  <r>
    <x v="32"/>
    <x v="32"/>
    <x v="32"/>
    <x v="2"/>
    <s v="SH-19891"/>
    <s v="Shane Henderson"/>
    <x v="2"/>
    <s v="United States"/>
    <x v="27"/>
    <x v="26"/>
    <x v="3"/>
    <s v="FUR-TA-105355"/>
    <x v="0"/>
    <x v="3"/>
    <s v="Wexford Racetrack Conference Table"/>
    <n v="177.4624"/>
    <n v="6"/>
    <n v="64.691400000000002"/>
    <x v="1"/>
    <x v="10"/>
  </r>
  <r>
    <x v="33"/>
    <x v="33"/>
    <x v="33"/>
    <x v="2"/>
    <s v="RO-19977"/>
    <s v="Robert Oconnell"/>
    <x v="2"/>
    <s v="United States"/>
    <x v="11"/>
    <x v="12"/>
    <x v="2"/>
    <s v="FUR-FU-108837"/>
    <x v="0"/>
    <x v="0"/>
    <s v="Ivanhoe Poster Frame, Aluminum"/>
    <n v="17.770700000000001"/>
    <n v="5"/>
    <n v="6.6284000000000001"/>
    <x v="1"/>
    <x v="7"/>
  </r>
  <r>
    <x v="34"/>
    <x v="34"/>
    <x v="34"/>
    <x v="3"/>
    <s v="RB-12662"/>
    <s v="Robin Brown"/>
    <x v="0"/>
    <s v="United States"/>
    <x v="2"/>
    <x v="2"/>
    <x v="0"/>
    <s v="FUR-CH-100441"/>
    <x v="0"/>
    <x v="1"/>
    <s v="Dalton Folding Chair, 4/Carton"/>
    <n v="1091.3311000000001"/>
    <n v="4"/>
    <n v="365.53550000000001"/>
    <x v="7"/>
    <x v="9"/>
  </r>
  <r>
    <x v="34"/>
    <x v="34"/>
    <x v="34"/>
    <x v="3"/>
    <s v="RB-12662"/>
    <s v="Robin Brown"/>
    <x v="0"/>
    <s v="United States"/>
    <x v="2"/>
    <x v="2"/>
    <x v="0"/>
    <s v="FUR-FU-108837"/>
    <x v="0"/>
    <x v="0"/>
    <s v="Ivanhoe Poster Frame, Aluminum"/>
    <n v="39.747199999999999"/>
    <n v="2"/>
    <n v="16.121500000000001"/>
    <x v="7"/>
    <x v="9"/>
  </r>
  <r>
    <x v="34"/>
    <x v="34"/>
    <x v="34"/>
    <x v="3"/>
    <s v="RB-12662"/>
    <s v="Robin Brown"/>
    <x v="0"/>
    <s v="United States"/>
    <x v="2"/>
    <x v="2"/>
    <x v="0"/>
    <s v="FUR-FU-104133"/>
    <x v="0"/>
    <x v="0"/>
    <s v="Preston Wood Photo Frame, Mahogany"/>
    <n v="40.002200000000002"/>
    <n v="6"/>
    <n v="12.136200000000001"/>
    <x v="7"/>
    <x v="9"/>
  </r>
  <r>
    <x v="35"/>
    <x v="35"/>
    <x v="35"/>
    <x v="3"/>
    <s v="SC-11084"/>
    <s v="Sharon Cochran"/>
    <x v="2"/>
    <s v="United States"/>
    <x v="28"/>
    <x v="4"/>
    <x v="1"/>
    <s v="FUR-FU-103673"/>
    <x v="0"/>
    <x v="0"/>
    <s v="Corcoran Document Holder, Wood"/>
    <n v="38.910699999999999"/>
    <n v="11"/>
    <n v="-5.7161999999999997"/>
    <x v="7"/>
    <x v="5"/>
  </r>
  <r>
    <x v="36"/>
    <x v="36"/>
    <x v="36"/>
    <x v="1"/>
    <s v="GD-21087"/>
    <s v="Gabrielle Davis"/>
    <x v="1"/>
    <s v="United States"/>
    <x v="29"/>
    <x v="13"/>
    <x v="3"/>
    <s v="FUR-CH-108751"/>
    <x v="0"/>
    <x v="1"/>
    <s v="Prescott Ergonomic Chair with Lumbar Support"/>
    <n v="851.43330000000003"/>
    <n v="3"/>
    <n v="37.409100000000002"/>
    <x v="0"/>
    <x v="1"/>
  </r>
  <r>
    <x v="37"/>
    <x v="37"/>
    <x v="37"/>
    <x v="1"/>
    <s v="ZM-18486"/>
    <s v="Zachary Michael"/>
    <x v="2"/>
    <s v="United States"/>
    <x v="30"/>
    <x v="27"/>
    <x v="0"/>
    <s v="FUR-FU-106211"/>
    <x v="0"/>
    <x v="0"/>
    <s v="Aurora Brushed Chrome Wall Clock, 14in"/>
    <n v="40.720799999999997"/>
    <n v="5"/>
    <n v="4.2659000000000002"/>
    <x v="1"/>
    <x v="1"/>
  </r>
  <r>
    <x v="38"/>
    <x v="38"/>
    <x v="38"/>
    <x v="2"/>
    <s v="RJ-18348"/>
    <s v="Rebecca Jackson"/>
    <x v="2"/>
    <s v="United States"/>
    <x v="25"/>
    <x v="24"/>
    <x v="1"/>
    <s v="FUR-TA-104262"/>
    <x v="0"/>
    <x v="3"/>
    <s v="Thorne End Table, 20-1/2H x 24W x 20D"/>
    <n v="851.75250000000005"/>
    <n v="2"/>
    <n v="151.77969999999999"/>
    <x v="5"/>
    <x v="6"/>
  </r>
  <r>
    <x v="39"/>
    <x v="39"/>
    <x v="39"/>
    <x v="1"/>
    <s v="JW-21830"/>
    <s v="Joel Williams"/>
    <x v="2"/>
    <s v="United States"/>
    <x v="31"/>
    <x v="28"/>
    <x v="2"/>
    <s v="FUR-CH-107657"/>
    <x v="0"/>
    <x v="1"/>
    <s v="Hollis Stacking Chair, Rounded Back"/>
    <n v="252.98699999999999"/>
    <n v="5"/>
    <n v="68.997"/>
    <x v="0"/>
    <x v="2"/>
  </r>
  <r>
    <x v="39"/>
    <x v="39"/>
    <x v="39"/>
    <x v="1"/>
    <s v="JW-21830"/>
    <s v="Joel Williams"/>
    <x v="2"/>
    <s v="United States"/>
    <x v="31"/>
    <x v="28"/>
    <x v="2"/>
    <s v="FUR-FU-101124"/>
    <x v="0"/>
    <x v="0"/>
    <s v="Rutledge Desk Organizer Tray, Letter Size"/>
    <n v="57.712499999999999"/>
    <n v="4"/>
    <n v="38.718200000000003"/>
    <x v="0"/>
    <x v="2"/>
  </r>
  <r>
    <x v="39"/>
    <x v="39"/>
    <x v="39"/>
    <x v="1"/>
    <s v="JW-21830"/>
    <s v="Joel Williams"/>
    <x v="2"/>
    <s v="United States"/>
    <x v="31"/>
    <x v="28"/>
    <x v="2"/>
    <s v="FUR-FU-100317"/>
    <x v="0"/>
    <x v="0"/>
    <s v="Nomad Floor Lamp, Telescoping Adjustable"/>
    <n v="55.5702"/>
    <n v="1"/>
    <n v="22.435600000000001"/>
    <x v="0"/>
    <x v="2"/>
  </r>
  <r>
    <x v="40"/>
    <x v="40"/>
    <x v="40"/>
    <x v="2"/>
    <s v="DJ-14010"/>
    <s v="Denise Jacobs"/>
    <x v="1"/>
    <s v="United States"/>
    <x v="32"/>
    <x v="26"/>
    <x v="3"/>
    <s v="FUR-FU-105733"/>
    <x v="0"/>
    <x v="0"/>
    <s v="Sable Halogen Replacement Bulb, 2-Pack"/>
    <n v="169.0609"/>
    <n v="2"/>
    <n v="94.099500000000006"/>
    <x v="4"/>
    <x v="5"/>
  </r>
  <r>
    <x v="41"/>
    <x v="41"/>
    <x v="41"/>
    <x v="1"/>
    <s v="RR-13456"/>
    <s v="Richard Rodriguez"/>
    <x v="1"/>
    <s v="United States"/>
    <x v="33"/>
    <x v="23"/>
    <x v="2"/>
    <s v="FUR-FU-103673"/>
    <x v="0"/>
    <x v="0"/>
    <s v="Corcoran Document Holder, Wood"/>
    <n v="92.009200000000007"/>
    <n v="4"/>
    <n v="13.725899999999999"/>
    <x v="1"/>
    <x v="5"/>
  </r>
  <r>
    <x v="42"/>
    <x v="42"/>
    <x v="42"/>
    <x v="3"/>
    <s v="DS-13502"/>
    <s v="Dawn Summers"/>
    <x v="1"/>
    <s v="United States"/>
    <x v="13"/>
    <x v="14"/>
    <x v="3"/>
    <s v="FUR-TA-102223"/>
    <x v="0"/>
    <x v="3"/>
    <s v="Marchetti Round Conference Table, X-Base"/>
    <n v="946.47209999999995"/>
    <n v="7"/>
    <n v="-79.045400000000001"/>
    <x v="7"/>
    <x v="8"/>
  </r>
  <r>
    <x v="43"/>
    <x v="43"/>
    <x v="43"/>
    <x v="0"/>
    <s v="GJ-12584"/>
    <s v="Gary Jackson"/>
    <x v="2"/>
    <s v="United States"/>
    <x v="11"/>
    <x v="12"/>
    <x v="2"/>
    <s v="FUR-FU-105733"/>
    <x v="0"/>
    <x v="0"/>
    <s v="Sable Halogen Replacement Bulb, 2-Pack"/>
    <n v="149.36859999999999"/>
    <n v="5"/>
    <n v="-30.436800000000002"/>
    <x v="5"/>
    <x v="6"/>
  </r>
  <r>
    <x v="44"/>
    <x v="24"/>
    <x v="44"/>
    <x v="3"/>
    <s v="NM-12615"/>
    <s v="Nathan Maldonado"/>
    <x v="1"/>
    <s v="United States"/>
    <x v="34"/>
    <x v="29"/>
    <x v="0"/>
    <s v="FUR-BO-100475"/>
    <x v="0"/>
    <x v="2"/>
    <s v="Overton 3-Shelf Corner Bookcase"/>
    <n v="71.814300000000003"/>
    <n v="3"/>
    <n v="-21.824200000000001"/>
    <x v="7"/>
    <x v="6"/>
  </r>
  <r>
    <x v="44"/>
    <x v="24"/>
    <x v="44"/>
    <x v="3"/>
    <s v="NM-12615"/>
    <s v="Nathan Maldonado"/>
    <x v="1"/>
    <s v="United States"/>
    <x v="34"/>
    <x v="29"/>
    <x v="0"/>
    <s v="FUR-CH-100444"/>
    <x v="0"/>
    <x v="1"/>
    <s v="Harborview Mesh Task Chair, Adjustable Arms"/>
    <n v="2662.4767999999999"/>
    <n v="1"/>
    <n v="-82.333299999999994"/>
    <x v="7"/>
    <x v="6"/>
  </r>
  <r>
    <x v="45"/>
    <x v="44"/>
    <x v="45"/>
    <x v="0"/>
    <s v="JT-19086"/>
    <s v="Jeremy Turner"/>
    <x v="2"/>
    <s v="United States"/>
    <x v="21"/>
    <x v="18"/>
    <x v="3"/>
    <s v="FUR-BO-107999"/>
    <x v="0"/>
    <x v="2"/>
    <s v="Braxton Barrister Bookcase, Mahogany"/>
    <n v="337.54070000000002"/>
    <n v="2"/>
    <n v="-46.290799999999997"/>
    <x v="3"/>
    <x v="7"/>
  </r>
  <r>
    <x v="45"/>
    <x v="44"/>
    <x v="45"/>
    <x v="0"/>
    <s v="JT-19086"/>
    <s v="Jeremy Turner"/>
    <x v="2"/>
    <s v="United States"/>
    <x v="21"/>
    <x v="18"/>
    <x v="3"/>
    <s v="FUR-CH-102704"/>
    <x v="0"/>
    <x v="1"/>
    <s v="Brookline High-Back Executive Chair, Black Leather"/>
    <n v="201.18350000000001"/>
    <n v="5"/>
    <n v="146.06720000000001"/>
    <x v="3"/>
    <x v="7"/>
  </r>
  <r>
    <x v="45"/>
    <x v="44"/>
    <x v="45"/>
    <x v="0"/>
    <s v="JT-19086"/>
    <s v="Jeremy Turner"/>
    <x v="2"/>
    <s v="United States"/>
    <x v="21"/>
    <x v="18"/>
    <x v="3"/>
    <s v="FUR-FU-104133"/>
    <x v="0"/>
    <x v="0"/>
    <s v="Preston Wood Photo Frame, Mahogany"/>
    <n v="398.6737"/>
    <n v="6"/>
    <n v="155.7338"/>
    <x v="3"/>
    <x v="7"/>
  </r>
  <r>
    <x v="46"/>
    <x v="45"/>
    <x v="46"/>
    <x v="0"/>
    <s v="CG-20145"/>
    <s v="Casey Gillespie"/>
    <x v="2"/>
    <s v="United States"/>
    <x v="35"/>
    <x v="30"/>
    <x v="0"/>
    <s v="FUR-FU-106906"/>
    <x v="0"/>
    <x v="0"/>
    <s v="Cobalt LED Magnifier Lamp with Clamp Base"/>
    <n v="5.5736999999999997"/>
    <n v="4"/>
    <n v="4.82E-2"/>
    <x v="3"/>
    <x v="8"/>
  </r>
  <r>
    <x v="47"/>
    <x v="46"/>
    <x v="47"/>
    <x v="2"/>
    <s v="LA-18317"/>
    <s v="Lawrence Adkins"/>
    <x v="2"/>
    <s v="United States"/>
    <x v="13"/>
    <x v="14"/>
    <x v="3"/>
    <s v="FUR-BO-103613"/>
    <x v="0"/>
    <x v="2"/>
    <s v="Winslow Corner Bookcase, White"/>
    <n v="60.9024"/>
    <n v="2"/>
    <n v="30.549700000000001"/>
    <x v="5"/>
    <x v="10"/>
  </r>
  <r>
    <x v="48"/>
    <x v="47"/>
    <x v="48"/>
    <x v="0"/>
    <s v="JW-11512"/>
    <s v="Jack White"/>
    <x v="1"/>
    <s v="United States"/>
    <x v="17"/>
    <x v="18"/>
    <x v="3"/>
    <s v="FUR-TA-102977"/>
    <x v="0"/>
    <x v="3"/>
    <s v="Caldwell 44 x 96 Conference Table"/>
    <n v="321.6103"/>
    <n v="2"/>
    <n v="75.7166"/>
    <x v="3"/>
    <x v="6"/>
  </r>
  <r>
    <x v="49"/>
    <x v="48"/>
    <x v="49"/>
    <x v="2"/>
    <s v="ZM-15502"/>
    <s v="Zachary Mendoza"/>
    <x v="1"/>
    <s v="United States"/>
    <x v="36"/>
    <x v="31"/>
    <x v="2"/>
    <s v="FUR-TA-102223"/>
    <x v="0"/>
    <x v="3"/>
    <s v="Marchetti Round Conference Table, X-Base"/>
    <n v="1298.4106999999999"/>
    <n v="4"/>
    <n v="617.3415"/>
    <x v="6"/>
    <x v="9"/>
  </r>
  <r>
    <x v="49"/>
    <x v="48"/>
    <x v="49"/>
    <x v="2"/>
    <s v="ZM-15502"/>
    <s v="Zachary Mendoza"/>
    <x v="1"/>
    <s v="United States"/>
    <x v="36"/>
    <x v="31"/>
    <x v="2"/>
    <s v="FUR-TA-105363"/>
    <x v="0"/>
    <x v="3"/>
    <s v="Ashcombe Rectangular Table Top"/>
    <n v="139.25640000000001"/>
    <n v="2"/>
    <n v="-23.215900000000001"/>
    <x v="6"/>
    <x v="9"/>
  </r>
  <r>
    <x v="50"/>
    <x v="49"/>
    <x v="50"/>
    <x v="0"/>
    <s v="AJ-13566"/>
    <s v="Ariana Jennings"/>
    <x v="1"/>
    <s v="United States"/>
    <x v="37"/>
    <x v="14"/>
    <x v="3"/>
    <s v="FUR-CH-109246"/>
    <x v="0"/>
    <x v="1"/>
    <s v="Beckett Steno Chair, Gray"/>
    <n v="1825.6415999999999"/>
    <n v="3"/>
    <n v="-311.81909999999999"/>
    <x v="3"/>
    <x v="8"/>
  </r>
  <r>
    <x v="51"/>
    <x v="50"/>
    <x v="39"/>
    <x v="1"/>
    <s v="JA-15862"/>
    <s v="Jose Allen"/>
    <x v="2"/>
    <s v="United States"/>
    <x v="10"/>
    <x v="11"/>
    <x v="2"/>
    <s v="FUR-FU-104133"/>
    <x v="0"/>
    <x v="0"/>
    <s v="Preston Wood Photo Frame, Mahogany"/>
    <n v="39.433399999999999"/>
    <n v="1"/>
    <n v="23.854099999999999"/>
    <x v="1"/>
    <x v="2"/>
  </r>
  <r>
    <x v="51"/>
    <x v="50"/>
    <x v="39"/>
    <x v="1"/>
    <s v="JA-15862"/>
    <s v="Jose Allen"/>
    <x v="2"/>
    <s v="United States"/>
    <x v="10"/>
    <x v="11"/>
    <x v="2"/>
    <s v="FUR-TA-102977"/>
    <x v="0"/>
    <x v="3"/>
    <s v="Caldwell 44 x 96 Conference Table"/>
    <n v="1358.9431"/>
    <n v="3"/>
    <n v="-332.02519999999998"/>
    <x v="1"/>
    <x v="2"/>
  </r>
  <r>
    <x v="52"/>
    <x v="51"/>
    <x v="51"/>
    <x v="2"/>
    <s v="JA-15862"/>
    <s v="Jose Allen"/>
    <x v="2"/>
    <s v="United States"/>
    <x v="38"/>
    <x v="32"/>
    <x v="3"/>
    <s v="FUR-CH-106455"/>
    <x v="0"/>
    <x v="1"/>
    <s v="Nolan Leather Highback Chair, Pneumatic Adjustment"/>
    <n v="997.70450000000005"/>
    <n v="3"/>
    <n v="26.276"/>
    <x v="3"/>
    <x v="6"/>
  </r>
  <r>
    <x v="53"/>
    <x v="52"/>
    <x v="52"/>
    <x v="2"/>
    <s v="CB-19980"/>
    <s v="Christopher Bass"/>
    <x v="2"/>
    <s v="United States"/>
    <x v="39"/>
    <x v="33"/>
    <x v="3"/>
    <s v="FUR-FU-100853"/>
    <x v="0"/>
    <x v="0"/>
    <s v="Blaine Cubicle Wall Clock, Black"/>
    <n v="55.735300000000002"/>
    <n v="5"/>
    <n v="10.0228"/>
    <x v="1"/>
    <x v="8"/>
  </r>
  <r>
    <x v="54"/>
    <x v="53"/>
    <x v="53"/>
    <x v="1"/>
    <s v="MH-11052"/>
    <s v="Maria Henry"/>
    <x v="2"/>
    <s v="United States"/>
    <x v="40"/>
    <x v="15"/>
    <x v="1"/>
    <s v="FUR-CH-102091"/>
    <x v="0"/>
    <x v="1"/>
    <s v="Vantage Swivel Task Chair, Blue"/>
    <n v="1430.6794"/>
    <n v="1"/>
    <n v="381.20319999999998"/>
    <x v="1"/>
    <x v="5"/>
  </r>
  <r>
    <x v="55"/>
    <x v="54"/>
    <x v="54"/>
    <x v="2"/>
    <s v="KL-18375"/>
    <s v="Kiara Little"/>
    <x v="2"/>
    <s v="United States"/>
    <x v="41"/>
    <x v="27"/>
    <x v="0"/>
    <s v="FUR-FU-104558"/>
    <x v="0"/>
    <x v="0"/>
    <s v="Lambert Swing Arm Desk Lamp"/>
    <n v="56.358600000000003"/>
    <n v="4"/>
    <n v="6.1684999999999999"/>
    <x v="0"/>
    <x v="2"/>
  </r>
  <r>
    <x v="56"/>
    <x v="55"/>
    <x v="55"/>
    <x v="2"/>
    <s v="JR-20438"/>
    <s v="Jason Rhodes"/>
    <x v="0"/>
    <s v="United States"/>
    <x v="29"/>
    <x v="13"/>
    <x v="3"/>
    <s v="FUR-CH-108751"/>
    <x v="0"/>
    <x v="1"/>
    <s v="Prescott Ergonomic Chair with Lumbar Support"/>
    <n v="470.35039999999998"/>
    <n v="2"/>
    <n v="150.48740000000001"/>
    <x v="3"/>
    <x v="3"/>
  </r>
  <r>
    <x v="57"/>
    <x v="56"/>
    <x v="56"/>
    <x v="0"/>
    <s v="DP-18689"/>
    <s v="Dr. Hannah Patterson"/>
    <x v="0"/>
    <s v="United States"/>
    <x v="42"/>
    <x v="11"/>
    <x v="2"/>
    <s v="FUR-TA-106211"/>
    <x v="0"/>
    <x v="3"/>
    <s v="Grantham Half-Moon Meeting Table"/>
    <n v="324.30599999999998"/>
    <n v="2"/>
    <n v="-67.087900000000005"/>
    <x v="7"/>
    <x v="2"/>
  </r>
  <r>
    <x v="58"/>
    <x v="57"/>
    <x v="57"/>
    <x v="2"/>
    <s v="TJ-21062"/>
    <s v="Theodore Jones Jr."/>
    <x v="2"/>
    <s v="United States"/>
    <x v="25"/>
    <x v="24"/>
    <x v="1"/>
    <s v="FUR-FU-106211"/>
    <x v="0"/>
    <x v="0"/>
    <s v="Aurora Brushed Chrome Wall Clock, 14in"/>
    <n v="140.66319999999999"/>
    <n v="4"/>
    <n v="-6.5984999999999996"/>
    <x v="7"/>
    <x v="8"/>
  </r>
  <r>
    <x v="59"/>
    <x v="58"/>
    <x v="58"/>
    <x v="2"/>
    <s v="SJ-11612"/>
    <s v="Shannon James"/>
    <x v="2"/>
    <s v="United States"/>
    <x v="43"/>
    <x v="7"/>
    <x v="2"/>
    <s v="FUR-TA-104262"/>
    <x v="0"/>
    <x v="3"/>
    <s v="Thorne End Table, 20-1/2H x 24W x 20D"/>
    <n v="950.15089999999998"/>
    <n v="4"/>
    <n v="-311.1207"/>
    <x v="3"/>
    <x v="11"/>
  </r>
  <r>
    <x v="60"/>
    <x v="59"/>
    <x v="59"/>
    <x v="2"/>
    <s v="DS-16912"/>
    <s v="David Smith"/>
    <x v="1"/>
    <s v="United States"/>
    <x v="44"/>
    <x v="19"/>
    <x v="2"/>
    <s v="FUR-FU-106211"/>
    <x v="0"/>
    <x v="0"/>
    <s v="Aurora Brushed Chrome Wall Clock, 14in"/>
    <n v="50.9236"/>
    <n v="3"/>
    <n v="-2.9923000000000002"/>
    <x v="5"/>
    <x v="8"/>
  </r>
  <r>
    <x v="61"/>
    <x v="60"/>
    <x v="60"/>
    <x v="2"/>
    <s v="RM-21959"/>
    <s v="Rodney Morales"/>
    <x v="1"/>
    <s v="United States"/>
    <x v="45"/>
    <x v="34"/>
    <x v="1"/>
    <s v="FUR-CH-100441"/>
    <x v="0"/>
    <x v="1"/>
    <s v="Dalton Folding Chair, 4/Carton"/>
    <n v="996.66200000000003"/>
    <n v="7"/>
    <n v="-37.5441"/>
    <x v="6"/>
    <x v="5"/>
  </r>
  <r>
    <x v="62"/>
    <x v="61"/>
    <x v="61"/>
    <x v="1"/>
    <s v="AS-18785"/>
    <s v="Allison Spencer"/>
    <x v="1"/>
    <s v="United States"/>
    <x v="3"/>
    <x v="3"/>
    <x v="1"/>
    <s v="FUR-TA-102223"/>
    <x v="0"/>
    <x v="3"/>
    <s v="Marchetti Round Conference Table, X-Base"/>
    <n v="1339.7111"/>
    <n v="3"/>
    <n v="-224.1825"/>
    <x v="7"/>
    <x v="2"/>
  </r>
  <r>
    <x v="63"/>
    <x v="62"/>
    <x v="62"/>
    <x v="2"/>
    <s v="JS-17238"/>
    <s v="Jeremy Scott"/>
    <x v="2"/>
    <s v="United States"/>
    <x v="46"/>
    <x v="28"/>
    <x v="2"/>
    <s v="FUR-FU-108837"/>
    <x v="0"/>
    <x v="0"/>
    <s v="Ivanhoe Poster Frame, Aluminum"/>
    <n v="133.75470000000001"/>
    <n v="3"/>
    <n v="-5.6081000000000003"/>
    <x v="4"/>
    <x v="11"/>
  </r>
  <r>
    <x v="64"/>
    <x v="63"/>
    <x v="63"/>
    <x v="2"/>
    <s v="MM-18751"/>
    <s v="Matthew Mcmillan"/>
    <x v="2"/>
    <s v="United States"/>
    <x v="47"/>
    <x v="25"/>
    <x v="3"/>
    <s v="FUR-CH-108751"/>
    <x v="0"/>
    <x v="1"/>
    <s v="Prescott Ergonomic Chair with Lumbar Support"/>
    <n v="402.07409999999999"/>
    <n v="4"/>
    <n v="-161.97640000000001"/>
    <x v="0"/>
    <x v="4"/>
  </r>
  <r>
    <x v="65"/>
    <x v="64"/>
    <x v="64"/>
    <x v="1"/>
    <s v="JC-12927"/>
    <s v="Joshua Cooke"/>
    <x v="2"/>
    <s v="United States"/>
    <x v="48"/>
    <x v="35"/>
    <x v="3"/>
    <s v="FUR-FU-103673"/>
    <x v="0"/>
    <x v="0"/>
    <s v="Corcoran Document Holder, Wood"/>
    <n v="31.824999999999999"/>
    <n v="6"/>
    <n v="-6.9059999999999997"/>
    <x v="0"/>
    <x v="1"/>
  </r>
  <r>
    <x v="66"/>
    <x v="65"/>
    <x v="65"/>
    <x v="0"/>
    <s v="MM-10525"/>
    <s v="Marc Moore"/>
    <x v="2"/>
    <s v="United States"/>
    <x v="49"/>
    <x v="36"/>
    <x v="0"/>
    <s v="FUR-FU-108837"/>
    <x v="0"/>
    <x v="0"/>
    <s v="Ivanhoe Poster Frame, Aluminum"/>
    <n v="103.78230000000001"/>
    <n v="4"/>
    <n v="-7.0305999999999997"/>
    <x v="7"/>
    <x v="11"/>
  </r>
  <r>
    <x v="67"/>
    <x v="66"/>
    <x v="66"/>
    <x v="2"/>
    <s v="AL-19569"/>
    <s v="Alicia Li"/>
    <x v="0"/>
    <s v="United States"/>
    <x v="40"/>
    <x v="15"/>
    <x v="1"/>
    <s v="FUR-FU-101341"/>
    <x v="0"/>
    <x v="0"/>
    <s v="Griswold Chairmats for Medium Pile Carpet"/>
    <n v="51.607399999999998"/>
    <n v="1"/>
    <n v="34.738500000000002"/>
    <x v="0"/>
    <x v="0"/>
  </r>
  <r>
    <x v="68"/>
    <x v="67"/>
    <x v="67"/>
    <x v="2"/>
    <s v="PC-16868"/>
    <s v="Parker Cain"/>
    <x v="2"/>
    <s v="United States"/>
    <x v="50"/>
    <x v="21"/>
    <x v="1"/>
    <s v="FUR-BO-108818"/>
    <x v="0"/>
    <x v="2"/>
    <s v="Meridian Glass-Door Bookcase, Espresso Finish"/>
    <n v="139.08760000000001"/>
    <n v="3"/>
    <n v="23.148199999999999"/>
    <x v="4"/>
    <x v="6"/>
  </r>
  <r>
    <x v="68"/>
    <x v="67"/>
    <x v="67"/>
    <x v="2"/>
    <s v="PC-16868"/>
    <s v="Parker Cain"/>
    <x v="2"/>
    <s v="United States"/>
    <x v="50"/>
    <x v="21"/>
    <x v="1"/>
    <s v="FUR-FU-100853"/>
    <x v="0"/>
    <x v="0"/>
    <s v="Blaine Cubicle Wall Clock, Black"/>
    <n v="233.27440000000001"/>
    <n v="2"/>
    <n v="47.389000000000003"/>
    <x v="4"/>
    <x v="6"/>
  </r>
  <r>
    <x v="69"/>
    <x v="35"/>
    <x v="68"/>
    <x v="2"/>
    <s v="TR-20794"/>
    <s v="Tanya Russell"/>
    <x v="1"/>
    <s v="United States"/>
    <x v="21"/>
    <x v="18"/>
    <x v="3"/>
    <s v="FUR-FU-108837"/>
    <x v="0"/>
    <x v="0"/>
    <s v="Ivanhoe Poster Frame, Aluminum"/>
    <n v="30.983899999999998"/>
    <n v="4"/>
    <n v="15.1296"/>
    <x v="6"/>
    <x v="5"/>
  </r>
  <r>
    <x v="70"/>
    <x v="68"/>
    <x v="69"/>
    <x v="0"/>
    <s v="SS-11169"/>
    <s v="Shirley Suarez"/>
    <x v="2"/>
    <s v="United States"/>
    <x v="51"/>
    <x v="37"/>
    <x v="0"/>
    <s v="FUR-FU-107705"/>
    <x v="0"/>
    <x v="0"/>
    <s v="Hawthorne Desk Accessory Set, Oak"/>
    <n v="30.767700000000001"/>
    <n v="2"/>
    <n v="16.923300000000001"/>
    <x v="5"/>
    <x v="3"/>
  </r>
  <r>
    <x v="71"/>
    <x v="69"/>
    <x v="70"/>
    <x v="2"/>
    <s v="JC-14669"/>
    <s v="Jennifer Collins"/>
    <x v="2"/>
    <s v="United States"/>
    <x v="14"/>
    <x v="15"/>
    <x v="1"/>
    <s v="FUR-BO-100475"/>
    <x v="0"/>
    <x v="2"/>
    <s v="Overton 3-Shelf Corner Bookcase"/>
    <n v="423.06509999999997"/>
    <n v="7"/>
    <n v="-53.620899999999999"/>
    <x v="4"/>
    <x v="5"/>
  </r>
  <r>
    <x v="72"/>
    <x v="70"/>
    <x v="71"/>
    <x v="2"/>
    <s v="DD-19355"/>
    <s v="Denise Davenport"/>
    <x v="1"/>
    <s v="United States"/>
    <x v="35"/>
    <x v="30"/>
    <x v="0"/>
    <s v="FUR-CH-100444"/>
    <x v="0"/>
    <x v="1"/>
    <s v="Harborview Mesh Task Chair, Adjustable Arms"/>
    <n v="368.73039999999997"/>
    <n v="2"/>
    <n v="25.068999999999999"/>
    <x v="1"/>
    <x v="1"/>
  </r>
  <r>
    <x v="72"/>
    <x v="70"/>
    <x v="71"/>
    <x v="2"/>
    <s v="DD-19355"/>
    <s v="Denise Davenport"/>
    <x v="1"/>
    <s v="United States"/>
    <x v="35"/>
    <x v="30"/>
    <x v="0"/>
    <s v="FUR-FU-100317"/>
    <x v="0"/>
    <x v="0"/>
    <s v="Nomad Floor Lamp, Telescoping Adjustable"/>
    <n v="74.411500000000004"/>
    <n v="2"/>
    <n v="21.564900000000002"/>
    <x v="1"/>
    <x v="1"/>
  </r>
  <r>
    <x v="73"/>
    <x v="71"/>
    <x v="72"/>
    <x v="0"/>
    <s v="AH-17454"/>
    <s v="Ashley Hall"/>
    <x v="1"/>
    <s v="United States"/>
    <x v="52"/>
    <x v="38"/>
    <x v="1"/>
    <s v="FUR-BO-103613"/>
    <x v="0"/>
    <x v="2"/>
    <s v="Winslow Corner Bookcase, White"/>
    <n v="340.41899999999998"/>
    <n v="1"/>
    <n v="-102.1678"/>
    <x v="5"/>
    <x v="10"/>
  </r>
  <r>
    <x v="74"/>
    <x v="72"/>
    <x v="73"/>
    <x v="3"/>
    <s v="TJ-21062"/>
    <s v="Theodore Jones Jr."/>
    <x v="0"/>
    <s v="United States"/>
    <x v="53"/>
    <x v="22"/>
    <x v="2"/>
    <s v="FUR-CH-106624"/>
    <x v="0"/>
    <x v="1"/>
    <s v="Adler Fabric Manager's Chair, Slate Gray"/>
    <n v="448.08179999999999"/>
    <n v="3"/>
    <n v="93.595100000000002"/>
    <x v="7"/>
    <x v="7"/>
  </r>
  <r>
    <x v="75"/>
    <x v="73"/>
    <x v="74"/>
    <x v="2"/>
    <s v="JH-11320"/>
    <s v="Joseph Howard"/>
    <x v="2"/>
    <s v="United States"/>
    <x v="54"/>
    <x v="1"/>
    <x v="0"/>
    <s v="FUR-FU-106906"/>
    <x v="0"/>
    <x v="0"/>
    <s v="Cobalt LED Magnifier Lamp with Clamp Base"/>
    <n v="55.334000000000003"/>
    <n v="10"/>
    <n v="14.600899999999999"/>
    <x v="1"/>
    <x v="4"/>
  </r>
  <r>
    <x v="75"/>
    <x v="73"/>
    <x v="74"/>
    <x v="2"/>
    <s v="JH-11320"/>
    <s v="Joseph Howard"/>
    <x v="2"/>
    <s v="United States"/>
    <x v="54"/>
    <x v="1"/>
    <x v="0"/>
    <s v="FUR-FU-106211"/>
    <x v="0"/>
    <x v="0"/>
    <s v="Aurora Brushed Chrome Wall Clock, 14in"/>
    <n v="561.19240000000002"/>
    <n v="2"/>
    <n v="61.013100000000001"/>
    <x v="1"/>
    <x v="4"/>
  </r>
  <r>
    <x v="76"/>
    <x v="74"/>
    <x v="75"/>
    <x v="0"/>
    <s v="CM-16812"/>
    <s v="Crystal Mann"/>
    <x v="1"/>
    <s v="United States"/>
    <x v="55"/>
    <x v="12"/>
    <x v="2"/>
    <s v="FUR-CH-106455"/>
    <x v="0"/>
    <x v="1"/>
    <s v="Nolan Leather Highback Chair, Pneumatic Adjustment"/>
    <n v="850.80150000000003"/>
    <n v="1"/>
    <n v="249.01410000000001"/>
    <x v="5"/>
    <x v="6"/>
  </r>
  <r>
    <x v="77"/>
    <x v="75"/>
    <x v="76"/>
    <x v="0"/>
    <s v="MJ-13388"/>
    <s v="Mary Jensen"/>
    <x v="0"/>
    <s v="United States"/>
    <x v="56"/>
    <x v="7"/>
    <x v="2"/>
    <s v="FUR-FU-104133"/>
    <x v="0"/>
    <x v="0"/>
    <s v="Preston Wood Photo Frame, Mahogany"/>
    <n v="4.9981"/>
    <n v="2"/>
    <n v="-2.1581999999999999"/>
    <x v="3"/>
    <x v="5"/>
  </r>
  <r>
    <x v="78"/>
    <x v="76"/>
    <x v="77"/>
    <x v="0"/>
    <s v="SM-12167"/>
    <s v="Susan Murray MD"/>
    <x v="2"/>
    <s v="United States"/>
    <x v="5"/>
    <x v="5"/>
    <x v="2"/>
    <s v="FUR-CH-102704"/>
    <x v="0"/>
    <x v="1"/>
    <s v="Brookline High-Back Executive Chair, Black Leather"/>
    <n v="504.18169999999998"/>
    <n v="4"/>
    <n v="172.95519999999999"/>
    <x v="3"/>
    <x v="8"/>
  </r>
  <r>
    <x v="78"/>
    <x v="76"/>
    <x v="77"/>
    <x v="0"/>
    <s v="SM-12167"/>
    <s v="Susan Murray MD"/>
    <x v="2"/>
    <s v="United States"/>
    <x v="5"/>
    <x v="5"/>
    <x v="2"/>
    <s v="FUR-CH-109697"/>
    <x v="0"/>
    <x v="1"/>
    <s v="Rowan Mid-Back Tilter Chair"/>
    <n v="120.1288"/>
    <n v="8"/>
    <n v="7.3429000000000002"/>
    <x v="3"/>
    <x v="8"/>
  </r>
  <r>
    <x v="79"/>
    <x v="77"/>
    <x v="78"/>
    <x v="1"/>
    <s v="CW-12677"/>
    <s v="Christina Walters"/>
    <x v="0"/>
    <s v="United States"/>
    <x v="57"/>
    <x v="0"/>
    <x v="0"/>
    <s v="FUR-CH-108751"/>
    <x v="0"/>
    <x v="1"/>
    <s v="Prescott Ergonomic Chair with Lumbar Support"/>
    <n v="291.0179"/>
    <n v="4"/>
    <n v="-62.651299999999999"/>
    <x v="7"/>
    <x v="11"/>
  </r>
  <r>
    <x v="80"/>
    <x v="78"/>
    <x v="79"/>
    <x v="1"/>
    <s v="PJ-21498"/>
    <s v="Paul Jones"/>
    <x v="2"/>
    <s v="United States"/>
    <x v="58"/>
    <x v="32"/>
    <x v="3"/>
    <s v="FUR-CH-105507"/>
    <x v="0"/>
    <x v="1"/>
    <s v="Kingsley Mesh-Back Task Chair"/>
    <n v="335.73410000000001"/>
    <n v="6"/>
    <n v="17.3475"/>
    <x v="1"/>
    <x v="6"/>
  </r>
  <r>
    <x v="81"/>
    <x v="79"/>
    <x v="80"/>
    <x v="2"/>
    <s v="PR-21149"/>
    <s v="Patricia Rodriguez"/>
    <x v="1"/>
    <s v="United States"/>
    <x v="43"/>
    <x v="7"/>
    <x v="2"/>
    <s v="FUR-CH-102704"/>
    <x v="0"/>
    <x v="1"/>
    <s v="Brookline High-Back Executive Chair, Black Leather"/>
    <n v="353.06740000000002"/>
    <n v="4"/>
    <n v="57.4208"/>
    <x v="0"/>
    <x v="0"/>
  </r>
  <r>
    <x v="82"/>
    <x v="80"/>
    <x v="81"/>
    <x v="2"/>
    <s v="CJ-15155"/>
    <s v="Crystal Johnson"/>
    <x v="1"/>
    <s v="United States"/>
    <x v="59"/>
    <x v="39"/>
    <x v="0"/>
    <s v="FUR-FU-104558"/>
    <x v="0"/>
    <x v="0"/>
    <s v="Lambert Swing Arm Desk Lamp"/>
    <n v="52.4146"/>
    <n v="3"/>
    <n v="2.5207999999999999"/>
    <x v="2"/>
    <x v="7"/>
  </r>
  <r>
    <x v="83"/>
    <x v="81"/>
    <x v="82"/>
    <x v="2"/>
    <s v="ML-14011"/>
    <s v="Michael Lopez"/>
    <x v="1"/>
    <s v="United States"/>
    <x v="60"/>
    <x v="40"/>
    <x v="0"/>
    <s v="FUR-CH-100441"/>
    <x v="0"/>
    <x v="1"/>
    <s v="Dalton Folding Chair, 4/Carton"/>
    <n v="94.711299999999994"/>
    <n v="1"/>
    <n v="21.365200000000002"/>
    <x v="7"/>
    <x v="0"/>
  </r>
  <r>
    <x v="84"/>
    <x v="82"/>
    <x v="83"/>
    <x v="2"/>
    <s v="MV-21612"/>
    <s v="Morgan Valencia"/>
    <x v="0"/>
    <s v="United States"/>
    <x v="48"/>
    <x v="35"/>
    <x v="3"/>
    <s v="FUR-CH-108751"/>
    <x v="0"/>
    <x v="1"/>
    <s v="Prescott Ergonomic Chair with Lumbar Support"/>
    <n v="100.1079"/>
    <n v="6"/>
    <n v="14.658799999999999"/>
    <x v="6"/>
    <x v="7"/>
  </r>
  <r>
    <x v="85"/>
    <x v="83"/>
    <x v="84"/>
    <x v="0"/>
    <s v="KL-15183"/>
    <s v="Kenneth Lewis"/>
    <x v="1"/>
    <s v="United States"/>
    <x v="61"/>
    <x v="10"/>
    <x v="1"/>
    <s v="FUR-FU-107705"/>
    <x v="0"/>
    <x v="0"/>
    <s v="Hawthorne Desk Accessory Set, Oak"/>
    <n v="499.3467"/>
    <n v="3"/>
    <n v="303.29259999999999"/>
    <x v="7"/>
    <x v="9"/>
  </r>
  <r>
    <x v="86"/>
    <x v="84"/>
    <x v="85"/>
    <x v="3"/>
    <s v="PC-16868"/>
    <s v="Parker Cain"/>
    <x v="1"/>
    <s v="United States"/>
    <x v="57"/>
    <x v="0"/>
    <x v="0"/>
    <s v="FUR-CH-102704"/>
    <x v="0"/>
    <x v="1"/>
    <s v="Brookline High-Back Executive Chair, Black Leather"/>
    <n v="2144.3121000000001"/>
    <n v="8"/>
    <n v="-417.07619999999997"/>
    <x v="7"/>
    <x v="11"/>
  </r>
  <r>
    <x v="87"/>
    <x v="42"/>
    <x v="86"/>
    <x v="2"/>
    <s v="CG-14552"/>
    <s v="Cassandra Gaines"/>
    <x v="2"/>
    <s v="United States"/>
    <x v="62"/>
    <x v="25"/>
    <x v="3"/>
    <s v="FUR-FU-100853"/>
    <x v="0"/>
    <x v="0"/>
    <s v="Blaine Cubicle Wall Clock, Black"/>
    <n v="38.720599999999997"/>
    <n v="7"/>
    <n v="15.6953"/>
    <x v="3"/>
    <x v="8"/>
  </r>
  <r>
    <x v="88"/>
    <x v="85"/>
    <x v="87"/>
    <x v="1"/>
    <s v="CG-14552"/>
    <s v="Cassandra Gaines"/>
    <x v="1"/>
    <s v="United States"/>
    <x v="63"/>
    <x v="39"/>
    <x v="0"/>
    <s v="FUR-CH-106624"/>
    <x v="0"/>
    <x v="1"/>
    <s v="Adler Fabric Manager's Chair, Slate Gray"/>
    <n v="912.48850000000004"/>
    <n v="1"/>
    <n v="292.21269999999998"/>
    <x v="7"/>
    <x v="0"/>
  </r>
  <r>
    <x v="88"/>
    <x v="85"/>
    <x v="87"/>
    <x v="1"/>
    <s v="CG-14552"/>
    <s v="Cassandra Gaines"/>
    <x v="1"/>
    <s v="United States"/>
    <x v="63"/>
    <x v="39"/>
    <x v="0"/>
    <s v="FUR-FU-100317"/>
    <x v="0"/>
    <x v="0"/>
    <s v="Nomad Floor Lamp, Telescoping Adjustable"/>
    <n v="44.794800000000002"/>
    <n v="4"/>
    <n v="-22.812200000000001"/>
    <x v="7"/>
    <x v="0"/>
  </r>
  <r>
    <x v="89"/>
    <x v="86"/>
    <x v="88"/>
    <x v="2"/>
    <s v="DC-16054"/>
    <s v="Dana Chapman"/>
    <x v="2"/>
    <s v="United States"/>
    <x v="64"/>
    <x v="29"/>
    <x v="0"/>
    <s v="FUR-FU-104558"/>
    <x v="0"/>
    <x v="0"/>
    <s v="Lambert Swing Arm Desk Lamp"/>
    <n v="314.52089999999998"/>
    <n v="1"/>
    <n v="43.273200000000003"/>
    <x v="3"/>
    <x v="1"/>
  </r>
  <r>
    <x v="90"/>
    <x v="87"/>
    <x v="59"/>
    <x v="0"/>
    <s v="LR-20926"/>
    <s v="Larry Robertson"/>
    <x v="2"/>
    <s v="United States"/>
    <x v="65"/>
    <x v="41"/>
    <x v="3"/>
    <s v="FUR-FU-106906"/>
    <x v="0"/>
    <x v="0"/>
    <s v="Cobalt LED Magnifier Lamp with Clamp Base"/>
    <n v="125.5197"/>
    <n v="3"/>
    <n v="-44.861699999999999"/>
    <x v="1"/>
    <x v="8"/>
  </r>
  <r>
    <x v="91"/>
    <x v="63"/>
    <x v="89"/>
    <x v="2"/>
    <s v="RD-11343"/>
    <s v="Ronald Davis"/>
    <x v="2"/>
    <s v="United States"/>
    <x v="4"/>
    <x v="4"/>
    <x v="1"/>
    <s v="FUR-FU-107705"/>
    <x v="0"/>
    <x v="0"/>
    <s v="Hawthorne Desk Accessory Set, Oak"/>
    <n v="5.3193999999999999"/>
    <n v="3"/>
    <n v="0.55920000000000003"/>
    <x v="7"/>
    <x v="4"/>
  </r>
  <r>
    <x v="92"/>
    <x v="88"/>
    <x v="90"/>
    <x v="2"/>
    <s v="JF-14557"/>
    <s v="James Ferrell"/>
    <x v="2"/>
    <s v="United States"/>
    <x v="66"/>
    <x v="23"/>
    <x v="2"/>
    <s v="FUR-FU-106211"/>
    <x v="0"/>
    <x v="0"/>
    <s v="Aurora Brushed Chrome Wall Clock, 14in"/>
    <n v="47.9557"/>
    <n v="2"/>
    <n v="13.825699999999999"/>
    <x v="4"/>
    <x v="4"/>
  </r>
  <r>
    <x v="93"/>
    <x v="89"/>
    <x v="91"/>
    <x v="0"/>
    <s v="MA-16883"/>
    <s v="Mr. Aaron Arnold"/>
    <x v="2"/>
    <s v="United States"/>
    <x v="67"/>
    <x v="24"/>
    <x v="1"/>
    <s v="FUR-CH-108751"/>
    <x v="0"/>
    <x v="1"/>
    <s v="Prescott Ergonomic Chair with Lumbar Support"/>
    <n v="350.90890000000002"/>
    <n v="5"/>
    <n v="-13.897600000000001"/>
    <x v="3"/>
    <x v="8"/>
  </r>
  <r>
    <x v="94"/>
    <x v="90"/>
    <x v="92"/>
    <x v="2"/>
    <s v="KD-18834"/>
    <s v="Kristen Davis"/>
    <x v="0"/>
    <s v="United States"/>
    <x v="68"/>
    <x v="33"/>
    <x v="3"/>
    <s v="FUR-CH-102091"/>
    <x v="0"/>
    <x v="1"/>
    <s v="Vantage Swivel Task Chair, Blue"/>
    <n v="246.77680000000001"/>
    <n v="2"/>
    <n v="-17.258800000000001"/>
    <x v="2"/>
    <x v="0"/>
  </r>
  <r>
    <x v="94"/>
    <x v="90"/>
    <x v="92"/>
    <x v="2"/>
    <s v="KD-18834"/>
    <s v="Kristen Davis"/>
    <x v="0"/>
    <s v="United States"/>
    <x v="68"/>
    <x v="33"/>
    <x v="3"/>
    <s v="FUR-FU-104133"/>
    <x v="0"/>
    <x v="0"/>
    <s v="Preston Wood Photo Frame, Mahogany"/>
    <n v="46.305300000000003"/>
    <n v="2"/>
    <n v="7.3738000000000001"/>
    <x v="2"/>
    <x v="0"/>
  </r>
  <r>
    <x v="95"/>
    <x v="91"/>
    <x v="93"/>
    <x v="2"/>
    <s v="MI-16528"/>
    <s v="Mr. Justin Green III"/>
    <x v="2"/>
    <s v="United States"/>
    <x v="0"/>
    <x v="0"/>
    <x v="0"/>
    <s v="FUR-FU-107705"/>
    <x v="0"/>
    <x v="0"/>
    <s v="Hawthorne Desk Accessory Set, Oak"/>
    <n v="4.194"/>
    <n v="3"/>
    <n v="0.64859999999999995"/>
    <x v="6"/>
    <x v="9"/>
  </r>
  <r>
    <x v="95"/>
    <x v="91"/>
    <x v="93"/>
    <x v="2"/>
    <s v="MI-16528"/>
    <s v="Mr. Justin Green III"/>
    <x v="2"/>
    <s v="United States"/>
    <x v="0"/>
    <x v="0"/>
    <x v="0"/>
    <s v="FUR-FU-101124"/>
    <x v="0"/>
    <x v="0"/>
    <s v="Rutledge Desk Organizer Tray, Letter Size"/>
    <n v="24.071899999999999"/>
    <n v="4"/>
    <n v="9.5663"/>
    <x v="6"/>
    <x v="9"/>
  </r>
  <r>
    <x v="95"/>
    <x v="91"/>
    <x v="93"/>
    <x v="2"/>
    <s v="MI-16528"/>
    <s v="Mr. Justin Green III"/>
    <x v="2"/>
    <s v="United States"/>
    <x v="0"/>
    <x v="0"/>
    <x v="0"/>
    <s v="FUR-BO-107140"/>
    <x v="0"/>
    <x v="2"/>
    <s v="Delacroix Lawyers Bookcase, Cherry Finish"/>
    <n v="170.0187"/>
    <n v="2"/>
    <n v="26.427900000000001"/>
    <x v="6"/>
    <x v="9"/>
  </r>
  <r>
    <x v="95"/>
    <x v="91"/>
    <x v="93"/>
    <x v="2"/>
    <s v="MI-16528"/>
    <s v="Mr. Justin Green III"/>
    <x v="2"/>
    <s v="United States"/>
    <x v="0"/>
    <x v="0"/>
    <x v="0"/>
    <s v="FUR-CH-102091"/>
    <x v="0"/>
    <x v="1"/>
    <s v="Vantage Swivel Task Chair, Blue"/>
    <n v="292.80189999999999"/>
    <n v="1"/>
    <n v="-25.8139"/>
    <x v="6"/>
    <x v="9"/>
  </r>
  <r>
    <x v="96"/>
    <x v="92"/>
    <x v="94"/>
    <x v="2"/>
    <s v="AH-15147"/>
    <s v="Allison Hickman"/>
    <x v="2"/>
    <s v="United States"/>
    <x v="62"/>
    <x v="25"/>
    <x v="3"/>
    <s v="FUR-FU-107705"/>
    <x v="0"/>
    <x v="0"/>
    <s v="Hawthorne Desk Accessory Set, Oak"/>
    <n v="4.6355000000000004"/>
    <n v="5"/>
    <n v="-0.71560000000000001"/>
    <x v="6"/>
    <x v="4"/>
  </r>
  <r>
    <x v="97"/>
    <x v="93"/>
    <x v="95"/>
    <x v="3"/>
    <s v="AK-12417"/>
    <s v="Amy Kelley"/>
    <x v="0"/>
    <s v="United States"/>
    <x v="27"/>
    <x v="26"/>
    <x v="3"/>
    <s v="FUR-TA-106211"/>
    <x v="0"/>
    <x v="3"/>
    <s v="Grantham Half-Moon Meeting Table"/>
    <n v="4300"/>
    <n v="6"/>
    <n v="1857.9772"/>
    <x v="7"/>
    <x v="0"/>
  </r>
  <r>
    <x v="98"/>
    <x v="94"/>
    <x v="96"/>
    <x v="0"/>
    <s v="CF-17019"/>
    <s v="Cameron Fisher"/>
    <x v="0"/>
    <s v="United States"/>
    <x v="17"/>
    <x v="18"/>
    <x v="3"/>
    <s v="FUR-FU-100853"/>
    <x v="0"/>
    <x v="0"/>
    <s v="Blaine Cubicle Wall Clock, Black"/>
    <n v="3.4613"/>
    <n v="2"/>
    <n v="-0.44779999999999998"/>
    <x v="1"/>
    <x v="1"/>
  </r>
  <r>
    <x v="99"/>
    <x v="95"/>
    <x v="97"/>
    <x v="2"/>
    <s v="MM-13593"/>
    <s v="Mary Marshall"/>
    <x v="2"/>
    <s v="United States"/>
    <x v="69"/>
    <x v="41"/>
    <x v="3"/>
    <s v="FUR-FU-104133"/>
    <x v="0"/>
    <x v="0"/>
    <s v="Preston Wood Photo Frame, Mahogany"/>
    <n v="25.526399999999999"/>
    <n v="2"/>
    <n v="5.2958999999999996"/>
    <x v="1"/>
    <x v="0"/>
  </r>
  <r>
    <x v="100"/>
    <x v="96"/>
    <x v="98"/>
    <x v="0"/>
    <s v="KD-13432"/>
    <s v="Kelly Donovan"/>
    <x v="2"/>
    <s v="United States"/>
    <x v="70"/>
    <x v="38"/>
    <x v="1"/>
    <s v="FUR-CH-109246"/>
    <x v="0"/>
    <x v="1"/>
    <s v="Beckett Steno Chair, Gray"/>
    <n v="804.43219999999997"/>
    <n v="6"/>
    <n v="207.12620000000001"/>
    <x v="7"/>
    <x v="2"/>
  </r>
  <r>
    <x v="101"/>
    <x v="97"/>
    <x v="99"/>
    <x v="1"/>
    <s v="ZM-15502"/>
    <s v="Zachary Mendoza"/>
    <x v="1"/>
    <s v="United States"/>
    <x v="71"/>
    <x v="4"/>
    <x v="1"/>
    <s v="FUR-FU-105733"/>
    <x v="0"/>
    <x v="0"/>
    <s v="Sable Halogen Replacement Bulb, 2-Pack"/>
    <n v="56.757899999999999"/>
    <n v="2"/>
    <n v="0.55900000000000005"/>
    <x v="7"/>
    <x v="4"/>
  </r>
  <r>
    <x v="102"/>
    <x v="98"/>
    <x v="100"/>
    <x v="0"/>
    <s v="TB-15279"/>
    <s v="Tina Ballard"/>
    <x v="2"/>
    <s v="United States"/>
    <x v="17"/>
    <x v="18"/>
    <x v="3"/>
    <s v="FUR-FU-103673"/>
    <x v="0"/>
    <x v="0"/>
    <s v="Corcoran Document Holder, Wood"/>
    <n v="298.7595"/>
    <n v="2"/>
    <n v="-17.483599999999999"/>
    <x v="1"/>
    <x v="9"/>
  </r>
  <r>
    <x v="103"/>
    <x v="99"/>
    <x v="101"/>
    <x v="2"/>
    <s v="JA-15862"/>
    <s v="Jose Allen"/>
    <x v="2"/>
    <s v="United States"/>
    <x v="37"/>
    <x v="14"/>
    <x v="3"/>
    <s v="FUR-FU-107705"/>
    <x v="0"/>
    <x v="0"/>
    <s v="Hawthorne Desk Accessory Set, Oak"/>
    <n v="144.8509"/>
    <n v="8"/>
    <n v="21.772099999999998"/>
    <x v="6"/>
    <x v="6"/>
  </r>
  <r>
    <x v="104"/>
    <x v="100"/>
    <x v="102"/>
    <x v="2"/>
    <s v="AR-14905"/>
    <s v="Anthony Romero"/>
    <x v="2"/>
    <s v="United States"/>
    <x v="72"/>
    <x v="6"/>
    <x v="1"/>
    <s v="FUR-CH-107657"/>
    <x v="0"/>
    <x v="1"/>
    <s v="Hollis Stacking Chair, Rounded Back"/>
    <n v="412.61869999999999"/>
    <n v="3"/>
    <n v="6.8522999999999996"/>
    <x v="5"/>
    <x v="11"/>
  </r>
  <r>
    <x v="105"/>
    <x v="101"/>
    <x v="103"/>
    <x v="2"/>
    <s v="DM-17527"/>
    <s v="Danny Morgan"/>
    <x v="2"/>
    <s v="United States"/>
    <x v="55"/>
    <x v="12"/>
    <x v="2"/>
    <s v="FUR-FU-101124"/>
    <x v="0"/>
    <x v="0"/>
    <s v="Rutledge Desk Organizer Tray, Letter Size"/>
    <n v="25.411999999999999"/>
    <n v="2"/>
    <n v="-2.7082999999999999"/>
    <x v="1"/>
    <x v="11"/>
  </r>
  <r>
    <x v="106"/>
    <x v="102"/>
    <x v="104"/>
    <x v="2"/>
    <s v="JJ-14808"/>
    <s v="Jeffrey Johnson"/>
    <x v="2"/>
    <s v="United States"/>
    <x v="56"/>
    <x v="7"/>
    <x v="2"/>
    <s v="FUR-TA-102977"/>
    <x v="0"/>
    <x v="3"/>
    <s v="Caldwell 44 x 96 Conference Table"/>
    <n v="304.01029999999997"/>
    <n v="5"/>
    <n v="14.193099999999999"/>
    <x v="0"/>
    <x v="11"/>
  </r>
  <r>
    <x v="106"/>
    <x v="102"/>
    <x v="104"/>
    <x v="2"/>
    <s v="JJ-14808"/>
    <s v="Jeffrey Johnson"/>
    <x v="2"/>
    <s v="United States"/>
    <x v="56"/>
    <x v="7"/>
    <x v="2"/>
    <s v="FUR-CH-108751"/>
    <x v="0"/>
    <x v="1"/>
    <s v="Prescott Ergonomic Chair with Lumbar Support"/>
    <n v="344.32209999999998"/>
    <n v="4"/>
    <n v="53.323799999999999"/>
    <x v="0"/>
    <x v="11"/>
  </r>
  <r>
    <x v="107"/>
    <x v="103"/>
    <x v="105"/>
    <x v="1"/>
    <s v="LA-17350"/>
    <s v="Lisa Allen"/>
    <x v="2"/>
    <s v="United States"/>
    <x v="46"/>
    <x v="28"/>
    <x v="2"/>
    <s v="FUR-CH-108751"/>
    <x v="0"/>
    <x v="1"/>
    <s v="Prescott Ergonomic Chair with Lumbar Support"/>
    <n v="567.3329"/>
    <n v="2"/>
    <n v="358.94959999999998"/>
    <x v="0"/>
    <x v="6"/>
  </r>
  <r>
    <x v="108"/>
    <x v="104"/>
    <x v="106"/>
    <x v="2"/>
    <s v="JP-15635"/>
    <s v="John Pierce"/>
    <x v="2"/>
    <s v="United States"/>
    <x v="73"/>
    <x v="30"/>
    <x v="0"/>
    <s v="FUR-FU-101341"/>
    <x v="0"/>
    <x v="0"/>
    <s v="Griswold Chairmats for Medium Pile Carpet"/>
    <n v="311.41070000000002"/>
    <n v="5"/>
    <n v="-26.9434"/>
    <x v="2"/>
    <x v="6"/>
  </r>
  <r>
    <x v="109"/>
    <x v="105"/>
    <x v="107"/>
    <x v="2"/>
    <s v="DJ-15930"/>
    <s v="Dustin Jordan"/>
    <x v="0"/>
    <s v="United States"/>
    <x v="23"/>
    <x v="5"/>
    <x v="2"/>
    <s v="FUR-CH-109697"/>
    <x v="0"/>
    <x v="1"/>
    <s v="Rowan Mid-Back Tilter Chair"/>
    <n v="193.12530000000001"/>
    <n v="1"/>
    <n v="-8.2710000000000008"/>
    <x v="4"/>
    <x v="9"/>
  </r>
  <r>
    <x v="110"/>
    <x v="106"/>
    <x v="108"/>
    <x v="2"/>
    <s v="JP-15635"/>
    <s v="John Pierce"/>
    <x v="2"/>
    <s v="United States"/>
    <x v="20"/>
    <x v="21"/>
    <x v="1"/>
    <s v="FUR-FU-106906"/>
    <x v="0"/>
    <x v="0"/>
    <s v="Cobalt LED Magnifier Lamp with Clamp Base"/>
    <n v="37.145600000000002"/>
    <n v="1"/>
    <n v="14.164400000000001"/>
    <x v="1"/>
    <x v="6"/>
  </r>
  <r>
    <x v="111"/>
    <x v="107"/>
    <x v="109"/>
    <x v="2"/>
    <s v="DL-13262"/>
    <s v="David Lopez"/>
    <x v="2"/>
    <s v="United States"/>
    <x v="55"/>
    <x v="12"/>
    <x v="2"/>
    <s v="FUR-FU-100317"/>
    <x v="0"/>
    <x v="0"/>
    <s v="Nomad Floor Lamp, Telescoping Adjustable"/>
    <n v="48.446399999999997"/>
    <n v="1"/>
    <n v="4.7203999999999997"/>
    <x v="7"/>
    <x v="1"/>
  </r>
  <r>
    <x v="112"/>
    <x v="108"/>
    <x v="110"/>
    <x v="0"/>
    <s v="SM-15763"/>
    <s v="Shannon Malone"/>
    <x v="1"/>
    <s v="United States"/>
    <x v="46"/>
    <x v="28"/>
    <x v="2"/>
    <s v="FUR-TA-105529"/>
    <x v="0"/>
    <x v="3"/>
    <s v="Fenwick Compact Office Desk"/>
    <n v="339.48320000000001"/>
    <n v="2"/>
    <n v="58.555900000000001"/>
    <x v="3"/>
    <x v="6"/>
  </r>
  <r>
    <x v="113"/>
    <x v="109"/>
    <x v="111"/>
    <x v="3"/>
    <s v="PB-14119"/>
    <s v="Pamela Boyd"/>
    <x v="0"/>
    <s v="United States"/>
    <x v="74"/>
    <x v="37"/>
    <x v="0"/>
    <s v="FUR-BO-107999"/>
    <x v="0"/>
    <x v="2"/>
    <s v="Braxton Barrister Bookcase, Mahogany"/>
    <n v="524.16309999999999"/>
    <n v="7"/>
    <n v="-312.65170000000001"/>
    <x v="7"/>
    <x v="9"/>
  </r>
  <r>
    <x v="114"/>
    <x v="110"/>
    <x v="57"/>
    <x v="1"/>
    <s v="MM-15617"/>
    <s v="Michael Mitchell"/>
    <x v="1"/>
    <s v="United States"/>
    <x v="44"/>
    <x v="19"/>
    <x v="2"/>
    <s v="FUR-FU-100853"/>
    <x v="0"/>
    <x v="0"/>
    <s v="Blaine Cubicle Wall Clock, Black"/>
    <n v="16.669599999999999"/>
    <n v="3"/>
    <n v="2.8140999999999998"/>
    <x v="1"/>
    <x v="8"/>
  </r>
  <r>
    <x v="115"/>
    <x v="111"/>
    <x v="112"/>
    <x v="2"/>
    <s v="JC-12267"/>
    <s v="Jose Crawford"/>
    <x v="2"/>
    <s v="United States"/>
    <x v="5"/>
    <x v="5"/>
    <x v="2"/>
    <s v="FUR-FU-101124"/>
    <x v="0"/>
    <x v="0"/>
    <s v="Rutledge Desk Organizer Tray, Letter Size"/>
    <n v="57.3386"/>
    <n v="3"/>
    <n v="6.0804999999999998"/>
    <x v="4"/>
    <x v="1"/>
  </r>
  <r>
    <x v="116"/>
    <x v="112"/>
    <x v="113"/>
    <x v="2"/>
    <s v="SM-16547"/>
    <s v="Shelley Miller"/>
    <x v="2"/>
    <s v="United States"/>
    <x v="75"/>
    <x v="39"/>
    <x v="0"/>
    <s v="FUR-FU-101124"/>
    <x v="0"/>
    <x v="0"/>
    <s v="Rutledge Desk Organizer Tray, Letter Size"/>
    <n v="59.0822"/>
    <n v="2"/>
    <n v="18.817599999999999"/>
    <x v="3"/>
    <x v="11"/>
  </r>
  <r>
    <x v="117"/>
    <x v="113"/>
    <x v="114"/>
    <x v="2"/>
    <s v="NB-21770"/>
    <s v="Natalie Bautista"/>
    <x v="2"/>
    <s v="United States"/>
    <x v="76"/>
    <x v="34"/>
    <x v="1"/>
    <s v="FUR-CH-108751"/>
    <x v="0"/>
    <x v="1"/>
    <s v="Prescott Ergonomic Chair with Lumbar Support"/>
    <n v="518.11300000000006"/>
    <n v="2"/>
    <n v="-266.92599999999999"/>
    <x v="2"/>
    <x v="2"/>
  </r>
  <r>
    <x v="117"/>
    <x v="113"/>
    <x v="114"/>
    <x v="2"/>
    <s v="NB-21770"/>
    <s v="Natalie Bautista"/>
    <x v="2"/>
    <s v="United States"/>
    <x v="76"/>
    <x v="34"/>
    <x v="1"/>
    <s v="FUR-FU-106906"/>
    <x v="0"/>
    <x v="0"/>
    <s v="Cobalt LED Magnifier Lamp with Clamp Base"/>
    <n v="77.604200000000006"/>
    <n v="3"/>
    <n v="33.081499999999998"/>
    <x v="2"/>
    <x v="2"/>
  </r>
  <r>
    <x v="118"/>
    <x v="114"/>
    <x v="115"/>
    <x v="0"/>
    <s v="RG-14092"/>
    <s v="Ryan Gonzalez"/>
    <x v="0"/>
    <s v="United States"/>
    <x v="38"/>
    <x v="32"/>
    <x v="3"/>
    <s v="FUR-FU-101341"/>
    <x v="0"/>
    <x v="0"/>
    <s v="Griswold Chairmats for Medium Pile Carpet"/>
    <n v="5.4943999999999997"/>
    <n v="2"/>
    <n v="2.5135999999999998"/>
    <x v="5"/>
    <x v="0"/>
  </r>
  <r>
    <x v="119"/>
    <x v="115"/>
    <x v="116"/>
    <x v="0"/>
    <s v="CH-20280"/>
    <s v="Cheyenne Horton"/>
    <x v="2"/>
    <s v="United States"/>
    <x v="7"/>
    <x v="9"/>
    <x v="0"/>
    <s v="FUR-CH-106624"/>
    <x v="0"/>
    <x v="1"/>
    <s v="Adler Fabric Manager's Chair, Slate Gray"/>
    <n v="180.35050000000001"/>
    <n v="1"/>
    <n v="15.3901"/>
    <x v="3"/>
    <x v="5"/>
  </r>
  <r>
    <x v="120"/>
    <x v="116"/>
    <x v="117"/>
    <x v="3"/>
    <s v="SP-20975"/>
    <s v="Steve Paul"/>
    <x v="2"/>
    <s v="United States"/>
    <x v="74"/>
    <x v="37"/>
    <x v="0"/>
    <s v="FUR-FU-108837"/>
    <x v="0"/>
    <x v="0"/>
    <s v="Ivanhoe Poster Frame, Aluminum"/>
    <n v="130.17609999999999"/>
    <n v="2"/>
    <n v="29.690899999999999"/>
    <x v="7"/>
    <x v="6"/>
  </r>
  <r>
    <x v="121"/>
    <x v="117"/>
    <x v="118"/>
    <x v="2"/>
    <s v="RG-14092"/>
    <s v="Ryan Gonzalez"/>
    <x v="2"/>
    <s v="United States"/>
    <x v="69"/>
    <x v="41"/>
    <x v="3"/>
    <s v="FUR-CH-102704"/>
    <x v="0"/>
    <x v="1"/>
    <s v="Brookline High-Back Executive Chair, Black Leather"/>
    <n v="104.9602"/>
    <n v="6"/>
    <n v="22.937200000000001"/>
    <x v="7"/>
    <x v="10"/>
  </r>
  <r>
    <x v="121"/>
    <x v="117"/>
    <x v="118"/>
    <x v="2"/>
    <s v="RG-14092"/>
    <s v="Ryan Gonzalez"/>
    <x v="2"/>
    <s v="United States"/>
    <x v="69"/>
    <x v="41"/>
    <x v="3"/>
    <s v="FUR-FU-106211"/>
    <x v="0"/>
    <x v="0"/>
    <s v="Aurora Brushed Chrome Wall Clock, 14in"/>
    <n v="206.47659999999999"/>
    <n v="5"/>
    <n v="34.4024"/>
    <x v="7"/>
    <x v="10"/>
  </r>
  <r>
    <x v="122"/>
    <x v="118"/>
    <x v="2"/>
    <x v="2"/>
    <s v="DM-10319"/>
    <s v="Debra Morton"/>
    <x v="0"/>
    <s v="United States"/>
    <x v="77"/>
    <x v="42"/>
    <x v="1"/>
    <s v="FUR-CH-106455"/>
    <x v="0"/>
    <x v="1"/>
    <s v="Nolan Leather Highback Chair, Pneumatic Adjustment"/>
    <n v="250.23179999999999"/>
    <n v="2"/>
    <n v="122.2728"/>
    <x v="0"/>
    <x v="1"/>
  </r>
  <r>
    <x v="122"/>
    <x v="118"/>
    <x v="2"/>
    <x v="2"/>
    <s v="DM-10319"/>
    <s v="Debra Morton"/>
    <x v="0"/>
    <s v="United States"/>
    <x v="77"/>
    <x v="42"/>
    <x v="1"/>
    <s v="FUR-FU-100853"/>
    <x v="0"/>
    <x v="0"/>
    <s v="Blaine Cubicle Wall Clock, Black"/>
    <n v="81.219800000000006"/>
    <n v="3"/>
    <n v="31.736000000000001"/>
    <x v="0"/>
    <x v="1"/>
  </r>
  <r>
    <x v="123"/>
    <x v="119"/>
    <x v="119"/>
    <x v="1"/>
    <s v="CG-10771"/>
    <s v="Courtney Gonzalez"/>
    <x v="0"/>
    <s v="United States"/>
    <x v="46"/>
    <x v="28"/>
    <x v="2"/>
    <s v="FUR-TA-100823"/>
    <x v="0"/>
    <x v="3"/>
    <s v="Redstone Wood Tables, Set of 2"/>
    <n v="379.05759999999998"/>
    <n v="2"/>
    <n v="-87.683099999999996"/>
    <x v="0"/>
    <x v="2"/>
  </r>
  <r>
    <x v="124"/>
    <x v="120"/>
    <x v="120"/>
    <x v="1"/>
    <s v="TW-13044"/>
    <s v="Theresa Williams"/>
    <x v="1"/>
    <s v="United States"/>
    <x v="49"/>
    <x v="36"/>
    <x v="0"/>
    <s v="FUR-TA-102223"/>
    <x v="0"/>
    <x v="3"/>
    <s v="Marchetti Round Conference Table, X-Base"/>
    <n v="302.19409999999999"/>
    <n v="5"/>
    <n v="74.040400000000005"/>
    <x v="1"/>
    <x v="7"/>
  </r>
  <r>
    <x v="125"/>
    <x v="121"/>
    <x v="121"/>
    <x v="2"/>
    <s v="BG-11771"/>
    <s v="Bobby Guerrero"/>
    <x v="2"/>
    <s v="United States"/>
    <x v="78"/>
    <x v="37"/>
    <x v="0"/>
    <s v="FUR-FU-101341"/>
    <x v="0"/>
    <x v="0"/>
    <s v="Griswold Chairmats for Medium Pile Carpet"/>
    <n v="82.2483"/>
    <n v="8"/>
    <n v="-14.4359"/>
    <x v="6"/>
    <x v="7"/>
  </r>
  <r>
    <x v="126"/>
    <x v="122"/>
    <x v="122"/>
    <x v="2"/>
    <s v="CT-20796"/>
    <s v="Colin Terry"/>
    <x v="1"/>
    <s v="United States"/>
    <x v="74"/>
    <x v="37"/>
    <x v="0"/>
    <s v="FUR-FU-101124"/>
    <x v="0"/>
    <x v="0"/>
    <s v="Rutledge Desk Organizer Tray, Letter Size"/>
    <n v="29.584299999999999"/>
    <n v="3"/>
    <n v="11.616899999999999"/>
    <x v="3"/>
    <x v="6"/>
  </r>
  <r>
    <x v="127"/>
    <x v="123"/>
    <x v="123"/>
    <x v="2"/>
    <s v="RD-18976"/>
    <s v="Robert Dennis"/>
    <x v="0"/>
    <s v="United States"/>
    <x v="25"/>
    <x v="24"/>
    <x v="1"/>
    <s v="FUR-TA-107449"/>
    <x v="0"/>
    <x v="3"/>
    <s v="Pembroke 36 x 72 Conference Table"/>
    <n v="795.04100000000005"/>
    <n v="3"/>
    <n v="-19.573499999999999"/>
    <x v="1"/>
    <x v="10"/>
  </r>
  <r>
    <x v="128"/>
    <x v="124"/>
    <x v="124"/>
    <x v="0"/>
    <s v="RR-21423"/>
    <s v="Robert Richardson"/>
    <x v="0"/>
    <s v="United States"/>
    <x v="79"/>
    <x v="16"/>
    <x v="0"/>
    <s v="FUR-BO-104471"/>
    <x v="0"/>
    <x v="2"/>
    <s v="Camden Modular Bookcase, Custom Colors"/>
    <n v="4150.4056"/>
    <n v="3"/>
    <n v="-62.202399999999997"/>
    <x v="3"/>
    <x v="5"/>
  </r>
  <r>
    <x v="128"/>
    <x v="124"/>
    <x v="124"/>
    <x v="0"/>
    <s v="RR-21423"/>
    <s v="Robert Richardson"/>
    <x v="0"/>
    <s v="United States"/>
    <x v="79"/>
    <x v="16"/>
    <x v="0"/>
    <s v="FUR-TA-104262"/>
    <x v="0"/>
    <x v="3"/>
    <s v="Thorne End Table, 20-1/2H x 24W x 20D"/>
    <n v="513.70169999999996"/>
    <n v="5"/>
    <n v="-6.3017000000000003"/>
    <x v="3"/>
    <x v="5"/>
  </r>
  <r>
    <x v="129"/>
    <x v="125"/>
    <x v="125"/>
    <x v="2"/>
    <s v="DW-21543"/>
    <s v="Donald Wright"/>
    <x v="0"/>
    <s v="United States"/>
    <x v="80"/>
    <x v="1"/>
    <x v="0"/>
    <s v="FUR-CH-109246"/>
    <x v="0"/>
    <x v="1"/>
    <s v="Beckett Steno Chair, Gray"/>
    <n v="539.59749999999997"/>
    <n v="4"/>
    <n v="-122.3449"/>
    <x v="6"/>
    <x v="9"/>
  </r>
  <r>
    <x v="130"/>
    <x v="126"/>
    <x v="126"/>
    <x v="2"/>
    <s v="HE-19774"/>
    <s v="Hannah Everett"/>
    <x v="2"/>
    <s v="United States"/>
    <x v="21"/>
    <x v="18"/>
    <x v="3"/>
    <s v="FUR-FU-103673"/>
    <x v="0"/>
    <x v="0"/>
    <s v="Corcoran Document Holder, Wood"/>
    <n v="302.45859999999999"/>
    <n v="2"/>
    <n v="34.762099999999997"/>
    <x v="6"/>
    <x v="10"/>
  </r>
  <r>
    <x v="131"/>
    <x v="127"/>
    <x v="127"/>
    <x v="2"/>
    <s v="MW-10128"/>
    <s v="Madison Weber"/>
    <x v="2"/>
    <s v="United States"/>
    <x v="68"/>
    <x v="33"/>
    <x v="3"/>
    <s v="FUR-FU-100853"/>
    <x v="0"/>
    <x v="0"/>
    <s v="Blaine Cubicle Wall Clock, Black"/>
    <n v="123.4134"/>
    <n v="11"/>
    <n v="36.923499999999997"/>
    <x v="7"/>
    <x v="10"/>
  </r>
  <r>
    <x v="132"/>
    <x v="128"/>
    <x v="128"/>
    <x v="0"/>
    <s v="SP-20975"/>
    <s v="Steve Paul"/>
    <x v="2"/>
    <s v="United States"/>
    <x v="81"/>
    <x v="43"/>
    <x v="2"/>
    <s v="FUR-FU-108837"/>
    <x v="0"/>
    <x v="0"/>
    <s v="Ivanhoe Poster Frame, Aluminum"/>
    <n v="43.771700000000003"/>
    <n v="2"/>
    <n v="17.4069"/>
    <x v="5"/>
    <x v="8"/>
  </r>
  <r>
    <x v="133"/>
    <x v="129"/>
    <x v="129"/>
    <x v="2"/>
    <s v="ME-14374"/>
    <s v="Michael Evans"/>
    <x v="1"/>
    <s v="United States"/>
    <x v="41"/>
    <x v="27"/>
    <x v="0"/>
    <s v="FUR-FU-104133"/>
    <x v="0"/>
    <x v="0"/>
    <s v="Preston Wood Photo Frame, Mahogany"/>
    <n v="4.0220000000000002"/>
    <n v="3"/>
    <n v="1.329"/>
    <x v="2"/>
    <x v="5"/>
  </r>
  <r>
    <x v="134"/>
    <x v="130"/>
    <x v="130"/>
    <x v="1"/>
    <s v="KO-12724"/>
    <s v="Kevin Oconnor"/>
    <x v="2"/>
    <s v="United States"/>
    <x v="82"/>
    <x v="19"/>
    <x v="2"/>
    <s v="FUR-CH-107657"/>
    <x v="0"/>
    <x v="1"/>
    <s v="Hollis Stacking Chair, Rounded Back"/>
    <n v="278.02929999999998"/>
    <n v="7"/>
    <n v="-61.962499999999999"/>
    <x v="7"/>
    <x v="7"/>
  </r>
  <r>
    <x v="135"/>
    <x v="131"/>
    <x v="131"/>
    <x v="2"/>
    <s v="KR-18849"/>
    <s v="Kristen Rowe"/>
    <x v="2"/>
    <s v="United States"/>
    <x v="62"/>
    <x v="25"/>
    <x v="3"/>
    <s v="FUR-FU-106211"/>
    <x v="0"/>
    <x v="0"/>
    <s v="Aurora Brushed Chrome Wall Clock, 14in"/>
    <n v="44.207299999999996"/>
    <n v="3"/>
    <n v="-11.2173"/>
    <x v="7"/>
    <x v="0"/>
  </r>
  <r>
    <x v="136"/>
    <x v="132"/>
    <x v="132"/>
    <x v="2"/>
    <s v="LH-12200"/>
    <s v="Lisa Hunter"/>
    <x v="2"/>
    <s v="United States"/>
    <x v="79"/>
    <x v="16"/>
    <x v="0"/>
    <s v="FUR-FU-105733"/>
    <x v="0"/>
    <x v="0"/>
    <s v="Sable Halogen Replacement Bulb, 2-Pack"/>
    <n v="40.386400000000002"/>
    <n v="5"/>
    <n v="-6.5894000000000004"/>
    <x v="3"/>
    <x v="8"/>
  </r>
  <r>
    <x v="137"/>
    <x v="100"/>
    <x v="133"/>
    <x v="2"/>
    <s v="KW-20339"/>
    <s v="Kevin Walters"/>
    <x v="2"/>
    <s v="United States"/>
    <x v="83"/>
    <x v="27"/>
    <x v="0"/>
    <s v="FUR-FU-105733"/>
    <x v="0"/>
    <x v="0"/>
    <s v="Sable Halogen Replacement Bulb, 2-Pack"/>
    <n v="92.175299999999993"/>
    <n v="2"/>
    <n v="8.5390999999999995"/>
    <x v="3"/>
    <x v="11"/>
  </r>
  <r>
    <x v="138"/>
    <x v="133"/>
    <x v="134"/>
    <x v="2"/>
    <s v="MJ-16211"/>
    <s v="Michael Johnson"/>
    <x v="2"/>
    <s v="United States"/>
    <x v="14"/>
    <x v="15"/>
    <x v="1"/>
    <s v="FUR-TA-100823"/>
    <x v="0"/>
    <x v="3"/>
    <s v="Redstone Wood Tables, Set of 2"/>
    <n v="3700.8413999999998"/>
    <n v="3"/>
    <n v="-1302.9362000000001"/>
    <x v="4"/>
    <x v="2"/>
  </r>
  <r>
    <x v="139"/>
    <x v="134"/>
    <x v="135"/>
    <x v="2"/>
    <s v="KL-20209"/>
    <s v="Kelly Lee"/>
    <x v="2"/>
    <s v="United States"/>
    <x v="75"/>
    <x v="39"/>
    <x v="0"/>
    <s v="FUR-FU-100317"/>
    <x v="0"/>
    <x v="0"/>
    <s v="Nomad Floor Lamp, Telescoping Adjustable"/>
    <n v="109.6905"/>
    <n v="3"/>
    <n v="20.677900000000001"/>
    <x v="6"/>
    <x v="5"/>
  </r>
  <r>
    <x v="139"/>
    <x v="134"/>
    <x v="135"/>
    <x v="2"/>
    <s v="KL-20209"/>
    <s v="Kelly Lee"/>
    <x v="2"/>
    <s v="United States"/>
    <x v="75"/>
    <x v="39"/>
    <x v="0"/>
    <s v="FUR-FU-106906"/>
    <x v="0"/>
    <x v="0"/>
    <s v="Cobalt LED Magnifier Lamp with Clamp Base"/>
    <n v="50.261699999999998"/>
    <n v="2"/>
    <n v="28.0749"/>
    <x v="6"/>
    <x v="5"/>
  </r>
  <r>
    <x v="140"/>
    <x v="135"/>
    <x v="136"/>
    <x v="2"/>
    <s v="DT-13981"/>
    <s v="Desiree Tyler"/>
    <x v="2"/>
    <s v="United States"/>
    <x v="17"/>
    <x v="18"/>
    <x v="3"/>
    <s v="FUR-CH-109246"/>
    <x v="0"/>
    <x v="1"/>
    <s v="Beckett Steno Chair, Gray"/>
    <n v="38.362299999999998"/>
    <n v="1"/>
    <n v="-9.7430000000000003"/>
    <x v="5"/>
    <x v="1"/>
  </r>
  <r>
    <x v="141"/>
    <x v="136"/>
    <x v="137"/>
    <x v="1"/>
    <s v="AS-17428"/>
    <s v="Amy Silva"/>
    <x v="2"/>
    <s v="United States"/>
    <x v="84"/>
    <x v="29"/>
    <x v="0"/>
    <s v="FUR-FU-104133"/>
    <x v="0"/>
    <x v="0"/>
    <s v="Preston Wood Photo Frame, Mahogany"/>
    <n v="35.699599999999997"/>
    <n v="3"/>
    <n v="3.4641999999999999"/>
    <x v="0"/>
    <x v="8"/>
  </r>
  <r>
    <x v="142"/>
    <x v="137"/>
    <x v="138"/>
    <x v="2"/>
    <s v="HW-10634"/>
    <s v="Heather Williams"/>
    <x v="0"/>
    <s v="United States"/>
    <x v="85"/>
    <x v="44"/>
    <x v="0"/>
    <s v="FUR-TA-104262"/>
    <x v="0"/>
    <x v="3"/>
    <s v="Thorne End Table, 20-1/2H x 24W x 20D"/>
    <n v="718.3329"/>
    <n v="5"/>
    <n v="-385.76150000000001"/>
    <x v="3"/>
    <x v="7"/>
  </r>
  <r>
    <x v="143"/>
    <x v="127"/>
    <x v="139"/>
    <x v="1"/>
    <s v="RB-20972"/>
    <s v="Renee Bruce"/>
    <x v="1"/>
    <s v="United States"/>
    <x v="7"/>
    <x v="7"/>
    <x v="2"/>
    <s v="FUR-FU-104133"/>
    <x v="0"/>
    <x v="0"/>
    <s v="Preston Wood Photo Frame, Mahogany"/>
    <n v="146.37790000000001"/>
    <n v="6"/>
    <n v="-10.15"/>
    <x v="1"/>
    <x v="10"/>
  </r>
  <r>
    <x v="144"/>
    <x v="138"/>
    <x v="140"/>
    <x v="2"/>
    <s v="ME-13335"/>
    <s v="Mary Escobar"/>
    <x v="2"/>
    <s v="United States"/>
    <x v="60"/>
    <x v="40"/>
    <x v="0"/>
    <s v="FUR-CH-107657"/>
    <x v="0"/>
    <x v="1"/>
    <s v="Hollis Stacking Chair, Rounded Back"/>
    <n v="198.96449999999999"/>
    <n v="3"/>
    <n v="9.1138999999999992"/>
    <x v="2"/>
    <x v="7"/>
  </r>
  <r>
    <x v="145"/>
    <x v="139"/>
    <x v="135"/>
    <x v="3"/>
    <s v="CT-21133"/>
    <s v="Curtis Taylor"/>
    <x v="1"/>
    <s v="United States"/>
    <x v="45"/>
    <x v="34"/>
    <x v="1"/>
    <s v="FUR-TA-107564"/>
    <x v="0"/>
    <x v="3"/>
    <s v="Bellwood Slim Training Table, Light Gray"/>
    <n v="176.714"/>
    <n v="5"/>
    <n v="33.701799999999999"/>
    <x v="7"/>
    <x v="5"/>
  </r>
  <r>
    <x v="146"/>
    <x v="140"/>
    <x v="141"/>
    <x v="2"/>
    <s v="CR-16916"/>
    <s v="Christopher Rubio"/>
    <x v="1"/>
    <s v="United States"/>
    <x v="86"/>
    <x v="43"/>
    <x v="2"/>
    <s v="FUR-FU-106211"/>
    <x v="0"/>
    <x v="0"/>
    <s v="Aurora Brushed Chrome Wall Clock, 14in"/>
    <n v="18.4557"/>
    <n v="4"/>
    <n v="4.0201000000000002"/>
    <x v="0"/>
    <x v="2"/>
  </r>
  <r>
    <x v="146"/>
    <x v="140"/>
    <x v="141"/>
    <x v="2"/>
    <s v="CR-16916"/>
    <s v="Christopher Rubio"/>
    <x v="1"/>
    <s v="United States"/>
    <x v="86"/>
    <x v="43"/>
    <x v="2"/>
    <s v="FUR-TA-105355"/>
    <x v="0"/>
    <x v="3"/>
    <s v="Wexford Racetrack Conference Table"/>
    <n v="197.86500000000001"/>
    <n v="4"/>
    <n v="-129.3493"/>
    <x v="0"/>
    <x v="2"/>
  </r>
  <r>
    <x v="147"/>
    <x v="141"/>
    <x v="142"/>
    <x v="0"/>
    <s v="BH-21145"/>
    <s v="Brenda Hall"/>
    <x v="2"/>
    <s v="United States"/>
    <x v="5"/>
    <x v="5"/>
    <x v="2"/>
    <s v="FUR-FU-106211"/>
    <x v="0"/>
    <x v="0"/>
    <s v="Aurora Brushed Chrome Wall Clock, 14in"/>
    <n v="365.4923"/>
    <n v="1"/>
    <n v="-37.606099999999998"/>
    <x v="3"/>
    <x v="6"/>
  </r>
  <r>
    <x v="147"/>
    <x v="141"/>
    <x v="142"/>
    <x v="0"/>
    <s v="BH-21145"/>
    <s v="Brenda Hall"/>
    <x v="2"/>
    <s v="United States"/>
    <x v="5"/>
    <x v="5"/>
    <x v="2"/>
    <s v="FUR-BO-107140"/>
    <x v="0"/>
    <x v="2"/>
    <s v="Delacroix Lawyers Bookcase, Cherry Finish"/>
    <n v="67.992800000000003"/>
    <n v="4"/>
    <n v="25.0854"/>
    <x v="3"/>
    <x v="6"/>
  </r>
  <r>
    <x v="148"/>
    <x v="142"/>
    <x v="21"/>
    <x v="2"/>
    <s v="DZ-13811"/>
    <s v="Derek Zuniga"/>
    <x v="1"/>
    <s v="United States"/>
    <x v="0"/>
    <x v="6"/>
    <x v="1"/>
    <s v="FUR-FU-104558"/>
    <x v="0"/>
    <x v="0"/>
    <s v="Lambert Swing Arm Desk Lamp"/>
    <n v="4.7507000000000001"/>
    <n v="1"/>
    <n v="-0.10199999999999999"/>
    <x v="2"/>
    <x v="6"/>
  </r>
  <r>
    <x v="149"/>
    <x v="143"/>
    <x v="143"/>
    <x v="1"/>
    <s v="KG-10514"/>
    <s v="Krista Gibson"/>
    <x v="2"/>
    <s v="United States"/>
    <x v="67"/>
    <x v="24"/>
    <x v="1"/>
    <s v="FUR-TA-107449"/>
    <x v="0"/>
    <x v="3"/>
    <s v="Pembroke 36 x 72 Conference Table"/>
    <n v="304.07119999999998"/>
    <n v="4"/>
    <n v="74.320999999999998"/>
    <x v="7"/>
    <x v="3"/>
  </r>
  <r>
    <x v="150"/>
    <x v="144"/>
    <x v="144"/>
    <x v="2"/>
    <s v="CR-17956"/>
    <s v="Carlos Ryan"/>
    <x v="1"/>
    <s v="United States"/>
    <x v="87"/>
    <x v="17"/>
    <x v="3"/>
    <s v="FUR-TA-105355"/>
    <x v="0"/>
    <x v="3"/>
    <s v="Wexford Racetrack Conference Table"/>
    <n v="459.05079999999998"/>
    <n v="3"/>
    <n v="170.60849999999999"/>
    <x v="2"/>
    <x v="8"/>
  </r>
  <r>
    <x v="151"/>
    <x v="145"/>
    <x v="145"/>
    <x v="2"/>
    <s v="ZF-21199"/>
    <s v="Zachary Ferrell"/>
    <x v="2"/>
    <s v="United States"/>
    <x v="88"/>
    <x v="31"/>
    <x v="2"/>
    <s v="FUR-FU-104133"/>
    <x v="0"/>
    <x v="0"/>
    <s v="Preston Wood Photo Frame, Mahogany"/>
    <n v="73.196399999999997"/>
    <n v="1"/>
    <n v="-3.2833000000000001"/>
    <x v="0"/>
    <x v="7"/>
  </r>
  <r>
    <x v="151"/>
    <x v="145"/>
    <x v="145"/>
    <x v="2"/>
    <s v="ZF-21199"/>
    <s v="Zachary Ferrell"/>
    <x v="2"/>
    <s v="United States"/>
    <x v="88"/>
    <x v="31"/>
    <x v="2"/>
    <s v="FUR-CH-101375"/>
    <x v="0"/>
    <x v="1"/>
    <s v="Sutton Push-Button Manager's Chair, Indigo"/>
    <n v="259.18"/>
    <n v="1"/>
    <n v="28.0486"/>
    <x v="0"/>
    <x v="7"/>
  </r>
  <r>
    <x v="152"/>
    <x v="146"/>
    <x v="146"/>
    <x v="1"/>
    <s v="MC-20587"/>
    <s v="Marie Christian"/>
    <x v="2"/>
    <s v="United States"/>
    <x v="16"/>
    <x v="17"/>
    <x v="3"/>
    <s v="FUR-CH-108751"/>
    <x v="0"/>
    <x v="1"/>
    <s v="Prescott Ergonomic Chair with Lumbar Support"/>
    <n v="437.42149999999998"/>
    <n v="2"/>
    <n v="272.2971"/>
    <x v="1"/>
    <x v="1"/>
  </r>
  <r>
    <x v="153"/>
    <x v="147"/>
    <x v="147"/>
    <x v="2"/>
    <s v="JD-15491"/>
    <s v="Jennifer Simpson DVM"/>
    <x v="2"/>
    <s v="United States"/>
    <x v="89"/>
    <x v="11"/>
    <x v="2"/>
    <s v="FUR-FU-103673"/>
    <x v="0"/>
    <x v="0"/>
    <s v="Corcoran Document Holder, Wood"/>
    <n v="115.06180000000001"/>
    <n v="2"/>
    <n v="34.527900000000002"/>
    <x v="5"/>
    <x v="5"/>
  </r>
  <r>
    <x v="154"/>
    <x v="148"/>
    <x v="148"/>
    <x v="2"/>
    <s v="RM-11127"/>
    <s v="Robert Montgomery"/>
    <x v="1"/>
    <s v="United States"/>
    <x v="79"/>
    <x v="16"/>
    <x v="0"/>
    <s v="FUR-TA-102223"/>
    <x v="0"/>
    <x v="3"/>
    <s v="Marchetti Round Conference Table, X-Base"/>
    <n v="577.76030000000003"/>
    <n v="5"/>
    <n v="-246.86410000000001"/>
    <x v="4"/>
    <x v="7"/>
  </r>
  <r>
    <x v="155"/>
    <x v="6"/>
    <x v="149"/>
    <x v="2"/>
    <s v="DM-15138"/>
    <s v="Dana Martinez"/>
    <x v="2"/>
    <s v="United States"/>
    <x v="50"/>
    <x v="21"/>
    <x v="1"/>
    <s v="FUR-FU-103673"/>
    <x v="0"/>
    <x v="0"/>
    <s v="Corcoran Document Holder, Wood"/>
    <n v="91.529200000000003"/>
    <n v="3"/>
    <n v="35.145200000000003"/>
    <x v="2"/>
    <x v="4"/>
  </r>
  <r>
    <x v="156"/>
    <x v="149"/>
    <x v="150"/>
    <x v="2"/>
    <s v="RR-12881"/>
    <s v="Robert Reese"/>
    <x v="2"/>
    <s v="United States"/>
    <x v="60"/>
    <x v="40"/>
    <x v="0"/>
    <s v="FUR-FU-106906"/>
    <x v="0"/>
    <x v="0"/>
    <s v="Cobalt LED Magnifier Lamp with Clamp Base"/>
    <n v="26.146799999999999"/>
    <n v="3"/>
    <n v="0.98299999999999998"/>
    <x v="1"/>
    <x v="5"/>
  </r>
  <r>
    <x v="157"/>
    <x v="150"/>
    <x v="151"/>
    <x v="2"/>
    <s v="SA-21734"/>
    <s v="Sabrina Austin"/>
    <x v="2"/>
    <s v="United States"/>
    <x v="27"/>
    <x v="26"/>
    <x v="3"/>
    <s v="FUR-BO-103595"/>
    <x v="0"/>
    <x v="2"/>
    <s v="Pinehurst 6-Shelf Industrial Bookcase"/>
    <n v="379.00439999999998"/>
    <n v="1"/>
    <n v="59.097000000000001"/>
    <x v="3"/>
    <x v="1"/>
  </r>
  <r>
    <x v="158"/>
    <x v="151"/>
    <x v="152"/>
    <x v="2"/>
    <s v="MM-10525"/>
    <s v="Marc Moore"/>
    <x v="2"/>
    <s v="United States"/>
    <x v="6"/>
    <x v="6"/>
    <x v="1"/>
    <s v="FUR-BO-103595"/>
    <x v="0"/>
    <x v="2"/>
    <s v="Pinehurst 6-Shelf Industrial Bookcase"/>
    <n v="126.3973"/>
    <n v="1"/>
    <n v="19.423400000000001"/>
    <x v="4"/>
    <x v="3"/>
  </r>
  <r>
    <x v="158"/>
    <x v="151"/>
    <x v="152"/>
    <x v="2"/>
    <s v="MM-10525"/>
    <s v="Marc Moore"/>
    <x v="2"/>
    <s v="United States"/>
    <x v="6"/>
    <x v="6"/>
    <x v="1"/>
    <s v="FUR-CH-106624"/>
    <x v="0"/>
    <x v="1"/>
    <s v="Adler Fabric Manager's Chair, Slate Gray"/>
    <n v="83.028000000000006"/>
    <n v="9"/>
    <n v="-0.1021"/>
    <x v="4"/>
    <x v="3"/>
  </r>
  <r>
    <x v="159"/>
    <x v="152"/>
    <x v="153"/>
    <x v="2"/>
    <s v="TB-15279"/>
    <s v="Tina Ballard"/>
    <x v="1"/>
    <s v="United States"/>
    <x v="81"/>
    <x v="43"/>
    <x v="2"/>
    <s v="FUR-BO-103595"/>
    <x v="0"/>
    <x v="2"/>
    <s v="Pinehurst 6-Shelf Industrial Bookcase"/>
    <n v="134.68469999999999"/>
    <n v="5"/>
    <n v="22.145"/>
    <x v="3"/>
    <x v="5"/>
  </r>
  <r>
    <x v="160"/>
    <x v="153"/>
    <x v="154"/>
    <x v="3"/>
    <s v="EB-16658"/>
    <s v="Edward Burgess"/>
    <x v="2"/>
    <s v="United States"/>
    <x v="38"/>
    <x v="32"/>
    <x v="3"/>
    <s v="FUR-TA-107449"/>
    <x v="0"/>
    <x v="3"/>
    <s v="Pembroke 36 x 72 Conference Table"/>
    <n v="139.27760000000001"/>
    <n v="3"/>
    <n v="-43.173499999999997"/>
    <x v="7"/>
    <x v="3"/>
  </r>
  <r>
    <x v="161"/>
    <x v="154"/>
    <x v="76"/>
    <x v="1"/>
    <s v="SC-11084"/>
    <s v="Sharon Cochran"/>
    <x v="2"/>
    <s v="United States"/>
    <x v="90"/>
    <x v="45"/>
    <x v="3"/>
    <s v="FUR-CH-108751"/>
    <x v="0"/>
    <x v="1"/>
    <s v="Prescott Ergonomic Chair with Lumbar Support"/>
    <n v="985.96090000000004"/>
    <n v="2"/>
    <n v="127.7394"/>
    <x v="0"/>
    <x v="5"/>
  </r>
  <r>
    <x v="162"/>
    <x v="87"/>
    <x v="155"/>
    <x v="2"/>
    <s v="CR-17956"/>
    <s v="Carlos Ryan"/>
    <x v="2"/>
    <s v="United States"/>
    <x v="34"/>
    <x v="29"/>
    <x v="0"/>
    <s v="FUR-CH-101375"/>
    <x v="0"/>
    <x v="1"/>
    <s v="Sutton Push-Button Manager's Chair, Indigo"/>
    <n v="278.25029999999998"/>
    <n v="8"/>
    <n v="18.987400000000001"/>
    <x v="2"/>
    <x v="8"/>
  </r>
  <r>
    <x v="162"/>
    <x v="87"/>
    <x v="155"/>
    <x v="2"/>
    <s v="CR-17956"/>
    <s v="Carlos Ryan"/>
    <x v="2"/>
    <s v="United States"/>
    <x v="34"/>
    <x v="29"/>
    <x v="0"/>
    <s v="FUR-FU-105733"/>
    <x v="0"/>
    <x v="0"/>
    <s v="Sable Halogen Replacement Bulb, 2-Pack"/>
    <n v="113.8188"/>
    <n v="2"/>
    <n v="-20.980699999999999"/>
    <x v="2"/>
    <x v="8"/>
  </r>
  <r>
    <x v="162"/>
    <x v="87"/>
    <x v="155"/>
    <x v="2"/>
    <s v="CR-17956"/>
    <s v="Carlos Ryan"/>
    <x v="2"/>
    <s v="United States"/>
    <x v="34"/>
    <x v="29"/>
    <x v="0"/>
    <s v="FUR-FU-107705"/>
    <x v="0"/>
    <x v="0"/>
    <s v="Hawthorne Desk Accessory Set, Oak"/>
    <n v="145.3802"/>
    <n v="1"/>
    <n v="70.544399999999996"/>
    <x v="2"/>
    <x v="8"/>
  </r>
  <r>
    <x v="163"/>
    <x v="134"/>
    <x v="156"/>
    <x v="0"/>
    <s v="MT-20021"/>
    <s v="Mary Thompson"/>
    <x v="2"/>
    <s v="United States"/>
    <x v="80"/>
    <x v="1"/>
    <x v="0"/>
    <s v="FUR-FU-101124"/>
    <x v="0"/>
    <x v="0"/>
    <s v="Rutledge Desk Organizer Tray, Letter Size"/>
    <n v="48.001800000000003"/>
    <n v="4"/>
    <n v="22.146599999999999"/>
    <x v="3"/>
    <x v="5"/>
  </r>
  <r>
    <x v="164"/>
    <x v="155"/>
    <x v="157"/>
    <x v="2"/>
    <s v="KJ-11604"/>
    <s v="Keith Jennings"/>
    <x v="0"/>
    <s v="United States"/>
    <x v="91"/>
    <x v="45"/>
    <x v="3"/>
    <s v="FUR-FU-101124"/>
    <x v="0"/>
    <x v="0"/>
    <s v="Rutledge Desk Organizer Tray, Letter Size"/>
    <n v="59.466700000000003"/>
    <n v="5"/>
    <n v="19.481200000000001"/>
    <x v="3"/>
    <x v="1"/>
  </r>
  <r>
    <x v="165"/>
    <x v="156"/>
    <x v="158"/>
    <x v="2"/>
    <s v="SM-20415"/>
    <s v="Sarah Moore"/>
    <x v="2"/>
    <s v="United States"/>
    <x v="55"/>
    <x v="12"/>
    <x v="2"/>
    <s v="FUR-FU-107705"/>
    <x v="0"/>
    <x v="0"/>
    <s v="Hawthorne Desk Accessory Set, Oak"/>
    <n v="130.82669999999999"/>
    <n v="4"/>
    <n v="-41.3367"/>
    <x v="2"/>
    <x v="8"/>
  </r>
  <r>
    <x v="166"/>
    <x v="157"/>
    <x v="159"/>
    <x v="2"/>
    <s v="SW-19292"/>
    <s v="Shannon Walker"/>
    <x v="1"/>
    <s v="United States"/>
    <x v="52"/>
    <x v="38"/>
    <x v="1"/>
    <s v="FUR-CH-100441"/>
    <x v="0"/>
    <x v="1"/>
    <s v="Dalton Folding Chair, 4/Carton"/>
    <n v="352.33980000000003"/>
    <n v="5"/>
    <n v="41.2727"/>
    <x v="2"/>
    <x v="2"/>
  </r>
  <r>
    <x v="166"/>
    <x v="157"/>
    <x v="159"/>
    <x v="2"/>
    <s v="SW-19292"/>
    <s v="Shannon Walker"/>
    <x v="1"/>
    <s v="United States"/>
    <x v="52"/>
    <x v="38"/>
    <x v="1"/>
    <s v="FUR-BO-108818"/>
    <x v="0"/>
    <x v="2"/>
    <s v="Meridian Glass-Door Bookcase, Espresso Finish"/>
    <n v="108.3035"/>
    <n v="6"/>
    <n v="35.8812"/>
    <x v="2"/>
    <x v="2"/>
  </r>
  <r>
    <x v="166"/>
    <x v="157"/>
    <x v="159"/>
    <x v="2"/>
    <s v="SW-19292"/>
    <s v="Shannon Walker"/>
    <x v="1"/>
    <s v="United States"/>
    <x v="52"/>
    <x v="38"/>
    <x v="1"/>
    <s v="FUR-CH-109697"/>
    <x v="0"/>
    <x v="1"/>
    <s v="Rowan Mid-Back Tilter Chair"/>
    <n v="345.64330000000001"/>
    <n v="2"/>
    <n v="110.7302"/>
    <x v="2"/>
    <x v="2"/>
  </r>
  <r>
    <x v="167"/>
    <x v="158"/>
    <x v="160"/>
    <x v="2"/>
    <s v="DG-19052"/>
    <s v="Dustin Gallegos"/>
    <x v="2"/>
    <s v="United States"/>
    <x v="36"/>
    <x v="31"/>
    <x v="2"/>
    <s v="FUR-CH-106624"/>
    <x v="0"/>
    <x v="1"/>
    <s v="Adler Fabric Manager's Chair, Slate Gray"/>
    <n v="401.77429999999998"/>
    <n v="2"/>
    <n v="-80.5441"/>
    <x v="7"/>
    <x v="4"/>
  </r>
  <r>
    <x v="168"/>
    <x v="159"/>
    <x v="161"/>
    <x v="2"/>
    <s v="JP-19740"/>
    <s v="Jesse Perry"/>
    <x v="2"/>
    <s v="United States"/>
    <x v="22"/>
    <x v="22"/>
    <x v="2"/>
    <s v="FUR-FU-107705"/>
    <x v="0"/>
    <x v="0"/>
    <s v="Hawthorne Desk Accessory Set, Oak"/>
    <n v="213.56960000000001"/>
    <n v="3"/>
    <n v="38.975499999999997"/>
    <x v="0"/>
    <x v="0"/>
  </r>
  <r>
    <x v="169"/>
    <x v="52"/>
    <x v="162"/>
    <x v="0"/>
    <s v="PC-15881"/>
    <s v="Philip Cannon"/>
    <x v="0"/>
    <s v="United States"/>
    <x v="92"/>
    <x v="46"/>
    <x v="3"/>
    <s v="FUR-FU-100853"/>
    <x v="0"/>
    <x v="0"/>
    <s v="Blaine Cubicle Wall Clock, Black"/>
    <n v="257.38170000000002"/>
    <n v="4"/>
    <n v="103.5523"/>
    <x v="0"/>
    <x v="8"/>
  </r>
  <r>
    <x v="169"/>
    <x v="52"/>
    <x v="162"/>
    <x v="0"/>
    <s v="PC-15881"/>
    <s v="Philip Cannon"/>
    <x v="0"/>
    <s v="United States"/>
    <x v="92"/>
    <x v="46"/>
    <x v="3"/>
    <s v="FUR-CH-102704"/>
    <x v="0"/>
    <x v="1"/>
    <s v="Brookline High-Back Executive Chair, Black Leather"/>
    <n v="471.16910000000001"/>
    <n v="1"/>
    <n v="112.6499"/>
    <x v="0"/>
    <x v="8"/>
  </r>
  <r>
    <x v="170"/>
    <x v="160"/>
    <x v="163"/>
    <x v="2"/>
    <s v="EW-20168"/>
    <s v="Evelyn Williams"/>
    <x v="2"/>
    <s v="United States"/>
    <x v="36"/>
    <x v="31"/>
    <x v="2"/>
    <s v="FUR-FU-104133"/>
    <x v="0"/>
    <x v="0"/>
    <s v="Preston Wood Photo Frame, Mahogany"/>
    <n v="57.066699999999997"/>
    <n v="6"/>
    <n v="29.0442"/>
    <x v="2"/>
    <x v="4"/>
  </r>
  <r>
    <x v="171"/>
    <x v="161"/>
    <x v="164"/>
    <x v="0"/>
    <s v="AH-17179"/>
    <s v="Ashley Hicks"/>
    <x v="2"/>
    <s v="United States"/>
    <x v="93"/>
    <x v="9"/>
    <x v="0"/>
    <s v="FUR-FU-100853"/>
    <x v="0"/>
    <x v="0"/>
    <s v="Blaine Cubicle Wall Clock, Black"/>
    <n v="24.508700000000001"/>
    <n v="2"/>
    <n v="-14.7881"/>
    <x v="7"/>
    <x v="3"/>
  </r>
  <r>
    <x v="172"/>
    <x v="162"/>
    <x v="165"/>
    <x v="1"/>
    <s v="LS-10998"/>
    <s v="Linda Smith"/>
    <x v="2"/>
    <s v="United States"/>
    <x v="32"/>
    <x v="26"/>
    <x v="3"/>
    <s v="FUR-CH-100441"/>
    <x v="0"/>
    <x v="1"/>
    <s v="Dalton Folding Chair, 4/Carton"/>
    <n v="253.2054"/>
    <n v="7"/>
    <n v="-39.148200000000003"/>
    <x v="1"/>
    <x v="7"/>
  </r>
  <r>
    <x v="172"/>
    <x v="162"/>
    <x v="165"/>
    <x v="1"/>
    <s v="LS-10998"/>
    <s v="Linda Smith"/>
    <x v="2"/>
    <s v="United States"/>
    <x v="32"/>
    <x v="26"/>
    <x v="3"/>
    <s v="FUR-FU-105733"/>
    <x v="0"/>
    <x v="0"/>
    <s v="Sable Halogen Replacement Bulb, 2-Pack"/>
    <n v="125.1397"/>
    <n v="3"/>
    <n v="-12.4434"/>
    <x v="1"/>
    <x v="7"/>
  </r>
  <r>
    <x v="172"/>
    <x v="162"/>
    <x v="165"/>
    <x v="1"/>
    <s v="LS-10998"/>
    <s v="Linda Smith"/>
    <x v="2"/>
    <s v="United States"/>
    <x v="32"/>
    <x v="26"/>
    <x v="3"/>
    <s v="FUR-CH-108751"/>
    <x v="0"/>
    <x v="1"/>
    <s v="Prescott Ergonomic Chair with Lumbar Support"/>
    <n v="157.27680000000001"/>
    <n v="2"/>
    <n v="-69.373699999999999"/>
    <x v="1"/>
    <x v="7"/>
  </r>
  <r>
    <x v="173"/>
    <x v="163"/>
    <x v="166"/>
    <x v="0"/>
    <s v="MB-15421"/>
    <s v="Maria Brown"/>
    <x v="1"/>
    <s v="United States"/>
    <x v="71"/>
    <x v="4"/>
    <x v="1"/>
    <s v="FUR-CH-102704"/>
    <x v="0"/>
    <x v="1"/>
    <s v="Brookline High-Back Executive Chair, Black Leather"/>
    <n v="132.25729999999999"/>
    <n v="2"/>
    <n v="35.088999999999999"/>
    <x v="1"/>
    <x v="3"/>
  </r>
  <r>
    <x v="174"/>
    <x v="164"/>
    <x v="167"/>
    <x v="2"/>
    <s v="SK-17119"/>
    <s v="Sarah King"/>
    <x v="2"/>
    <s v="United States"/>
    <x v="54"/>
    <x v="1"/>
    <x v="0"/>
    <s v="FUR-FU-103673"/>
    <x v="0"/>
    <x v="0"/>
    <s v="Corcoran Document Holder, Wood"/>
    <n v="154.4522"/>
    <n v="3"/>
    <n v="128.9547"/>
    <x v="6"/>
    <x v="5"/>
  </r>
  <r>
    <x v="175"/>
    <x v="165"/>
    <x v="168"/>
    <x v="0"/>
    <s v="BF-13164"/>
    <s v="Brian Fitzgerald"/>
    <x v="2"/>
    <s v="United States"/>
    <x v="94"/>
    <x v="30"/>
    <x v="0"/>
    <s v="FUR-TA-102977"/>
    <x v="0"/>
    <x v="3"/>
    <s v="Caldwell 44 x 96 Conference Table"/>
    <n v="276.41699999999997"/>
    <n v="6"/>
    <n v="128.58279999999999"/>
    <x v="1"/>
    <x v="2"/>
  </r>
  <r>
    <x v="175"/>
    <x v="165"/>
    <x v="168"/>
    <x v="0"/>
    <s v="BF-13164"/>
    <s v="Brian Fitzgerald"/>
    <x v="2"/>
    <s v="United States"/>
    <x v="94"/>
    <x v="30"/>
    <x v="0"/>
    <s v="FUR-FU-100853"/>
    <x v="0"/>
    <x v="0"/>
    <s v="Blaine Cubicle Wall Clock, Black"/>
    <n v="25.776499999999999"/>
    <n v="2"/>
    <n v="7.9550000000000001"/>
    <x v="1"/>
    <x v="2"/>
  </r>
  <r>
    <x v="175"/>
    <x v="165"/>
    <x v="168"/>
    <x v="0"/>
    <s v="BF-13164"/>
    <s v="Brian Fitzgerald"/>
    <x v="2"/>
    <s v="United States"/>
    <x v="94"/>
    <x v="30"/>
    <x v="0"/>
    <s v="FUR-TA-105363"/>
    <x v="0"/>
    <x v="3"/>
    <s v="Ashcombe Rectangular Table Top"/>
    <n v="285.65649999999999"/>
    <n v="2"/>
    <n v="-40.894300000000001"/>
    <x v="1"/>
    <x v="2"/>
  </r>
  <r>
    <x v="176"/>
    <x v="166"/>
    <x v="169"/>
    <x v="2"/>
    <s v="GP-20391"/>
    <s v="Gregory Ponce"/>
    <x v="1"/>
    <s v="United States"/>
    <x v="7"/>
    <x v="7"/>
    <x v="2"/>
    <s v="FUR-CH-105507"/>
    <x v="0"/>
    <x v="1"/>
    <s v="Kingsley Mesh-Back Task Chair"/>
    <n v="1242.423"/>
    <n v="2"/>
    <n v="215.90459999999999"/>
    <x v="7"/>
    <x v="6"/>
  </r>
  <r>
    <x v="177"/>
    <x v="167"/>
    <x v="154"/>
    <x v="0"/>
    <s v="KL-20209"/>
    <s v="Kelly Lee"/>
    <x v="2"/>
    <s v="United States"/>
    <x v="11"/>
    <x v="12"/>
    <x v="2"/>
    <s v="FUR-CH-106624"/>
    <x v="0"/>
    <x v="1"/>
    <s v="Adler Fabric Manager's Chair, Slate Gray"/>
    <n v="268.5333"/>
    <n v="2"/>
    <n v="-29.264099999999999"/>
    <x v="5"/>
    <x v="3"/>
  </r>
  <r>
    <x v="178"/>
    <x v="168"/>
    <x v="170"/>
    <x v="2"/>
    <s v="NG-14920"/>
    <s v="Nicole Gonzalez"/>
    <x v="0"/>
    <s v="United States"/>
    <x v="95"/>
    <x v="33"/>
    <x v="3"/>
    <s v="FUR-FU-104133"/>
    <x v="0"/>
    <x v="0"/>
    <s v="Preston Wood Photo Frame, Mahogany"/>
    <n v="287.58589999999998"/>
    <n v="8"/>
    <n v="9.5592000000000006"/>
    <x v="2"/>
    <x v="3"/>
  </r>
  <r>
    <x v="179"/>
    <x v="169"/>
    <x v="171"/>
    <x v="0"/>
    <s v="KR-10685"/>
    <s v="Kelsey Rodriguez"/>
    <x v="2"/>
    <s v="United States"/>
    <x v="21"/>
    <x v="18"/>
    <x v="3"/>
    <s v="FUR-FU-101124"/>
    <x v="0"/>
    <x v="0"/>
    <s v="Rutledge Desk Organizer Tray, Letter Size"/>
    <n v="99.264799999999994"/>
    <n v="4"/>
    <n v="46.364899999999999"/>
    <x v="0"/>
    <x v="10"/>
  </r>
  <r>
    <x v="180"/>
    <x v="56"/>
    <x v="172"/>
    <x v="1"/>
    <s v="DM-21791"/>
    <s v="Daniel Murphy"/>
    <x v="1"/>
    <s v="United States"/>
    <x v="0"/>
    <x v="0"/>
    <x v="0"/>
    <s v="FUR-CH-109697"/>
    <x v="0"/>
    <x v="1"/>
    <s v="Rowan Mid-Back Tilter Chair"/>
    <n v="318.34070000000003"/>
    <n v="2"/>
    <n v="101.7758"/>
    <x v="1"/>
    <x v="2"/>
  </r>
  <r>
    <x v="181"/>
    <x v="170"/>
    <x v="173"/>
    <x v="1"/>
    <s v="AO-10828"/>
    <s v="Amber Obrien"/>
    <x v="2"/>
    <s v="United States"/>
    <x v="72"/>
    <x v="6"/>
    <x v="1"/>
    <s v="FUR-FU-106211"/>
    <x v="0"/>
    <x v="0"/>
    <s v="Aurora Brushed Chrome Wall Clock, 14in"/>
    <n v="18.247699999999998"/>
    <n v="2"/>
    <n v="2.5459000000000001"/>
    <x v="7"/>
    <x v="2"/>
  </r>
  <r>
    <x v="181"/>
    <x v="170"/>
    <x v="173"/>
    <x v="1"/>
    <s v="AO-10828"/>
    <s v="Amber Obrien"/>
    <x v="2"/>
    <s v="United States"/>
    <x v="72"/>
    <x v="6"/>
    <x v="1"/>
    <s v="FUR-FU-103673"/>
    <x v="0"/>
    <x v="0"/>
    <s v="Corcoran Document Holder, Wood"/>
    <n v="29.4314"/>
    <n v="4"/>
    <n v="-26.554300000000001"/>
    <x v="7"/>
    <x v="2"/>
  </r>
  <r>
    <x v="181"/>
    <x v="170"/>
    <x v="173"/>
    <x v="1"/>
    <s v="AO-10828"/>
    <s v="Amber Obrien"/>
    <x v="2"/>
    <s v="United States"/>
    <x v="72"/>
    <x v="6"/>
    <x v="1"/>
    <s v="FUR-CH-102704"/>
    <x v="0"/>
    <x v="1"/>
    <s v="Brookline High-Back Executive Chair, Black Leather"/>
    <n v="176.2955"/>
    <n v="6"/>
    <n v="30.613099999999999"/>
    <x v="7"/>
    <x v="2"/>
  </r>
  <r>
    <x v="182"/>
    <x v="171"/>
    <x v="174"/>
    <x v="2"/>
    <s v="AJ-13566"/>
    <s v="Ariana Jennings"/>
    <x v="0"/>
    <s v="United States"/>
    <x v="7"/>
    <x v="7"/>
    <x v="2"/>
    <s v="FUR-CH-106624"/>
    <x v="0"/>
    <x v="1"/>
    <s v="Adler Fabric Manager's Chair, Slate Gray"/>
    <n v="661.96450000000004"/>
    <n v="8"/>
    <n v="96.518500000000003"/>
    <x v="3"/>
    <x v="8"/>
  </r>
  <r>
    <x v="183"/>
    <x v="172"/>
    <x v="175"/>
    <x v="3"/>
    <s v="JC-14333"/>
    <s v="Julian Conner"/>
    <x v="1"/>
    <s v="United States"/>
    <x v="67"/>
    <x v="24"/>
    <x v="1"/>
    <s v="FUR-BO-106371"/>
    <x v="0"/>
    <x v="2"/>
    <s v="Fairmont Ladder Shelf, Black Metal Frame"/>
    <n v="420.85390000000001"/>
    <n v="5"/>
    <n v="44.164099999999998"/>
    <x v="7"/>
    <x v="3"/>
  </r>
  <r>
    <x v="184"/>
    <x v="173"/>
    <x v="176"/>
    <x v="2"/>
    <s v="AH-20037"/>
    <s v="Andrew Harper"/>
    <x v="1"/>
    <s v="United States"/>
    <x v="3"/>
    <x v="3"/>
    <x v="1"/>
    <s v="FUR-TA-104262"/>
    <x v="0"/>
    <x v="3"/>
    <s v="Thorne End Table, 20-1/2H x 24W x 20D"/>
    <n v="908.25300000000004"/>
    <n v="4"/>
    <n v="233.32749999999999"/>
    <x v="2"/>
    <x v="3"/>
  </r>
  <r>
    <x v="184"/>
    <x v="173"/>
    <x v="176"/>
    <x v="2"/>
    <s v="AH-20037"/>
    <s v="Andrew Harper"/>
    <x v="1"/>
    <s v="United States"/>
    <x v="3"/>
    <x v="3"/>
    <x v="1"/>
    <s v="FUR-FU-107705"/>
    <x v="0"/>
    <x v="0"/>
    <s v="Hawthorne Desk Accessory Set, Oak"/>
    <n v="282.60879999999997"/>
    <n v="2"/>
    <n v="80.873800000000003"/>
    <x v="2"/>
    <x v="3"/>
  </r>
  <r>
    <x v="185"/>
    <x v="174"/>
    <x v="177"/>
    <x v="2"/>
    <s v="DG-14700"/>
    <s v="David Grant"/>
    <x v="0"/>
    <s v="United States"/>
    <x v="96"/>
    <x v="15"/>
    <x v="1"/>
    <s v="FUR-FU-106906"/>
    <x v="0"/>
    <x v="0"/>
    <s v="Cobalt LED Magnifier Lamp with Clamp Base"/>
    <n v="43.333799999999997"/>
    <n v="3"/>
    <n v="-2.8107000000000002"/>
    <x v="6"/>
    <x v="7"/>
  </r>
  <r>
    <x v="186"/>
    <x v="175"/>
    <x v="178"/>
    <x v="1"/>
    <s v="AH-20476"/>
    <s v="Allison Hill"/>
    <x v="0"/>
    <s v="United States"/>
    <x v="53"/>
    <x v="22"/>
    <x v="2"/>
    <s v="FUR-FU-101341"/>
    <x v="0"/>
    <x v="0"/>
    <s v="Griswold Chairmats for Medium Pile Carpet"/>
    <n v="89.992400000000004"/>
    <n v="4"/>
    <n v="23.589099999999998"/>
    <x v="0"/>
    <x v="9"/>
  </r>
  <r>
    <x v="187"/>
    <x v="176"/>
    <x v="179"/>
    <x v="0"/>
    <s v="SM-12167"/>
    <s v="Susan Murray MD"/>
    <x v="2"/>
    <s v="United States"/>
    <x v="78"/>
    <x v="37"/>
    <x v="0"/>
    <s v="FUR-BO-108818"/>
    <x v="0"/>
    <x v="2"/>
    <s v="Meridian Glass-Door Bookcase, Espresso Finish"/>
    <n v="376.24700000000001"/>
    <n v="3"/>
    <n v="79.409700000000001"/>
    <x v="0"/>
    <x v="3"/>
  </r>
  <r>
    <x v="188"/>
    <x v="177"/>
    <x v="130"/>
    <x v="2"/>
    <s v="BG-11771"/>
    <s v="Bobby Guerrero"/>
    <x v="2"/>
    <s v="United States"/>
    <x v="97"/>
    <x v="47"/>
    <x v="0"/>
    <s v="FUR-FU-100317"/>
    <x v="0"/>
    <x v="0"/>
    <s v="Nomad Floor Lamp, Telescoping Adjustable"/>
    <n v="11.74"/>
    <n v="7"/>
    <n v="2.4195000000000002"/>
    <x v="4"/>
    <x v="7"/>
  </r>
  <r>
    <x v="189"/>
    <x v="178"/>
    <x v="180"/>
    <x v="2"/>
    <s v="LS-16267"/>
    <s v="Lance Simmons"/>
    <x v="2"/>
    <s v="United States"/>
    <x v="10"/>
    <x v="11"/>
    <x v="2"/>
    <s v="FUR-CH-102704"/>
    <x v="0"/>
    <x v="1"/>
    <s v="Brookline High-Back Executive Chair, Black Leather"/>
    <n v="457.8467"/>
    <n v="7"/>
    <n v="186.53819999999999"/>
    <x v="4"/>
    <x v="4"/>
  </r>
  <r>
    <x v="189"/>
    <x v="178"/>
    <x v="180"/>
    <x v="2"/>
    <s v="LS-16267"/>
    <s v="Lance Simmons"/>
    <x v="2"/>
    <s v="United States"/>
    <x v="10"/>
    <x v="11"/>
    <x v="2"/>
    <s v="FUR-FU-103673"/>
    <x v="0"/>
    <x v="0"/>
    <s v="Corcoran Document Holder, Wood"/>
    <n v="10.6152"/>
    <n v="3"/>
    <n v="2.8083"/>
    <x v="4"/>
    <x v="4"/>
  </r>
  <r>
    <x v="190"/>
    <x v="179"/>
    <x v="181"/>
    <x v="0"/>
    <s v="KR-20987"/>
    <s v="Kathleen Robertson"/>
    <x v="1"/>
    <s v="United States"/>
    <x v="34"/>
    <x v="29"/>
    <x v="0"/>
    <s v="FUR-FU-108837"/>
    <x v="0"/>
    <x v="0"/>
    <s v="Ivanhoe Poster Frame, Aluminum"/>
    <n v="170.4537"/>
    <n v="2"/>
    <n v="-68.349800000000002"/>
    <x v="0"/>
    <x v="11"/>
  </r>
  <r>
    <x v="190"/>
    <x v="179"/>
    <x v="181"/>
    <x v="0"/>
    <s v="KR-20987"/>
    <s v="Kathleen Robertson"/>
    <x v="1"/>
    <s v="United States"/>
    <x v="34"/>
    <x v="29"/>
    <x v="0"/>
    <s v="FUR-FU-104558"/>
    <x v="0"/>
    <x v="0"/>
    <s v="Lambert Swing Arm Desk Lamp"/>
    <n v="151.19540000000001"/>
    <n v="2"/>
    <n v="27.2667"/>
    <x v="0"/>
    <x v="11"/>
  </r>
  <r>
    <x v="191"/>
    <x v="180"/>
    <x v="182"/>
    <x v="2"/>
    <s v="ME-14304"/>
    <s v="Michelle Evans"/>
    <x v="1"/>
    <s v="United States"/>
    <x v="23"/>
    <x v="5"/>
    <x v="2"/>
    <s v="FUR-FU-104133"/>
    <x v="0"/>
    <x v="0"/>
    <s v="Preston Wood Photo Frame, Mahogany"/>
    <n v="28.119499999999999"/>
    <n v="4"/>
    <n v="2.8875000000000002"/>
    <x v="1"/>
    <x v="3"/>
  </r>
  <r>
    <x v="192"/>
    <x v="181"/>
    <x v="183"/>
    <x v="0"/>
    <s v="SR-16873"/>
    <s v="Stephanie Ross"/>
    <x v="0"/>
    <s v="United States"/>
    <x v="61"/>
    <x v="10"/>
    <x v="1"/>
    <s v="FUR-CH-105507"/>
    <x v="0"/>
    <x v="1"/>
    <s v="Kingsley Mesh-Back Task Chair"/>
    <n v="65.305700000000002"/>
    <n v="5"/>
    <n v="24.334099999999999"/>
    <x v="0"/>
    <x v="5"/>
  </r>
  <r>
    <x v="193"/>
    <x v="182"/>
    <x v="184"/>
    <x v="2"/>
    <s v="DC-16054"/>
    <s v="Dana Chapman"/>
    <x v="2"/>
    <s v="United States"/>
    <x v="36"/>
    <x v="31"/>
    <x v="2"/>
    <s v="FUR-FU-106906"/>
    <x v="0"/>
    <x v="0"/>
    <s v="Cobalt LED Magnifier Lamp with Clamp Base"/>
    <n v="10.539099999999999"/>
    <n v="1"/>
    <n v="3.5474000000000001"/>
    <x v="7"/>
    <x v="8"/>
  </r>
  <r>
    <x v="193"/>
    <x v="182"/>
    <x v="184"/>
    <x v="2"/>
    <s v="DC-16054"/>
    <s v="Dana Chapman"/>
    <x v="2"/>
    <s v="United States"/>
    <x v="36"/>
    <x v="31"/>
    <x v="2"/>
    <s v="FUR-CH-109246"/>
    <x v="0"/>
    <x v="1"/>
    <s v="Beckett Steno Chair, Gray"/>
    <n v="858.81650000000002"/>
    <n v="6"/>
    <n v="373.45359999999999"/>
    <x v="7"/>
    <x v="8"/>
  </r>
  <r>
    <x v="193"/>
    <x v="182"/>
    <x v="184"/>
    <x v="2"/>
    <s v="DC-16054"/>
    <s v="Dana Chapman"/>
    <x v="2"/>
    <s v="United States"/>
    <x v="36"/>
    <x v="31"/>
    <x v="2"/>
    <s v="FUR-TA-103467"/>
    <x v="0"/>
    <x v="3"/>
    <s v="Kessler Round Bullnose High Table"/>
    <n v="792.39200000000005"/>
    <n v="3"/>
    <n v="-398.78579999999999"/>
    <x v="7"/>
    <x v="8"/>
  </r>
  <r>
    <x v="194"/>
    <x v="183"/>
    <x v="185"/>
    <x v="2"/>
    <s v="EM-16745"/>
    <s v="Evelyn Martinez"/>
    <x v="0"/>
    <s v="United States"/>
    <x v="98"/>
    <x v="46"/>
    <x v="3"/>
    <s v="FUR-BO-103595"/>
    <x v="0"/>
    <x v="2"/>
    <s v="Pinehurst 6-Shelf Industrial Bookcase"/>
    <n v="1584.9072000000001"/>
    <n v="5"/>
    <n v="-152.31190000000001"/>
    <x v="5"/>
    <x v="11"/>
  </r>
  <r>
    <x v="195"/>
    <x v="184"/>
    <x v="186"/>
    <x v="2"/>
    <s v="CS-17612"/>
    <s v="Courtney Smith"/>
    <x v="1"/>
    <s v="United States"/>
    <x v="99"/>
    <x v="20"/>
    <x v="2"/>
    <s v="FUR-CH-109697"/>
    <x v="0"/>
    <x v="1"/>
    <s v="Rowan Mid-Back Tilter Chair"/>
    <n v="127.37309999999999"/>
    <n v="7"/>
    <n v="27.701799999999999"/>
    <x v="1"/>
    <x v="4"/>
  </r>
  <r>
    <x v="196"/>
    <x v="185"/>
    <x v="187"/>
    <x v="2"/>
    <s v="PD-15409"/>
    <s v="Pamela Diaz"/>
    <x v="2"/>
    <s v="United States"/>
    <x v="32"/>
    <x v="26"/>
    <x v="3"/>
    <s v="FUR-BO-103595"/>
    <x v="0"/>
    <x v="2"/>
    <s v="Pinehurst 6-Shelf Industrial Bookcase"/>
    <n v="303.34339999999997"/>
    <n v="4"/>
    <n v="-31.431899999999999"/>
    <x v="5"/>
    <x v="5"/>
  </r>
  <r>
    <x v="197"/>
    <x v="159"/>
    <x v="161"/>
    <x v="0"/>
    <s v="AK-12417"/>
    <s v="Amy Kelley"/>
    <x v="1"/>
    <s v="United States"/>
    <x v="14"/>
    <x v="15"/>
    <x v="1"/>
    <s v="FUR-FU-101124"/>
    <x v="0"/>
    <x v="0"/>
    <s v="Rutledge Desk Organizer Tray, Letter Size"/>
    <n v="97.739099999999993"/>
    <n v="4"/>
    <n v="-13.8116"/>
    <x v="0"/>
    <x v="0"/>
  </r>
  <r>
    <x v="198"/>
    <x v="186"/>
    <x v="188"/>
    <x v="2"/>
    <s v="JV-20510"/>
    <s v="Joshua Vance"/>
    <x v="0"/>
    <s v="United States"/>
    <x v="70"/>
    <x v="38"/>
    <x v="1"/>
    <s v="FUR-CH-105507"/>
    <x v="0"/>
    <x v="1"/>
    <s v="Kingsley Mesh-Back Task Chair"/>
    <n v="487.60019999999997"/>
    <n v="6"/>
    <n v="104.19"/>
    <x v="3"/>
    <x v="7"/>
  </r>
  <r>
    <x v="199"/>
    <x v="187"/>
    <x v="189"/>
    <x v="2"/>
    <s v="SJ-11612"/>
    <s v="Shannon James"/>
    <x v="1"/>
    <s v="United States"/>
    <x v="71"/>
    <x v="4"/>
    <x v="1"/>
    <s v="FUR-FU-106906"/>
    <x v="0"/>
    <x v="0"/>
    <s v="Cobalt LED Magnifier Lamp with Clamp Base"/>
    <n v="24.6999"/>
    <n v="8"/>
    <n v="-1.9822"/>
    <x v="4"/>
    <x v="4"/>
  </r>
  <r>
    <x v="200"/>
    <x v="188"/>
    <x v="190"/>
    <x v="2"/>
    <s v="DT-13981"/>
    <s v="Desiree Tyler"/>
    <x v="1"/>
    <s v="United States"/>
    <x v="26"/>
    <x v="25"/>
    <x v="3"/>
    <s v="FUR-BO-106865"/>
    <x v="0"/>
    <x v="2"/>
    <s v="Hartwell Oak 5-Shelf Bookcase"/>
    <n v="307.72059999999999"/>
    <n v="1"/>
    <n v="46.3748"/>
    <x v="7"/>
    <x v="7"/>
  </r>
  <r>
    <x v="200"/>
    <x v="188"/>
    <x v="190"/>
    <x v="2"/>
    <s v="DT-13981"/>
    <s v="Desiree Tyler"/>
    <x v="1"/>
    <s v="United States"/>
    <x v="26"/>
    <x v="25"/>
    <x v="3"/>
    <s v="FUR-TA-106211"/>
    <x v="0"/>
    <x v="3"/>
    <s v="Grantham Half-Moon Meeting Table"/>
    <n v="329.1096"/>
    <n v="1"/>
    <n v="-47.665599999999998"/>
    <x v="7"/>
    <x v="7"/>
  </r>
  <r>
    <x v="201"/>
    <x v="189"/>
    <x v="191"/>
    <x v="2"/>
    <s v="SB-15574"/>
    <s v="Sherri Baker"/>
    <x v="1"/>
    <s v="United States"/>
    <x v="22"/>
    <x v="22"/>
    <x v="2"/>
    <s v="FUR-BO-107999"/>
    <x v="0"/>
    <x v="2"/>
    <s v="Braxton Barrister Bookcase, Mahogany"/>
    <n v="159.10159999999999"/>
    <n v="10"/>
    <n v="-30.018799999999999"/>
    <x v="4"/>
    <x v="4"/>
  </r>
  <r>
    <x v="202"/>
    <x v="190"/>
    <x v="192"/>
    <x v="1"/>
    <s v="AB-12646"/>
    <s v="Ashley Barton"/>
    <x v="2"/>
    <s v="United States"/>
    <x v="100"/>
    <x v="45"/>
    <x v="3"/>
    <s v="FUR-CH-106624"/>
    <x v="0"/>
    <x v="1"/>
    <s v="Adler Fabric Manager's Chair, Slate Gray"/>
    <n v="723.2722"/>
    <n v="4"/>
    <n v="53.863700000000001"/>
    <x v="0"/>
    <x v="10"/>
  </r>
  <r>
    <x v="203"/>
    <x v="191"/>
    <x v="193"/>
    <x v="0"/>
    <s v="GD-21087"/>
    <s v="Gabrielle Davis"/>
    <x v="2"/>
    <s v="United States"/>
    <x v="28"/>
    <x v="4"/>
    <x v="1"/>
    <s v="FUR-FU-108837"/>
    <x v="0"/>
    <x v="0"/>
    <s v="Ivanhoe Poster Frame, Aluminum"/>
    <n v="27.7469"/>
    <n v="3"/>
    <n v="0.58299999999999996"/>
    <x v="0"/>
    <x v="5"/>
  </r>
  <r>
    <x v="204"/>
    <x v="154"/>
    <x v="194"/>
    <x v="2"/>
    <s v="BH-21145"/>
    <s v="Brenda Hall"/>
    <x v="2"/>
    <s v="United States"/>
    <x v="66"/>
    <x v="23"/>
    <x v="2"/>
    <s v="FUR-BO-100475"/>
    <x v="0"/>
    <x v="2"/>
    <s v="Overton 3-Shelf Corner Bookcase"/>
    <n v="310.95659999999998"/>
    <n v="1"/>
    <n v="42.9009"/>
    <x v="7"/>
    <x v="5"/>
  </r>
  <r>
    <x v="204"/>
    <x v="154"/>
    <x v="194"/>
    <x v="2"/>
    <s v="BH-21145"/>
    <s v="Brenda Hall"/>
    <x v="2"/>
    <s v="United States"/>
    <x v="66"/>
    <x v="23"/>
    <x v="2"/>
    <s v="FUR-CH-101375"/>
    <x v="0"/>
    <x v="1"/>
    <s v="Sutton Push-Button Manager's Chair, Indigo"/>
    <n v="1690.2719999999999"/>
    <n v="2"/>
    <n v="154.0992"/>
    <x v="7"/>
    <x v="5"/>
  </r>
  <r>
    <x v="204"/>
    <x v="154"/>
    <x v="194"/>
    <x v="2"/>
    <s v="BH-21145"/>
    <s v="Brenda Hall"/>
    <x v="2"/>
    <s v="United States"/>
    <x v="66"/>
    <x v="23"/>
    <x v="2"/>
    <s v="FUR-FU-104558"/>
    <x v="0"/>
    <x v="0"/>
    <s v="Lambert Swing Arm Desk Lamp"/>
    <n v="17.2501"/>
    <n v="3"/>
    <n v="7.5670000000000002"/>
    <x v="7"/>
    <x v="5"/>
  </r>
  <r>
    <x v="205"/>
    <x v="192"/>
    <x v="195"/>
    <x v="2"/>
    <s v="NJ-14114"/>
    <s v="Nancy Jennings"/>
    <x v="2"/>
    <s v="United States"/>
    <x v="37"/>
    <x v="14"/>
    <x v="3"/>
    <s v="FUR-TA-105529"/>
    <x v="0"/>
    <x v="3"/>
    <s v="Fenwick Compact Office Desk"/>
    <n v="775.49760000000003"/>
    <n v="2"/>
    <n v="-184.02119999999999"/>
    <x v="5"/>
    <x v="5"/>
  </r>
  <r>
    <x v="205"/>
    <x v="192"/>
    <x v="195"/>
    <x v="2"/>
    <s v="NJ-14114"/>
    <s v="Nancy Jennings"/>
    <x v="2"/>
    <s v="United States"/>
    <x v="37"/>
    <x v="14"/>
    <x v="3"/>
    <s v="FUR-FU-108837"/>
    <x v="0"/>
    <x v="0"/>
    <s v="Ivanhoe Poster Frame, Aluminum"/>
    <n v="244.20179999999999"/>
    <n v="5"/>
    <n v="167.42330000000001"/>
    <x v="5"/>
    <x v="5"/>
  </r>
  <r>
    <x v="206"/>
    <x v="193"/>
    <x v="196"/>
    <x v="2"/>
    <s v="MC-12925"/>
    <s v="Michael Cooper"/>
    <x v="2"/>
    <s v="United States"/>
    <x v="101"/>
    <x v="11"/>
    <x v="2"/>
    <s v="FUR-CH-102091"/>
    <x v="0"/>
    <x v="1"/>
    <s v="Vantage Swivel Task Chair, Blue"/>
    <n v="502.22969999999998"/>
    <n v="4"/>
    <n v="133.08590000000001"/>
    <x v="2"/>
    <x v="9"/>
  </r>
  <r>
    <x v="207"/>
    <x v="194"/>
    <x v="197"/>
    <x v="2"/>
    <s v="MT-20021"/>
    <s v="Mary Thompson"/>
    <x v="1"/>
    <s v="United States"/>
    <x v="67"/>
    <x v="24"/>
    <x v="1"/>
    <s v="FUR-CH-109246"/>
    <x v="0"/>
    <x v="1"/>
    <s v="Beckett Steno Chair, Gray"/>
    <n v="905.61389999999994"/>
    <n v="2"/>
    <n v="101.3599"/>
    <x v="0"/>
    <x v="9"/>
  </r>
  <r>
    <x v="207"/>
    <x v="194"/>
    <x v="197"/>
    <x v="2"/>
    <s v="MT-20021"/>
    <s v="Mary Thompson"/>
    <x v="1"/>
    <s v="United States"/>
    <x v="67"/>
    <x v="24"/>
    <x v="1"/>
    <s v="FUR-CH-106624"/>
    <x v="0"/>
    <x v="1"/>
    <s v="Adler Fabric Manager's Chair, Slate Gray"/>
    <n v="832.03660000000002"/>
    <n v="3"/>
    <n v="363.32139999999998"/>
    <x v="0"/>
    <x v="9"/>
  </r>
  <r>
    <x v="208"/>
    <x v="195"/>
    <x v="198"/>
    <x v="3"/>
    <s v="JC-12900"/>
    <s v="Judith Carter"/>
    <x v="2"/>
    <s v="United States"/>
    <x v="102"/>
    <x v="35"/>
    <x v="3"/>
    <s v="FUR-CH-102091"/>
    <x v="0"/>
    <x v="1"/>
    <s v="Vantage Swivel Task Chair, Blue"/>
    <n v="1625.7463"/>
    <n v="4"/>
    <n v="-321.12650000000002"/>
    <x v="7"/>
    <x v="2"/>
  </r>
  <r>
    <x v="209"/>
    <x v="196"/>
    <x v="199"/>
    <x v="2"/>
    <s v="JA-15573"/>
    <s v="Jennifer Adkins"/>
    <x v="1"/>
    <s v="United States"/>
    <x v="71"/>
    <x v="4"/>
    <x v="1"/>
    <s v="FUR-FU-107705"/>
    <x v="0"/>
    <x v="0"/>
    <s v="Hawthorne Desk Accessory Set, Oak"/>
    <n v="29.054099999999998"/>
    <n v="4"/>
    <n v="13.969099999999999"/>
    <x v="4"/>
    <x v="10"/>
  </r>
  <r>
    <x v="210"/>
    <x v="197"/>
    <x v="200"/>
    <x v="1"/>
    <s v="JB-11020"/>
    <s v="Jonathan Brooks"/>
    <x v="2"/>
    <s v="United States"/>
    <x v="78"/>
    <x v="37"/>
    <x v="0"/>
    <s v="FUR-CH-106455"/>
    <x v="0"/>
    <x v="1"/>
    <s v="Nolan Leather Highback Chair, Pneumatic Adjustment"/>
    <n v="1614.1186"/>
    <n v="4"/>
    <n v="-360.77710000000002"/>
    <x v="1"/>
    <x v="1"/>
  </r>
  <r>
    <x v="211"/>
    <x v="198"/>
    <x v="201"/>
    <x v="1"/>
    <s v="HJ-19197"/>
    <s v="Helen Jones"/>
    <x v="2"/>
    <s v="United States"/>
    <x v="49"/>
    <x v="36"/>
    <x v="0"/>
    <s v="FUR-FU-104558"/>
    <x v="0"/>
    <x v="0"/>
    <s v="Lambert Swing Arm Desk Lamp"/>
    <n v="97.148600000000002"/>
    <n v="2"/>
    <n v="19.9619"/>
    <x v="0"/>
    <x v="3"/>
  </r>
  <r>
    <x v="212"/>
    <x v="122"/>
    <x v="202"/>
    <x v="2"/>
    <s v="AL-15977"/>
    <s v="Angela Lopez"/>
    <x v="2"/>
    <s v="United States"/>
    <x v="26"/>
    <x v="25"/>
    <x v="3"/>
    <s v="FUR-FU-107705"/>
    <x v="0"/>
    <x v="0"/>
    <s v="Hawthorne Desk Accessory Set, Oak"/>
    <n v="39.224699999999999"/>
    <n v="1"/>
    <n v="16.547499999999999"/>
    <x v="1"/>
    <x v="6"/>
  </r>
  <r>
    <x v="213"/>
    <x v="199"/>
    <x v="203"/>
    <x v="2"/>
    <s v="LI-16658"/>
    <s v="Lori Ingram"/>
    <x v="2"/>
    <s v="United States"/>
    <x v="99"/>
    <x v="20"/>
    <x v="2"/>
    <s v="FUR-CH-102704"/>
    <x v="0"/>
    <x v="1"/>
    <s v="Brookline High-Back Executive Chair, Black Leather"/>
    <n v="779.18730000000005"/>
    <n v="1"/>
    <n v="-126.5651"/>
    <x v="2"/>
    <x v="10"/>
  </r>
  <r>
    <x v="214"/>
    <x v="200"/>
    <x v="204"/>
    <x v="0"/>
    <s v="DG-19052"/>
    <s v="Dustin Gallegos"/>
    <x v="0"/>
    <s v="United States"/>
    <x v="12"/>
    <x v="13"/>
    <x v="3"/>
    <s v="FUR-FU-106211"/>
    <x v="0"/>
    <x v="0"/>
    <s v="Aurora Brushed Chrome Wall Clock, 14in"/>
    <n v="66.762699999999995"/>
    <n v="6"/>
    <n v="7.3693999999999997"/>
    <x v="5"/>
    <x v="3"/>
  </r>
  <r>
    <x v="215"/>
    <x v="201"/>
    <x v="196"/>
    <x v="2"/>
    <s v="BS-15718"/>
    <s v="Brian Smith"/>
    <x v="2"/>
    <s v="United States"/>
    <x v="83"/>
    <x v="27"/>
    <x v="0"/>
    <s v="FUR-FU-107705"/>
    <x v="0"/>
    <x v="0"/>
    <s v="Hawthorne Desk Accessory Set, Oak"/>
    <n v="372.06290000000001"/>
    <n v="1"/>
    <n v="-11.098800000000001"/>
    <x v="7"/>
    <x v="9"/>
  </r>
  <r>
    <x v="215"/>
    <x v="201"/>
    <x v="196"/>
    <x v="2"/>
    <s v="BS-15718"/>
    <s v="Brian Smith"/>
    <x v="2"/>
    <s v="United States"/>
    <x v="83"/>
    <x v="27"/>
    <x v="0"/>
    <s v="FUR-TA-105363"/>
    <x v="0"/>
    <x v="3"/>
    <s v="Ashcombe Rectangular Table Top"/>
    <n v="1536.5601999999999"/>
    <n v="6"/>
    <n v="77.677199999999999"/>
    <x v="7"/>
    <x v="9"/>
  </r>
  <r>
    <x v="215"/>
    <x v="201"/>
    <x v="196"/>
    <x v="2"/>
    <s v="BS-15718"/>
    <s v="Brian Smith"/>
    <x v="2"/>
    <s v="United States"/>
    <x v="83"/>
    <x v="27"/>
    <x v="0"/>
    <s v="FUR-CH-109246"/>
    <x v="0"/>
    <x v="1"/>
    <s v="Beckett Steno Chair, Gray"/>
    <n v="206.3407"/>
    <n v="4"/>
    <n v="0.47410000000000002"/>
    <x v="7"/>
    <x v="9"/>
  </r>
  <r>
    <x v="216"/>
    <x v="202"/>
    <x v="205"/>
    <x v="2"/>
    <s v="GJ-12584"/>
    <s v="Gary Jackson"/>
    <x v="2"/>
    <s v="United States"/>
    <x v="97"/>
    <x v="32"/>
    <x v="3"/>
    <s v="FUR-FU-100853"/>
    <x v="0"/>
    <x v="0"/>
    <s v="Blaine Cubicle Wall Clock, Black"/>
    <n v="94.956500000000005"/>
    <n v="3"/>
    <n v="-50.168199999999999"/>
    <x v="3"/>
    <x v="11"/>
  </r>
  <r>
    <x v="217"/>
    <x v="203"/>
    <x v="206"/>
    <x v="1"/>
    <s v="JJ-14808"/>
    <s v="Jeffrey Johnson"/>
    <x v="2"/>
    <s v="United States"/>
    <x v="75"/>
    <x v="39"/>
    <x v="0"/>
    <s v="FUR-FU-104133"/>
    <x v="0"/>
    <x v="0"/>
    <s v="Preston Wood Photo Frame, Mahogany"/>
    <n v="67.5595"/>
    <n v="1"/>
    <n v="16.063400000000001"/>
    <x v="1"/>
    <x v="7"/>
  </r>
  <r>
    <x v="218"/>
    <x v="204"/>
    <x v="207"/>
    <x v="2"/>
    <s v="NP-19260"/>
    <s v="Nicole Parrish"/>
    <x v="0"/>
    <s v="United States"/>
    <x v="49"/>
    <x v="36"/>
    <x v="0"/>
    <s v="FUR-BO-106371"/>
    <x v="0"/>
    <x v="2"/>
    <s v="Fairmont Ladder Shelf, Black Metal Frame"/>
    <n v="87.866699999999994"/>
    <n v="6"/>
    <n v="-46.383699999999997"/>
    <x v="4"/>
    <x v="1"/>
  </r>
  <r>
    <x v="218"/>
    <x v="204"/>
    <x v="207"/>
    <x v="2"/>
    <s v="NP-19260"/>
    <s v="Nicole Parrish"/>
    <x v="0"/>
    <s v="United States"/>
    <x v="49"/>
    <x v="36"/>
    <x v="0"/>
    <s v="FUR-CH-109246"/>
    <x v="0"/>
    <x v="1"/>
    <s v="Beckett Steno Chair, Gray"/>
    <n v="293.46550000000002"/>
    <n v="1"/>
    <n v="43.910299999999999"/>
    <x v="4"/>
    <x v="1"/>
  </r>
  <r>
    <x v="219"/>
    <x v="205"/>
    <x v="208"/>
    <x v="2"/>
    <s v="TP-18977"/>
    <s v="Thomas Peterson"/>
    <x v="0"/>
    <s v="United States"/>
    <x v="82"/>
    <x v="19"/>
    <x v="2"/>
    <s v="FUR-CH-107657"/>
    <x v="0"/>
    <x v="1"/>
    <s v="Hollis Stacking Chair, Rounded Back"/>
    <n v="98.2089"/>
    <n v="2"/>
    <n v="-14.2761"/>
    <x v="7"/>
    <x v="5"/>
  </r>
  <r>
    <x v="220"/>
    <x v="206"/>
    <x v="209"/>
    <x v="2"/>
    <s v="AH-20476"/>
    <s v="Allison Hill"/>
    <x v="2"/>
    <s v="United States"/>
    <x v="79"/>
    <x v="16"/>
    <x v="0"/>
    <s v="FUR-FU-107705"/>
    <x v="0"/>
    <x v="0"/>
    <s v="Hawthorne Desk Accessory Set, Oak"/>
    <n v="92.582700000000003"/>
    <n v="5"/>
    <n v="47.101500000000001"/>
    <x v="1"/>
    <x v="5"/>
  </r>
  <r>
    <x v="220"/>
    <x v="206"/>
    <x v="209"/>
    <x v="2"/>
    <s v="AH-20476"/>
    <s v="Allison Hill"/>
    <x v="2"/>
    <s v="United States"/>
    <x v="79"/>
    <x v="16"/>
    <x v="0"/>
    <s v="FUR-BO-108947"/>
    <x v="0"/>
    <x v="2"/>
    <s v="Concord Ladder Bookcase, Walnut"/>
    <n v="453.52699999999999"/>
    <n v="4"/>
    <n v="-57.624600000000001"/>
    <x v="1"/>
    <x v="5"/>
  </r>
  <r>
    <x v="221"/>
    <x v="207"/>
    <x v="210"/>
    <x v="0"/>
    <s v="CJ-15155"/>
    <s v="Crystal Johnson"/>
    <x v="0"/>
    <s v="United States"/>
    <x v="3"/>
    <x v="3"/>
    <x v="1"/>
    <s v="FUR-CH-108751"/>
    <x v="0"/>
    <x v="1"/>
    <s v="Prescott Ergonomic Chair with Lumbar Support"/>
    <n v="511.65"/>
    <n v="3"/>
    <n v="-34.667400000000001"/>
    <x v="5"/>
    <x v="6"/>
  </r>
  <r>
    <x v="222"/>
    <x v="26"/>
    <x v="211"/>
    <x v="2"/>
    <s v="SS-10158"/>
    <s v="Shelly Spencer"/>
    <x v="1"/>
    <s v="United States"/>
    <x v="88"/>
    <x v="31"/>
    <x v="2"/>
    <s v="FUR-FU-106906"/>
    <x v="0"/>
    <x v="0"/>
    <s v="Cobalt LED Magnifier Lamp with Clamp Base"/>
    <n v="116.3437"/>
    <n v="3"/>
    <n v="11.9514"/>
    <x v="4"/>
    <x v="11"/>
  </r>
  <r>
    <x v="223"/>
    <x v="208"/>
    <x v="156"/>
    <x v="3"/>
    <s v="JT-14892"/>
    <s v="James Tran"/>
    <x v="2"/>
    <s v="United States"/>
    <x v="60"/>
    <x v="40"/>
    <x v="0"/>
    <s v="FUR-CH-109246"/>
    <x v="0"/>
    <x v="1"/>
    <s v="Beckett Steno Chair, Gray"/>
    <n v="153.1995"/>
    <n v="3"/>
    <n v="30.956299999999999"/>
    <x v="7"/>
    <x v="5"/>
  </r>
  <r>
    <x v="223"/>
    <x v="208"/>
    <x v="156"/>
    <x v="3"/>
    <s v="JT-14892"/>
    <s v="James Tran"/>
    <x v="2"/>
    <s v="United States"/>
    <x v="60"/>
    <x v="40"/>
    <x v="0"/>
    <s v="FUR-BO-107956"/>
    <x v="0"/>
    <x v="2"/>
    <s v="Sterling Wide Bookcase, Charcoal Gray"/>
    <n v="765.22450000000003"/>
    <n v="4"/>
    <n v="-537.4126"/>
    <x v="7"/>
    <x v="5"/>
  </r>
  <r>
    <x v="224"/>
    <x v="209"/>
    <x v="212"/>
    <x v="0"/>
    <s v="RD-18976"/>
    <s v="Robert Dennis"/>
    <x v="1"/>
    <s v="United States"/>
    <x v="103"/>
    <x v="43"/>
    <x v="2"/>
    <s v="FUR-CH-100444"/>
    <x v="0"/>
    <x v="1"/>
    <s v="Harborview Mesh Task Chair, Adjustable Arms"/>
    <n v="4400"/>
    <n v="2"/>
    <n v="835.62729999999999"/>
    <x v="0"/>
    <x v="11"/>
  </r>
  <r>
    <x v="225"/>
    <x v="210"/>
    <x v="213"/>
    <x v="2"/>
    <s v="BT-12426"/>
    <s v="Brenda Thornton"/>
    <x v="2"/>
    <s v="United States"/>
    <x v="7"/>
    <x v="9"/>
    <x v="0"/>
    <s v="FUR-BO-104471"/>
    <x v="0"/>
    <x v="2"/>
    <s v="Camden Modular Bookcase, Custom Colors"/>
    <n v="923.31960000000004"/>
    <n v="2"/>
    <n v="54.016199999999998"/>
    <x v="0"/>
    <x v="3"/>
  </r>
  <r>
    <x v="226"/>
    <x v="57"/>
    <x v="214"/>
    <x v="2"/>
    <s v="ME-13335"/>
    <s v="Mary Escobar"/>
    <x v="2"/>
    <s v="United States"/>
    <x v="23"/>
    <x v="5"/>
    <x v="2"/>
    <s v="FUR-FU-103673"/>
    <x v="0"/>
    <x v="0"/>
    <s v="Corcoran Document Holder, Wood"/>
    <n v="25.41"/>
    <n v="6"/>
    <n v="2.3582999999999998"/>
    <x v="6"/>
    <x v="8"/>
  </r>
  <r>
    <x v="227"/>
    <x v="211"/>
    <x v="215"/>
    <x v="2"/>
    <s v="RB-15974"/>
    <s v="Riley Bryant"/>
    <x v="2"/>
    <s v="United States"/>
    <x v="104"/>
    <x v="26"/>
    <x v="3"/>
    <s v="FUR-CH-100441"/>
    <x v="0"/>
    <x v="1"/>
    <s v="Dalton Folding Chair, 4/Carton"/>
    <n v="777.13710000000003"/>
    <n v="4"/>
    <n v="56.466999999999999"/>
    <x v="0"/>
    <x v="6"/>
  </r>
  <r>
    <x v="228"/>
    <x v="212"/>
    <x v="94"/>
    <x v="3"/>
    <s v="NM-15344"/>
    <s v="Nancy Evans MD"/>
    <x v="0"/>
    <s v="United States"/>
    <x v="97"/>
    <x v="32"/>
    <x v="3"/>
    <s v="FUR-FU-100317"/>
    <x v="0"/>
    <x v="0"/>
    <s v="Nomad Floor Lamp, Telescoping Adjustable"/>
    <n v="475.6789"/>
    <n v="5"/>
    <n v="111.44499999999999"/>
    <x v="7"/>
    <x v="4"/>
  </r>
  <r>
    <x v="228"/>
    <x v="212"/>
    <x v="94"/>
    <x v="3"/>
    <s v="NM-15344"/>
    <s v="Nancy Evans MD"/>
    <x v="0"/>
    <s v="United States"/>
    <x v="97"/>
    <x v="32"/>
    <x v="3"/>
    <s v="FUR-FU-106906"/>
    <x v="0"/>
    <x v="0"/>
    <s v="Cobalt LED Magnifier Lamp with Clamp Base"/>
    <n v="176.56129999999999"/>
    <n v="6"/>
    <n v="-32.642299999999999"/>
    <x v="7"/>
    <x v="4"/>
  </r>
  <r>
    <x v="229"/>
    <x v="213"/>
    <x v="216"/>
    <x v="2"/>
    <s v="PC-20501"/>
    <s v="Paul Castaneda"/>
    <x v="2"/>
    <s v="United States"/>
    <x v="105"/>
    <x v="10"/>
    <x v="1"/>
    <s v="FUR-CH-106624"/>
    <x v="0"/>
    <x v="1"/>
    <s v="Adler Fabric Manager's Chair, Slate Gray"/>
    <n v="1486.7628999999999"/>
    <n v="2"/>
    <n v="239.50210000000001"/>
    <x v="3"/>
    <x v="8"/>
  </r>
  <r>
    <x v="230"/>
    <x v="214"/>
    <x v="217"/>
    <x v="2"/>
    <s v="TB-15279"/>
    <s v="Tina Ballard"/>
    <x v="1"/>
    <s v="United States"/>
    <x v="86"/>
    <x v="43"/>
    <x v="2"/>
    <s v="FUR-FU-103673"/>
    <x v="0"/>
    <x v="0"/>
    <s v="Corcoran Document Holder, Wood"/>
    <n v="48.5503"/>
    <n v="4"/>
    <n v="11.855"/>
    <x v="2"/>
    <x v="6"/>
  </r>
  <r>
    <x v="231"/>
    <x v="215"/>
    <x v="218"/>
    <x v="3"/>
    <s v="EW-12060"/>
    <s v="Erin Warner"/>
    <x v="2"/>
    <s v="United States"/>
    <x v="49"/>
    <x v="36"/>
    <x v="0"/>
    <s v="FUR-CH-100441"/>
    <x v="0"/>
    <x v="1"/>
    <s v="Dalton Folding Chair, 4/Carton"/>
    <n v="1258.0649000000001"/>
    <n v="4"/>
    <n v="222.67580000000001"/>
    <x v="7"/>
    <x v="8"/>
  </r>
  <r>
    <x v="232"/>
    <x v="216"/>
    <x v="219"/>
    <x v="1"/>
    <s v="KR-18849"/>
    <s v="Kristen Rowe"/>
    <x v="2"/>
    <s v="United States"/>
    <x v="103"/>
    <x v="43"/>
    <x v="2"/>
    <s v="FUR-BO-104471"/>
    <x v="0"/>
    <x v="2"/>
    <s v="Camden Modular Bookcase, Custom Colors"/>
    <n v="999.79240000000004"/>
    <n v="1"/>
    <n v="200.82749999999999"/>
    <x v="0"/>
    <x v="0"/>
  </r>
  <r>
    <x v="233"/>
    <x v="217"/>
    <x v="95"/>
    <x v="2"/>
    <s v="SS-11049"/>
    <s v="Susan Serrano"/>
    <x v="0"/>
    <s v="United States"/>
    <x v="13"/>
    <x v="14"/>
    <x v="3"/>
    <s v="FUR-TA-107449"/>
    <x v="0"/>
    <x v="3"/>
    <s v="Pembroke 36 x 72 Conference Table"/>
    <n v="783.0462"/>
    <n v="6"/>
    <n v="-136.93600000000001"/>
    <x v="4"/>
    <x v="0"/>
  </r>
  <r>
    <x v="234"/>
    <x v="218"/>
    <x v="220"/>
    <x v="1"/>
    <s v="JC-14669"/>
    <s v="Jennifer Collins"/>
    <x v="0"/>
    <s v="United States"/>
    <x v="44"/>
    <x v="19"/>
    <x v="2"/>
    <s v="FUR-CH-102091"/>
    <x v="0"/>
    <x v="1"/>
    <s v="Vantage Swivel Task Chair, Blue"/>
    <n v="319.39409999999998"/>
    <n v="3"/>
    <n v="-84.341200000000001"/>
    <x v="0"/>
    <x v="6"/>
  </r>
  <r>
    <x v="235"/>
    <x v="219"/>
    <x v="221"/>
    <x v="2"/>
    <s v="JC-16924"/>
    <s v="Jeffrey Chavez"/>
    <x v="2"/>
    <s v="United States"/>
    <x v="2"/>
    <x v="2"/>
    <x v="0"/>
    <s v="FUR-FU-106906"/>
    <x v="0"/>
    <x v="0"/>
    <s v="Cobalt LED Magnifier Lamp with Clamp Base"/>
    <n v="8.4913000000000007"/>
    <n v="2"/>
    <n v="5.1607000000000003"/>
    <x v="1"/>
    <x v="9"/>
  </r>
  <r>
    <x v="235"/>
    <x v="219"/>
    <x v="221"/>
    <x v="2"/>
    <s v="JC-16924"/>
    <s v="Jeffrey Chavez"/>
    <x v="2"/>
    <s v="United States"/>
    <x v="2"/>
    <x v="2"/>
    <x v="0"/>
    <s v="FUR-BO-108818"/>
    <x v="0"/>
    <x v="2"/>
    <s v="Meridian Glass-Door Bookcase, Espresso Finish"/>
    <n v="166.95140000000001"/>
    <n v="1"/>
    <n v="4.0572999999999997"/>
    <x v="1"/>
    <x v="9"/>
  </r>
  <r>
    <x v="235"/>
    <x v="219"/>
    <x v="221"/>
    <x v="2"/>
    <s v="JC-16924"/>
    <s v="Jeffrey Chavez"/>
    <x v="2"/>
    <s v="United States"/>
    <x v="2"/>
    <x v="2"/>
    <x v="0"/>
    <s v="FUR-FU-100317"/>
    <x v="0"/>
    <x v="0"/>
    <s v="Nomad Floor Lamp, Telescoping Adjustable"/>
    <n v="24.061499999999999"/>
    <n v="6"/>
    <n v="14.489699999999999"/>
    <x v="1"/>
    <x v="9"/>
  </r>
  <r>
    <x v="236"/>
    <x v="220"/>
    <x v="222"/>
    <x v="2"/>
    <s v="CC-10400"/>
    <s v="Casey Chase"/>
    <x v="2"/>
    <s v="United States"/>
    <x v="65"/>
    <x v="41"/>
    <x v="3"/>
    <s v="FUR-TA-107022"/>
    <x v="0"/>
    <x v="3"/>
    <s v="Alden Rectangular Conference Table"/>
    <n v="1033.5748000000001"/>
    <n v="3"/>
    <n v="-248.51589999999999"/>
    <x v="4"/>
    <x v="5"/>
  </r>
  <r>
    <x v="236"/>
    <x v="220"/>
    <x v="222"/>
    <x v="2"/>
    <s v="CC-10400"/>
    <s v="Casey Chase"/>
    <x v="2"/>
    <s v="United States"/>
    <x v="65"/>
    <x v="41"/>
    <x v="3"/>
    <s v="FUR-FU-105733"/>
    <x v="0"/>
    <x v="0"/>
    <s v="Sable Halogen Replacement Bulb, 2-Pack"/>
    <n v="50.977899999999998"/>
    <n v="1"/>
    <n v="-16.2028"/>
    <x v="4"/>
    <x v="5"/>
  </r>
  <r>
    <x v="237"/>
    <x v="221"/>
    <x v="223"/>
    <x v="1"/>
    <s v="DM-20738"/>
    <s v="Diana May"/>
    <x v="2"/>
    <s v="United States"/>
    <x v="1"/>
    <x v="1"/>
    <x v="0"/>
    <s v="FUR-FU-100853"/>
    <x v="0"/>
    <x v="0"/>
    <s v="Blaine Cubicle Wall Clock, Black"/>
    <n v="161.11240000000001"/>
    <n v="10"/>
    <n v="55.743600000000001"/>
    <x v="1"/>
    <x v="6"/>
  </r>
  <r>
    <x v="238"/>
    <x v="222"/>
    <x v="224"/>
    <x v="2"/>
    <s v="JA-16939"/>
    <s v="Jasmin Alvarado"/>
    <x v="2"/>
    <s v="United States"/>
    <x v="11"/>
    <x v="12"/>
    <x v="2"/>
    <s v="FUR-CH-109246"/>
    <x v="0"/>
    <x v="1"/>
    <s v="Beckett Steno Chair, Gray"/>
    <n v="604.55650000000003"/>
    <n v="3"/>
    <n v="112.9691"/>
    <x v="1"/>
    <x v="2"/>
  </r>
  <r>
    <x v="239"/>
    <x v="112"/>
    <x v="225"/>
    <x v="0"/>
    <s v="BF-13527"/>
    <s v="Brittany Farmer"/>
    <x v="2"/>
    <s v="United States"/>
    <x v="105"/>
    <x v="10"/>
    <x v="1"/>
    <s v="FUR-BO-103613"/>
    <x v="0"/>
    <x v="2"/>
    <s v="Winslow Corner Bookcase, White"/>
    <n v="149.17599999999999"/>
    <n v="3"/>
    <n v="-46.033200000000001"/>
    <x v="1"/>
    <x v="11"/>
  </r>
  <r>
    <x v="239"/>
    <x v="112"/>
    <x v="225"/>
    <x v="0"/>
    <s v="BF-13527"/>
    <s v="Brittany Farmer"/>
    <x v="2"/>
    <s v="United States"/>
    <x v="105"/>
    <x v="10"/>
    <x v="1"/>
    <s v="FUR-CH-106455"/>
    <x v="0"/>
    <x v="1"/>
    <s v="Nolan Leather Highback Chair, Pneumatic Adjustment"/>
    <n v="159.9632"/>
    <n v="5"/>
    <n v="-13.7105"/>
    <x v="1"/>
    <x v="11"/>
  </r>
  <r>
    <x v="240"/>
    <x v="223"/>
    <x v="226"/>
    <x v="0"/>
    <s v="LR-10344"/>
    <s v="Laura Roberts"/>
    <x v="2"/>
    <s v="United States"/>
    <x v="23"/>
    <x v="5"/>
    <x v="2"/>
    <s v="FUR-CH-107657"/>
    <x v="0"/>
    <x v="1"/>
    <s v="Hollis Stacking Chair, Rounded Back"/>
    <n v="809.76570000000004"/>
    <n v="1"/>
    <n v="-66.317700000000002"/>
    <x v="3"/>
    <x v="4"/>
  </r>
  <r>
    <x v="241"/>
    <x v="224"/>
    <x v="227"/>
    <x v="2"/>
    <s v="KB-19932"/>
    <s v="Kristy Bryan"/>
    <x v="0"/>
    <s v="United States"/>
    <x v="48"/>
    <x v="35"/>
    <x v="3"/>
    <s v="FUR-FU-105733"/>
    <x v="0"/>
    <x v="0"/>
    <s v="Sable Halogen Replacement Bulb, 2-Pack"/>
    <n v="9.0419999999999998"/>
    <n v="3"/>
    <n v="0.85209999999999997"/>
    <x v="2"/>
    <x v="6"/>
  </r>
  <r>
    <x v="242"/>
    <x v="225"/>
    <x v="228"/>
    <x v="2"/>
    <s v="SH-19295"/>
    <s v="Spencer Haynes"/>
    <x v="0"/>
    <s v="United States"/>
    <x v="0"/>
    <x v="0"/>
    <x v="0"/>
    <s v="FUR-CH-107657"/>
    <x v="0"/>
    <x v="1"/>
    <s v="Hollis Stacking Chair, Rounded Back"/>
    <n v="404.95639999999997"/>
    <n v="1"/>
    <n v="50.347700000000003"/>
    <x v="6"/>
    <x v="1"/>
  </r>
  <r>
    <x v="243"/>
    <x v="226"/>
    <x v="229"/>
    <x v="2"/>
    <s v="JD-13878"/>
    <s v="Julie Dominguez"/>
    <x v="2"/>
    <s v="United States"/>
    <x v="87"/>
    <x v="17"/>
    <x v="3"/>
    <s v="FUR-CH-106455"/>
    <x v="0"/>
    <x v="1"/>
    <s v="Nolan Leather Highback Chair, Pneumatic Adjustment"/>
    <n v="166.50829999999999"/>
    <n v="7"/>
    <n v="10.1089"/>
    <x v="6"/>
    <x v="3"/>
  </r>
  <r>
    <x v="244"/>
    <x v="207"/>
    <x v="230"/>
    <x v="2"/>
    <s v="KD-11964"/>
    <s v="Kerry Chavez DDS"/>
    <x v="2"/>
    <s v="United States"/>
    <x v="3"/>
    <x v="3"/>
    <x v="1"/>
    <s v="FUR-FU-104133"/>
    <x v="0"/>
    <x v="0"/>
    <s v="Preston Wood Photo Frame, Mahogany"/>
    <n v="59.8367"/>
    <n v="2"/>
    <n v="30.148499999999999"/>
    <x v="7"/>
    <x v="6"/>
  </r>
  <r>
    <x v="245"/>
    <x v="64"/>
    <x v="231"/>
    <x v="1"/>
    <s v="JB-11020"/>
    <s v="Jonathan Brooks"/>
    <x v="2"/>
    <s v="United States"/>
    <x v="18"/>
    <x v="19"/>
    <x v="2"/>
    <s v="FUR-FU-103673"/>
    <x v="0"/>
    <x v="0"/>
    <s v="Corcoran Document Holder, Wood"/>
    <n v="79.616500000000002"/>
    <n v="3"/>
    <n v="20.888000000000002"/>
    <x v="1"/>
    <x v="1"/>
  </r>
  <r>
    <x v="246"/>
    <x v="165"/>
    <x v="232"/>
    <x v="2"/>
    <s v="LG-14061"/>
    <s v="Lori Guerrero"/>
    <x v="2"/>
    <s v="United States"/>
    <x v="40"/>
    <x v="15"/>
    <x v="1"/>
    <s v="FUR-TA-102977"/>
    <x v="0"/>
    <x v="3"/>
    <s v="Caldwell 44 x 96 Conference Table"/>
    <n v="152.9169"/>
    <n v="8"/>
    <n v="-27.465399999999999"/>
    <x v="2"/>
    <x v="2"/>
  </r>
  <r>
    <x v="246"/>
    <x v="165"/>
    <x v="232"/>
    <x v="2"/>
    <s v="LG-14061"/>
    <s v="Lori Guerrero"/>
    <x v="2"/>
    <s v="United States"/>
    <x v="40"/>
    <x v="15"/>
    <x v="1"/>
    <s v="FUR-TA-105355"/>
    <x v="0"/>
    <x v="3"/>
    <s v="Wexford Racetrack Conference Table"/>
    <n v="859.31859999999995"/>
    <n v="5"/>
    <n v="-278.66219999999998"/>
    <x v="2"/>
    <x v="2"/>
  </r>
  <r>
    <x v="247"/>
    <x v="227"/>
    <x v="233"/>
    <x v="2"/>
    <s v="KS-20876"/>
    <s v="Kimberly Sharp"/>
    <x v="2"/>
    <s v="United States"/>
    <x v="72"/>
    <x v="6"/>
    <x v="1"/>
    <s v="FUR-CH-106624"/>
    <x v="0"/>
    <x v="1"/>
    <s v="Adler Fabric Manager's Chair, Slate Gray"/>
    <n v="287.8775"/>
    <n v="6"/>
    <n v="41.931899999999999"/>
    <x v="3"/>
    <x v="2"/>
  </r>
  <r>
    <x v="248"/>
    <x v="228"/>
    <x v="234"/>
    <x v="0"/>
    <s v="KC-17305"/>
    <s v="Kyle Chambers"/>
    <x v="2"/>
    <s v="United States"/>
    <x v="106"/>
    <x v="34"/>
    <x v="1"/>
    <s v="FUR-TA-102977"/>
    <x v="0"/>
    <x v="3"/>
    <s v="Caldwell 44 x 96 Conference Table"/>
    <n v="251.45050000000001"/>
    <n v="9"/>
    <n v="-127.45"/>
    <x v="1"/>
    <x v="4"/>
  </r>
  <r>
    <x v="249"/>
    <x v="229"/>
    <x v="11"/>
    <x v="0"/>
    <s v="KR-18849"/>
    <s v="Kristen Rowe"/>
    <x v="2"/>
    <s v="United States"/>
    <x v="60"/>
    <x v="40"/>
    <x v="0"/>
    <s v="FUR-TA-106211"/>
    <x v="0"/>
    <x v="3"/>
    <s v="Grantham Half-Moon Meeting Table"/>
    <n v="782.03020000000004"/>
    <n v="4"/>
    <n v="258.35050000000001"/>
    <x v="1"/>
    <x v="6"/>
  </r>
  <r>
    <x v="250"/>
    <x v="230"/>
    <x v="235"/>
    <x v="0"/>
    <s v="KN-16615"/>
    <s v="Kimberly Nguyen"/>
    <x v="1"/>
    <s v="United States"/>
    <x v="83"/>
    <x v="27"/>
    <x v="0"/>
    <s v="FUR-FU-100853"/>
    <x v="0"/>
    <x v="0"/>
    <s v="Blaine Cubicle Wall Clock, Black"/>
    <n v="312.71429999999998"/>
    <n v="1"/>
    <n v="69.524299999999997"/>
    <x v="5"/>
    <x v="1"/>
  </r>
  <r>
    <x v="250"/>
    <x v="230"/>
    <x v="235"/>
    <x v="0"/>
    <s v="KN-16615"/>
    <s v="Kimberly Nguyen"/>
    <x v="1"/>
    <s v="United States"/>
    <x v="83"/>
    <x v="27"/>
    <x v="0"/>
    <s v="FUR-CH-102704"/>
    <x v="0"/>
    <x v="1"/>
    <s v="Brookline High-Back Executive Chair, Black Leather"/>
    <n v="343.33339999999998"/>
    <n v="4"/>
    <n v="-43.782600000000002"/>
    <x v="5"/>
    <x v="1"/>
  </r>
  <r>
    <x v="251"/>
    <x v="231"/>
    <x v="236"/>
    <x v="0"/>
    <s v="TD-20684"/>
    <s v="Tanner Mitchell DDS"/>
    <x v="2"/>
    <s v="United States"/>
    <x v="107"/>
    <x v="40"/>
    <x v="0"/>
    <s v="FUR-CH-100444"/>
    <x v="0"/>
    <x v="1"/>
    <s v="Harborview Mesh Task Chair, Adjustable Arms"/>
    <n v="1546.9766999999999"/>
    <n v="2"/>
    <n v="251.7319"/>
    <x v="3"/>
    <x v="10"/>
  </r>
  <r>
    <x v="252"/>
    <x v="232"/>
    <x v="189"/>
    <x v="2"/>
    <s v="MW-17397"/>
    <s v="Michael Warner"/>
    <x v="2"/>
    <s v="United States"/>
    <x v="8"/>
    <x v="8"/>
    <x v="1"/>
    <s v="FUR-CH-105507"/>
    <x v="0"/>
    <x v="1"/>
    <s v="Kingsley Mesh-Back Task Chair"/>
    <n v="234.7773"/>
    <n v="1"/>
    <n v="54.727400000000003"/>
    <x v="3"/>
    <x v="4"/>
  </r>
  <r>
    <x v="253"/>
    <x v="233"/>
    <x v="237"/>
    <x v="2"/>
    <s v="SP-20975"/>
    <s v="Steve Paul"/>
    <x v="0"/>
    <s v="United States"/>
    <x v="108"/>
    <x v="17"/>
    <x v="3"/>
    <s v="FUR-FU-106906"/>
    <x v="0"/>
    <x v="0"/>
    <s v="Cobalt LED Magnifier Lamp with Clamp Base"/>
    <n v="27.421900000000001"/>
    <n v="2"/>
    <n v="-0.93149999999999999"/>
    <x v="2"/>
    <x v="3"/>
  </r>
  <r>
    <x v="254"/>
    <x v="234"/>
    <x v="238"/>
    <x v="1"/>
    <s v="JC-19909"/>
    <s v="Jake Campbell"/>
    <x v="0"/>
    <s v="United States"/>
    <x v="103"/>
    <x v="43"/>
    <x v="2"/>
    <s v="FUR-TA-105355"/>
    <x v="0"/>
    <x v="3"/>
    <s v="Wexford Racetrack Conference Table"/>
    <n v="401.68279999999999"/>
    <n v="2"/>
    <n v="-29.975200000000001"/>
    <x v="7"/>
    <x v="5"/>
  </r>
  <r>
    <x v="255"/>
    <x v="235"/>
    <x v="134"/>
    <x v="0"/>
    <s v="AH-17251"/>
    <s v="Alexis Harris"/>
    <x v="2"/>
    <s v="United States"/>
    <x v="46"/>
    <x v="28"/>
    <x v="2"/>
    <s v="FUR-CH-106624"/>
    <x v="0"/>
    <x v="1"/>
    <s v="Adler Fabric Manager's Chair, Slate Gray"/>
    <n v="451.7996"/>
    <n v="1"/>
    <n v="93.029700000000005"/>
    <x v="0"/>
    <x v="2"/>
  </r>
  <r>
    <x v="256"/>
    <x v="236"/>
    <x v="239"/>
    <x v="2"/>
    <s v="JM-15198"/>
    <s v="Jennifer Miranda"/>
    <x v="2"/>
    <s v="United States"/>
    <x v="56"/>
    <x v="7"/>
    <x v="2"/>
    <s v="FUR-FU-107705"/>
    <x v="0"/>
    <x v="0"/>
    <s v="Hawthorne Desk Accessory Set, Oak"/>
    <n v="539.73090000000002"/>
    <n v="1"/>
    <n v="-123.0805"/>
    <x v="5"/>
    <x v="10"/>
  </r>
  <r>
    <x v="257"/>
    <x v="39"/>
    <x v="39"/>
    <x v="2"/>
    <s v="LJ-18279"/>
    <s v="Lisa Jackson"/>
    <x v="1"/>
    <s v="United States"/>
    <x v="93"/>
    <x v="9"/>
    <x v="0"/>
    <s v="FUR-FU-106906"/>
    <x v="0"/>
    <x v="0"/>
    <s v="Cobalt LED Magnifier Lamp with Clamp Base"/>
    <n v="330.15750000000003"/>
    <n v="4"/>
    <n v="56.433900000000001"/>
    <x v="0"/>
    <x v="2"/>
  </r>
  <r>
    <x v="258"/>
    <x v="237"/>
    <x v="52"/>
    <x v="2"/>
    <s v="KO-12724"/>
    <s v="Kevin Oconnor"/>
    <x v="0"/>
    <s v="United States"/>
    <x v="44"/>
    <x v="19"/>
    <x v="2"/>
    <s v="FUR-FU-107705"/>
    <x v="0"/>
    <x v="0"/>
    <s v="Hawthorne Desk Accessory Set, Oak"/>
    <n v="24.5777"/>
    <n v="2"/>
    <n v="8.1309000000000005"/>
    <x v="2"/>
    <x v="8"/>
  </r>
  <r>
    <x v="258"/>
    <x v="237"/>
    <x v="52"/>
    <x v="2"/>
    <s v="KO-12724"/>
    <s v="Kevin Oconnor"/>
    <x v="0"/>
    <s v="United States"/>
    <x v="44"/>
    <x v="19"/>
    <x v="2"/>
    <s v="FUR-FU-108837"/>
    <x v="0"/>
    <x v="0"/>
    <s v="Ivanhoe Poster Frame, Aluminum"/>
    <n v="46.0914"/>
    <n v="2"/>
    <n v="24.714300000000001"/>
    <x v="2"/>
    <x v="8"/>
  </r>
  <r>
    <x v="259"/>
    <x v="238"/>
    <x v="240"/>
    <x v="2"/>
    <s v="JW-21830"/>
    <s v="Joel Williams"/>
    <x v="0"/>
    <s v="United States"/>
    <x v="66"/>
    <x v="23"/>
    <x v="2"/>
    <s v="FUR-BO-107140"/>
    <x v="0"/>
    <x v="2"/>
    <s v="Delacroix Lawyers Bookcase, Cherry Finish"/>
    <n v="95.037199999999999"/>
    <n v="2"/>
    <n v="-45.645000000000003"/>
    <x v="1"/>
    <x v="7"/>
  </r>
  <r>
    <x v="260"/>
    <x v="239"/>
    <x v="241"/>
    <x v="2"/>
    <s v="PL-21004"/>
    <s v="Paul Lewis"/>
    <x v="1"/>
    <s v="United States"/>
    <x v="91"/>
    <x v="45"/>
    <x v="3"/>
    <s v="FUR-BO-108818"/>
    <x v="0"/>
    <x v="2"/>
    <s v="Meridian Glass-Door Bookcase, Espresso Finish"/>
    <n v="1023.1857"/>
    <n v="3"/>
    <n v="-275.9914"/>
    <x v="7"/>
    <x v="2"/>
  </r>
  <r>
    <x v="261"/>
    <x v="240"/>
    <x v="242"/>
    <x v="2"/>
    <s v="EC-10711"/>
    <s v="Eric Carney"/>
    <x v="1"/>
    <s v="United States"/>
    <x v="56"/>
    <x v="7"/>
    <x v="2"/>
    <s v="FUR-CH-101375"/>
    <x v="0"/>
    <x v="1"/>
    <s v="Sutton Push-Button Manager's Chair, Indigo"/>
    <n v="448.55959999999999"/>
    <n v="2"/>
    <n v="80.136399999999995"/>
    <x v="3"/>
    <x v="0"/>
  </r>
  <r>
    <x v="262"/>
    <x v="241"/>
    <x v="243"/>
    <x v="2"/>
    <s v="KM-17886"/>
    <s v="Kiara Mcintyre"/>
    <x v="2"/>
    <s v="United States"/>
    <x v="109"/>
    <x v="17"/>
    <x v="3"/>
    <s v="FUR-FU-100853"/>
    <x v="0"/>
    <x v="0"/>
    <s v="Blaine Cubicle Wall Clock, Black"/>
    <n v="113.86369999999999"/>
    <n v="5"/>
    <n v="-20.401900000000001"/>
    <x v="1"/>
    <x v="4"/>
  </r>
  <r>
    <x v="263"/>
    <x v="242"/>
    <x v="244"/>
    <x v="0"/>
    <s v="BM-12296"/>
    <s v="Briana Murray"/>
    <x v="2"/>
    <s v="United States"/>
    <x v="21"/>
    <x v="18"/>
    <x v="3"/>
    <s v="FUR-FU-107705"/>
    <x v="0"/>
    <x v="0"/>
    <s v="Hawthorne Desk Accessory Set, Oak"/>
    <n v="19.517299999999999"/>
    <n v="2"/>
    <n v="1.3728"/>
    <x v="1"/>
    <x v="9"/>
  </r>
  <r>
    <x v="263"/>
    <x v="242"/>
    <x v="244"/>
    <x v="0"/>
    <s v="BM-12296"/>
    <s v="Briana Murray"/>
    <x v="2"/>
    <s v="United States"/>
    <x v="21"/>
    <x v="18"/>
    <x v="3"/>
    <s v="FUR-FU-101341"/>
    <x v="0"/>
    <x v="0"/>
    <s v="Griswold Chairmats for Medium Pile Carpet"/>
    <n v="6.8662000000000001"/>
    <n v="4"/>
    <n v="5.4154999999999998"/>
    <x v="1"/>
    <x v="9"/>
  </r>
  <r>
    <x v="264"/>
    <x v="243"/>
    <x v="245"/>
    <x v="2"/>
    <s v="KE-16592"/>
    <s v="Kim Erickson"/>
    <x v="2"/>
    <s v="United States"/>
    <x v="107"/>
    <x v="40"/>
    <x v="0"/>
    <s v="FUR-BO-108818"/>
    <x v="0"/>
    <x v="2"/>
    <s v="Meridian Glass-Door Bookcase, Espresso Finish"/>
    <n v="103.0903"/>
    <n v="5"/>
    <n v="-2.0611999999999999"/>
    <x v="7"/>
    <x v="4"/>
  </r>
  <r>
    <x v="265"/>
    <x v="244"/>
    <x v="96"/>
    <x v="2"/>
    <s v="DJ-19064"/>
    <s v="Denise Jones"/>
    <x v="0"/>
    <s v="United States"/>
    <x v="39"/>
    <x v="33"/>
    <x v="3"/>
    <s v="FUR-TA-100823"/>
    <x v="0"/>
    <x v="3"/>
    <s v="Redstone Wood Tables, Set of 2"/>
    <n v="502.47770000000003"/>
    <n v="3"/>
    <n v="53.900799999999997"/>
    <x v="3"/>
    <x v="1"/>
  </r>
  <r>
    <x v="266"/>
    <x v="245"/>
    <x v="246"/>
    <x v="1"/>
    <s v="DM-17527"/>
    <s v="Danny Morgan"/>
    <x v="2"/>
    <s v="United States"/>
    <x v="0"/>
    <x v="0"/>
    <x v="0"/>
    <s v="FUR-CH-101375"/>
    <x v="0"/>
    <x v="1"/>
    <s v="Sutton Push-Button Manager's Chair, Indigo"/>
    <n v="617.11800000000005"/>
    <n v="2"/>
    <n v="10.604699999999999"/>
    <x v="0"/>
    <x v="9"/>
  </r>
  <r>
    <x v="267"/>
    <x v="159"/>
    <x v="247"/>
    <x v="2"/>
    <s v="JP-15635"/>
    <s v="John Pierce"/>
    <x v="2"/>
    <s v="United States"/>
    <x v="83"/>
    <x v="27"/>
    <x v="0"/>
    <s v="FUR-FU-101341"/>
    <x v="0"/>
    <x v="0"/>
    <s v="Griswold Chairmats for Medium Pile Carpet"/>
    <n v="94.216200000000001"/>
    <n v="2"/>
    <n v="14.8071"/>
    <x v="4"/>
    <x v="0"/>
  </r>
  <r>
    <x v="267"/>
    <x v="159"/>
    <x v="247"/>
    <x v="2"/>
    <s v="JP-15635"/>
    <s v="John Pierce"/>
    <x v="2"/>
    <s v="United States"/>
    <x v="83"/>
    <x v="27"/>
    <x v="0"/>
    <s v="FUR-FU-104558"/>
    <x v="0"/>
    <x v="0"/>
    <s v="Lambert Swing Arm Desk Lamp"/>
    <n v="62.902799999999999"/>
    <n v="3"/>
    <n v="12.6607"/>
    <x v="4"/>
    <x v="0"/>
  </r>
  <r>
    <x v="268"/>
    <x v="69"/>
    <x v="140"/>
    <x v="1"/>
    <s v="SG-19813"/>
    <s v="Samantha Garcia"/>
    <x v="2"/>
    <s v="United States"/>
    <x v="56"/>
    <x v="7"/>
    <x v="2"/>
    <s v="FUR-FU-103673"/>
    <x v="0"/>
    <x v="0"/>
    <s v="Corcoran Document Holder, Wood"/>
    <n v="50.6922"/>
    <n v="5"/>
    <n v="-2.6930000000000001"/>
    <x v="1"/>
    <x v="5"/>
  </r>
  <r>
    <x v="268"/>
    <x v="69"/>
    <x v="140"/>
    <x v="1"/>
    <s v="SG-19813"/>
    <s v="Samantha Garcia"/>
    <x v="2"/>
    <s v="United States"/>
    <x v="56"/>
    <x v="7"/>
    <x v="2"/>
    <s v="FUR-FU-106906"/>
    <x v="0"/>
    <x v="0"/>
    <s v="Cobalt LED Magnifier Lamp with Clamp Base"/>
    <n v="93.51"/>
    <n v="1"/>
    <n v="15.0726"/>
    <x v="1"/>
    <x v="5"/>
  </r>
  <r>
    <x v="269"/>
    <x v="131"/>
    <x v="248"/>
    <x v="1"/>
    <s v="VG-15925"/>
    <s v="Victoria Garcia"/>
    <x v="0"/>
    <s v="United States"/>
    <x v="2"/>
    <x v="2"/>
    <x v="0"/>
    <s v="FUR-FU-106906"/>
    <x v="0"/>
    <x v="0"/>
    <s v="Cobalt LED Magnifier Lamp with Clamp Base"/>
    <n v="26.592300000000002"/>
    <n v="3"/>
    <n v="7.8268000000000004"/>
    <x v="0"/>
    <x v="0"/>
  </r>
  <r>
    <x v="270"/>
    <x v="246"/>
    <x v="249"/>
    <x v="2"/>
    <s v="HF-13346"/>
    <s v="Holly Farmer"/>
    <x v="1"/>
    <s v="United States"/>
    <x v="34"/>
    <x v="29"/>
    <x v="0"/>
    <s v="FUR-BO-100475"/>
    <x v="0"/>
    <x v="2"/>
    <s v="Overton 3-Shelf Corner Bookcase"/>
    <n v="328.9905"/>
    <n v="1"/>
    <n v="-77.934399999999997"/>
    <x v="2"/>
    <x v="9"/>
  </r>
  <r>
    <x v="271"/>
    <x v="247"/>
    <x v="250"/>
    <x v="2"/>
    <s v="MJ-13388"/>
    <s v="Mary Jensen"/>
    <x v="1"/>
    <s v="United States"/>
    <x v="41"/>
    <x v="27"/>
    <x v="0"/>
    <s v="FUR-FU-108837"/>
    <x v="0"/>
    <x v="0"/>
    <s v="Ivanhoe Poster Frame, Aluminum"/>
    <n v="18.477699999999999"/>
    <n v="3"/>
    <n v="5.6177999999999999"/>
    <x v="0"/>
    <x v="11"/>
  </r>
  <r>
    <x v="272"/>
    <x v="96"/>
    <x v="251"/>
    <x v="2"/>
    <s v="DJ-19064"/>
    <s v="Denise Jones"/>
    <x v="0"/>
    <s v="United States"/>
    <x v="103"/>
    <x v="46"/>
    <x v="3"/>
    <s v="FUR-FU-104558"/>
    <x v="0"/>
    <x v="0"/>
    <s v="Lambert Swing Arm Desk Lamp"/>
    <n v="12.6516"/>
    <n v="2"/>
    <n v="3.38"/>
    <x v="6"/>
    <x v="2"/>
  </r>
  <r>
    <x v="272"/>
    <x v="96"/>
    <x v="251"/>
    <x v="2"/>
    <s v="DJ-19064"/>
    <s v="Denise Jones"/>
    <x v="0"/>
    <s v="United States"/>
    <x v="103"/>
    <x v="46"/>
    <x v="3"/>
    <s v="FUR-FU-107705"/>
    <x v="0"/>
    <x v="0"/>
    <s v="Hawthorne Desk Accessory Set, Oak"/>
    <n v="41.173699999999997"/>
    <n v="7"/>
    <n v="-1.1155999999999999"/>
    <x v="6"/>
    <x v="2"/>
  </r>
  <r>
    <x v="273"/>
    <x v="248"/>
    <x v="252"/>
    <x v="2"/>
    <s v="SW-14073"/>
    <s v="Stephanie Williams"/>
    <x v="2"/>
    <s v="United States"/>
    <x v="97"/>
    <x v="47"/>
    <x v="0"/>
    <s v="FUR-TA-107449"/>
    <x v="0"/>
    <x v="3"/>
    <s v="Pembroke 36 x 72 Conference Table"/>
    <n v="338.5401"/>
    <n v="3"/>
    <n v="-110.46469999999999"/>
    <x v="5"/>
    <x v="8"/>
  </r>
  <r>
    <x v="274"/>
    <x v="249"/>
    <x v="253"/>
    <x v="2"/>
    <s v="RH-16548"/>
    <s v="Rebecca Hicks"/>
    <x v="2"/>
    <s v="United States"/>
    <x v="21"/>
    <x v="18"/>
    <x v="3"/>
    <s v="FUR-FU-104558"/>
    <x v="0"/>
    <x v="0"/>
    <s v="Lambert Swing Arm Desk Lamp"/>
    <n v="33.9514"/>
    <n v="3"/>
    <n v="-10.8064"/>
    <x v="2"/>
    <x v="3"/>
  </r>
  <r>
    <x v="275"/>
    <x v="250"/>
    <x v="254"/>
    <x v="1"/>
    <s v="AM-10626"/>
    <s v="Amy Martinez"/>
    <x v="1"/>
    <s v="United States"/>
    <x v="23"/>
    <x v="5"/>
    <x v="2"/>
    <s v="FUR-CH-109246"/>
    <x v="0"/>
    <x v="1"/>
    <s v="Beckett Steno Chair, Gray"/>
    <n v="805.71619999999996"/>
    <n v="4"/>
    <n v="563.15060000000005"/>
    <x v="7"/>
    <x v="8"/>
  </r>
  <r>
    <x v="275"/>
    <x v="250"/>
    <x v="254"/>
    <x v="1"/>
    <s v="AM-10626"/>
    <s v="Amy Martinez"/>
    <x v="1"/>
    <s v="United States"/>
    <x v="23"/>
    <x v="5"/>
    <x v="2"/>
    <s v="FUR-FU-101124"/>
    <x v="0"/>
    <x v="0"/>
    <s v="Rutledge Desk Organizer Tray, Letter Size"/>
    <n v="11.5265"/>
    <n v="3"/>
    <n v="5.8132999999999999"/>
    <x v="7"/>
    <x v="8"/>
  </r>
  <r>
    <x v="276"/>
    <x v="251"/>
    <x v="255"/>
    <x v="2"/>
    <s v="TC-10653"/>
    <s v="Taylor Carlson"/>
    <x v="2"/>
    <s v="United States"/>
    <x v="78"/>
    <x v="37"/>
    <x v="0"/>
    <s v="FUR-CH-106624"/>
    <x v="0"/>
    <x v="1"/>
    <s v="Adler Fabric Manager's Chair, Slate Gray"/>
    <n v="282.60129999999998"/>
    <n v="5"/>
    <n v="81.048199999999994"/>
    <x v="3"/>
    <x v="10"/>
  </r>
  <r>
    <x v="277"/>
    <x v="252"/>
    <x v="256"/>
    <x v="0"/>
    <s v="KM-14564"/>
    <s v="Katherine Martinez"/>
    <x v="2"/>
    <s v="United States"/>
    <x v="89"/>
    <x v="11"/>
    <x v="2"/>
    <s v="FUR-FU-104133"/>
    <x v="0"/>
    <x v="0"/>
    <s v="Preston Wood Photo Frame, Mahogany"/>
    <n v="27.578800000000001"/>
    <n v="1"/>
    <n v="11.0572"/>
    <x v="0"/>
    <x v="6"/>
  </r>
  <r>
    <x v="278"/>
    <x v="253"/>
    <x v="257"/>
    <x v="1"/>
    <s v="SB-11122"/>
    <s v="Sharon Boyd"/>
    <x v="2"/>
    <s v="United States"/>
    <x v="33"/>
    <x v="23"/>
    <x v="2"/>
    <s v="FUR-FU-108837"/>
    <x v="0"/>
    <x v="0"/>
    <s v="Ivanhoe Poster Frame, Aluminum"/>
    <n v="21.634599999999999"/>
    <n v="3"/>
    <n v="-4.1882000000000001"/>
    <x v="1"/>
    <x v="3"/>
  </r>
  <r>
    <x v="279"/>
    <x v="254"/>
    <x v="255"/>
    <x v="1"/>
    <s v="RH-16548"/>
    <s v="Rebecca Hicks"/>
    <x v="2"/>
    <s v="United States"/>
    <x v="102"/>
    <x v="35"/>
    <x v="3"/>
    <s v="FUR-FU-106906"/>
    <x v="0"/>
    <x v="0"/>
    <s v="Cobalt LED Magnifier Lamp with Clamp Base"/>
    <n v="51.238799999999998"/>
    <n v="4"/>
    <n v="-22.854900000000001"/>
    <x v="0"/>
    <x v="10"/>
  </r>
  <r>
    <x v="279"/>
    <x v="254"/>
    <x v="255"/>
    <x v="1"/>
    <s v="RH-16548"/>
    <s v="Rebecca Hicks"/>
    <x v="2"/>
    <s v="United States"/>
    <x v="102"/>
    <x v="35"/>
    <x v="3"/>
    <s v="FUR-FU-106906"/>
    <x v="0"/>
    <x v="0"/>
    <s v="Cobalt LED Magnifier Lamp with Clamp Base"/>
    <n v="506.65289999999999"/>
    <n v="1"/>
    <n v="65.851399999999998"/>
    <x v="0"/>
    <x v="10"/>
  </r>
  <r>
    <x v="280"/>
    <x v="255"/>
    <x v="258"/>
    <x v="2"/>
    <s v="JC-14669"/>
    <s v="Jennifer Collins"/>
    <x v="1"/>
    <s v="United States"/>
    <x v="0"/>
    <x v="6"/>
    <x v="1"/>
    <s v="FUR-FU-101341"/>
    <x v="0"/>
    <x v="0"/>
    <s v="Griswold Chairmats for Medium Pile Carpet"/>
    <n v="43.055900000000001"/>
    <n v="8"/>
    <n v="-5.1859000000000002"/>
    <x v="5"/>
    <x v="10"/>
  </r>
  <r>
    <x v="281"/>
    <x v="256"/>
    <x v="259"/>
    <x v="0"/>
    <s v="DJ-12621"/>
    <s v="David Douglas Jr."/>
    <x v="2"/>
    <s v="United States"/>
    <x v="0"/>
    <x v="6"/>
    <x v="1"/>
    <s v="FUR-CH-109246"/>
    <x v="0"/>
    <x v="1"/>
    <s v="Beckett Steno Chair, Gray"/>
    <n v="53.1721"/>
    <n v="4"/>
    <n v="7.2801"/>
    <x v="3"/>
    <x v="3"/>
  </r>
  <r>
    <x v="282"/>
    <x v="257"/>
    <x v="115"/>
    <x v="0"/>
    <s v="KS-16678"/>
    <s v="Katherine Stark"/>
    <x v="2"/>
    <s v="United States"/>
    <x v="110"/>
    <x v="47"/>
    <x v="0"/>
    <s v="FUR-FU-103673"/>
    <x v="0"/>
    <x v="0"/>
    <s v="Corcoran Document Holder, Wood"/>
    <n v="24.900300000000001"/>
    <n v="6"/>
    <n v="-8.4099000000000004"/>
    <x v="1"/>
    <x v="0"/>
  </r>
  <r>
    <x v="283"/>
    <x v="258"/>
    <x v="260"/>
    <x v="2"/>
    <s v="RL-18890"/>
    <s v="Ryan Landry"/>
    <x v="1"/>
    <s v="United States"/>
    <x v="111"/>
    <x v="8"/>
    <x v="1"/>
    <s v="FUR-BO-106865"/>
    <x v="0"/>
    <x v="2"/>
    <s v="Hartwell Oak 5-Shelf Bookcase"/>
    <n v="209.56630000000001"/>
    <n v="3"/>
    <n v="55.4998"/>
    <x v="7"/>
    <x v="2"/>
  </r>
  <r>
    <x v="284"/>
    <x v="259"/>
    <x v="261"/>
    <x v="0"/>
    <s v="MP-17123"/>
    <s v="Michael Powell"/>
    <x v="0"/>
    <s v="United States"/>
    <x v="52"/>
    <x v="38"/>
    <x v="1"/>
    <s v="FUR-TA-104262"/>
    <x v="0"/>
    <x v="3"/>
    <s v="Thorne End Table, 20-1/2H x 24W x 20D"/>
    <n v="852.95100000000002"/>
    <n v="4"/>
    <n v="-259.09899999999999"/>
    <x v="1"/>
    <x v="5"/>
  </r>
  <r>
    <x v="285"/>
    <x v="260"/>
    <x v="262"/>
    <x v="2"/>
    <s v="RC-11746"/>
    <s v="Rhonda Chavez"/>
    <x v="0"/>
    <s v="United States"/>
    <x v="107"/>
    <x v="40"/>
    <x v="0"/>
    <s v="FUR-BO-103595"/>
    <x v="0"/>
    <x v="2"/>
    <s v="Pinehurst 6-Shelf Industrial Bookcase"/>
    <n v="367.97730000000001"/>
    <n v="1"/>
    <n v="-3.6579000000000002"/>
    <x v="3"/>
    <x v="3"/>
  </r>
  <r>
    <x v="286"/>
    <x v="261"/>
    <x v="263"/>
    <x v="2"/>
    <s v="JW-16232"/>
    <s v="James Watson"/>
    <x v="2"/>
    <s v="United States"/>
    <x v="92"/>
    <x v="46"/>
    <x v="3"/>
    <s v="FUR-FU-101124"/>
    <x v="0"/>
    <x v="0"/>
    <s v="Rutledge Desk Organizer Tray, Letter Size"/>
    <n v="480.94779999999997"/>
    <n v="3"/>
    <n v="102.48439999999999"/>
    <x v="6"/>
    <x v="1"/>
  </r>
  <r>
    <x v="286"/>
    <x v="261"/>
    <x v="263"/>
    <x v="2"/>
    <s v="JW-16232"/>
    <s v="James Watson"/>
    <x v="2"/>
    <s v="United States"/>
    <x v="92"/>
    <x v="46"/>
    <x v="3"/>
    <s v="FUR-FU-107705"/>
    <x v="0"/>
    <x v="0"/>
    <s v="Hawthorne Desk Accessory Set, Oak"/>
    <n v="31.543600000000001"/>
    <n v="2"/>
    <n v="16.7699"/>
    <x v="6"/>
    <x v="1"/>
  </r>
  <r>
    <x v="287"/>
    <x v="262"/>
    <x v="264"/>
    <x v="2"/>
    <s v="AV-11290"/>
    <s v="Adam Vaughan"/>
    <x v="2"/>
    <s v="United States"/>
    <x v="30"/>
    <x v="27"/>
    <x v="0"/>
    <s v="FUR-CH-105507"/>
    <x v="0"/>
    <x v="1"/>
    <s v="Kingsley Mesh-Back Task Chair"/>
    <n v="1029.8925999999999"/>
    <n v="2"/>
    <n v="-42.102600000000002"/>
    <x v="1"/>
    <x v="6"/>
  </r>
  <r>
    <x v="288"/>
    <x v="263"/>
    <x v="265"/>
    <x v="2"/>
    <s v="MJ-16211"/>
    <s v="Michael Johnson"/>
    <x v="2"/>
    <s v="United States"/>
    <x v="112"/>
    <x v="1"/>
    <x v="0"/>
    <s v="FUR-CH-102704"/>
    <x v="0"/>
    <x v="1"/>
    <s v="Brookline High-Back Executive Chair, Black Leather"/>
    <n v="255.25309999999999"/>
    <n v="4"/>
    <n v="-28.108499999999999"/>
    <x v="6"/>
    <x v="8"/>
  </r>
  <r>
    <x v="289"/>
    <x v="264"/>
    <x v="266"/>
    <x v="2"/>
    <s v="MS-11988"/>
    <s v="Michael Stanley"/>
    <x v="1"/>
    <s v="United States"/>
    <x v="20"/>
    <x v="21"/>
    <x v="1"/>
    <s v="FUR-CH-107657"/>
    <x v="0"/>
    <x v="1"/>
    <s v="Hollis Stacking Chair, Rounded Back"/>
    <n v="865.23779999999999"/>
    <n v="2"/>
    <n v="-222.53829999999999"/>
    <x v="0"/>
    <x v="11"/>
  </r>
  <r>
    <x v="290"/>
    <x v="265"/>
    <x v="267"/>
    <x v="2"/>
    <s v="MC-12925"/>
    <s v="Michael Cooper"/>
    <x v="2"/>
    <s v="United States"/>
    <x v="89"/>
    <x v="11"/>
    <x v="2"/>
    <s v="FUR-CH-102091"/>
    <x v="0"/>
    <x v="1"/>
    <s v="Vantage Swivel Task Chair, Blue"/>
    <n v="241.20500000000001"/>
    <n v="4"/>
    <n v="-40.7438"/>
    <x v="5"/>
    <x v="7"/>
  </r>
  <r>
    <x v="291"/>
    <x v="266"/>
    <x v="37"/>
    <x v="2"/>
    <s v="DN-14930"/>
    <s v="Daniel Nguyen"/>
    <x v="0"/>
    <s v="United States"/>
    <x v="69"/>
    <x v="41"/>
    <x v="3"/>
    <s v="FUR-FU-105733"/>
    <x v="0"/>
    <x v="0"/>
    <s v="Sable Halogen Replacement Bulb, 2-Pack"/>
    <n v="86.194100000000006"/>
    <n v="9"/>
    <n v="49.879300000000001"/>
    <x v="5"/>
    <x v="1"/>
  </r>
  <r>
    <x v="291"/>
    <x v="266"/>
    <x v="37"/>
    <x v="2"/>
    <s v="DN-14930"/>
    <s v="Daniel Nguyen"/>
    <x v="0"/>
    <s v="United States"/>
    <x v="69"/>
    <x v="41"/>
    <x v="3"/>
    <s v="FUR-CH-105507"/>
    <x v="0"/>
    <x v="1"/>
    <s v="Kingsley Mesh-Back Task Chair"/>
    <n v="1715.8896"/>
    <n v="5"/>
    <n v="413.91699999999997"/>
    <x v="5"/>
    <x v="1"/>
  </r>
  <r>
    <x v="292"/>
    <x v="267"/>
    <x v="185"/>
    <x v="2"/>
    <s v="TA-14345"/>
    <s v="Thomas Atkins"/>
    <x v="0"/>
    <s v="United States"/>
    <x v="90"/>
    <x v="45"/>
    <x v="3"/>
    <s v="FUR-TA-104262"/>
    <x v="0"/>
    <x v="3"/>
    <s v="Thorne End Table, 20-1/2H x 24W x 20D"/>
    <n v="351.24740000000003"/>
    <n v="2"/>
    <n v="-101.2379"/>
    <x v="3"/>
    <x v="11"/>
  </r>
  <r>
    <x v="293"/>
    <x v="22"/>
    <x v="268"/>
    <x v="2"/>
    <s v="MR-13652"/>
    <s v="Meghan Rush"/>
    <x v="2"/>
    <s v="United States"/>
    <x v="73"/>
    <x v="30"/>
    <x v="0"/>
    <s v="FUR-FU-100853"/>
    <x v="0"/>
    <x v="0"/>
    <s v="Blaine Cubicle Wall Clock, Black"/>
    <n v="12.6684"/>
    <n v="1"/>
    <n v="-5.6040999999999999"/>
    <x v="0"/>
    <x v="4"/>
  </r>
  <r>
    <x v="294"/>
    <x v="268"/>
    <x v="269"/>
    <x v="1"/>
    <s v="MB-17478"/>
    <s v="Martha Bailey"/>
    <x v="2"/>
    <s v="United States"/>
    <x v="57"/>
    <x v="0"/>
    <x v="0"/>
    <s v="FUR-FU-101124"/>
    <x v="0"/>
    <x v="0"/>
    <s v="Rutledge Desk Organizer Tray, Letter Size"/>
    <n v="40.820300000000003"/>
    <n v="3"/>
    <n v="-10.620100000000001"/>
    <x v="7"/>
    <x v="2"/>
  </r>
  <r>
    <x v="295"/>
    <x v="269"/>
    <x v="270"/>
    <x v="2"/>
    <s v="KB-17814"/>
    <s v="Karl Branch"/>
    <x v="2"/>
    <s v="United States"/>
    <x v="5"/>
    <x v="5"/>
    <x v="2"/>
    <s v="FUR-CH-106624"/>
    <x v="0"/>
    <x v="1"/>
    <s v="Adler Fabric Manager's Chair, Slate Gray"/>
    <n v="806.10429999999997"/>
    <n v="4"/>
    <n v="123.16679999999999"/>
    <x v="7"/>
    <x v="9"/>
  </r>
  <r>
    <x v="296"/>
    <x v="94"/>
    <x v="271"/>
    <x v="2"/>
    <s v="YB-13119"/>
    <s v="Yvonne Burns"/>
    <x v="2"/>
    <s v="United States"/>
    <x v="88"/>
    <x v="31"/>
    <x v="2"/>
    <s v="FUR-CH-105507"/>
    <x v="0"/>
    <x v="1"/>
    <s v="Kingsley Mesh-Back Task Chair"/>
    <n v="321.01819999999998"/>
    <n v="4"/>
    <n v="131.20249999999999"/>
    <x v="7"/>
    <x v="1"/>
  </r>
  <r>
    <x v="297"/>
    <x v="270"/>
    <x v="272"/>
    <x v="2"/>
    <s v="ST-20370"/>
    <s v="Susan Thompson"/>
    <x v="2"/>
    <s v="United States"/>
    <x v="97"/>
    <x v="32"/>
    <x v="3"/>
    <s v="FUR-CH-106455"/>
    <x v="0"/>
    <x v="1"/>
    <s v="Nolan Leather Highback Chair, Pneumatic Adjustment"/>
    <n v="328.51429999999999"/>
    <n v="5"/>
    <n v="91.754499999999993"/>
    <x v="3"/>
    <x v="0"/>
  </r>
  <r>
    <x v="298"/>
    <x v="271"/>
    <x v="35"/>
    <x v="2"/>
    <s v="KR-18849"/>
    <s v="Kristen Rowe"/>
    <x v="2"/>
    <s v="United States"/>
    <x v="113"/>
    <x v="47"/>
    <x v="0"/>
    <s v="FUR-FU-101341"/>
    <x v="0"/>
    <x v="0"/>
    <s v="Griswold Chairmats for Medium Pile Carpet"/>
    <n v="63.637799999999999"/>
    <n v="1"/>
    <n v="7.2348999999999997"/>
    <x v="2"/>
    <x v="5"/>
  </r>
  <r>
    <x v="299"/>
    <x v="272"/>
    <x v="273"/>
    <x v="1"/>
    <s v="KO-12724"/>
    <s v="Kevin Oconnor"/>
    <x v="1"/>
    <s v="United States"/>
    <x v="114"/>
    <x v="42"/>
    <x v="1"/>
    <s v="FUR-BO-107956"/>
    <x v="0"/>
    <x v="2"/>
    <s v="Sterling Wide Bookcase, Charcoal Gray"/>
    <n v="286.89010000000002"/>
    <n v="5"/>
    <n v="44.448300000000003"/>
    <x v="7"/>
    <x v="3"/>
  </r>
  <r>
    <x v="300"/>
    <x v="273"/>
    <x v="274"/>
    <x v="1"/>
    <s v="SR-12697"/>
    <s v="Shannon Ramsey"/>
    <x v="2"/>
    <s v="United States"/>
    <x v="9"/>
    <x v="10"/>
    <x v="1"/>
    <s v="FUR-CH-109246"/>
    <x v="0"/>
    <x v="1"/>
    <s v="Beckett Steno Chair, Gray"/>
    <n v="1063.6803"/>
    <n v="3"/>
    <n v="746.82129999999995"/>
    <x v="1"/>
    <x v="1"/>
  </r>
  <r>
    <x v="301"/>
    <x v="12"/>
    <x v="12"/>
    <x v="0"/>
    <s v="AW-16482"/>
    <s v="Ashley Waller"/>
    <x v="2"/>
    <s v="United States"/>
    <x v="102"/>
    <x v="35"/>
    <x v="3"/>
    <s v="FUR-BO-108818"/>
    <x v="0"/>
    <x v="2"/>
    <s v="Meridian Glass-Door Bookcase, Espresso Finish"/>
    <n v="894.18870000000004"/>
    <n v="1"/>
    <n v="-4.3837999999999999"/>
    <x v="7"/>
    <x v="9"/>
  </r>
  <r>
    <x v="302"/>
    <x v="274"/>
    <x v="275"/>
    <x v="0"/>
    <s v="ST-17811"/>
    <s v="Scott Thomas"/>
    <x v="2"/>
    <s v="United States"/>
    <x v="2"/>
    <x v="2"/>
    <x v="0"/>
    <s v="FUR-TA-107449"/>
    <x v="0"/>
    <x v="3"/>
    <s v="Pembroke 36 x 72 Conference Table"/>
    <n v="860.67340000000002"/>
    <n v="4"/>
    <n v="-256.1438"/>
    <x v="0"/>
    <x v="5"/>
  </r>
  <r>
    <x v="303"/>
    <x v="275"/>
    <x v="276"/>
    <x v="2"/>
    <s v="KS-20876"/>
    <s v="Kimberly Sharp"/>
    <x v="2"/>
    <s v="United States"/>
    <x v="67"/>
    <x v="24"/>
    <x v="1"/>
    <s v="FUR-CH-101375"/>
    <x v="0"/>
    <x v="1"/>
    <s v="Sutton Push-Button Manager's Chair, Indigo"/>
    <n v="556.40020000000004"/>
    <n v="3"/>
    <n v="42.120399999999997"/>
    <x v="4"/>
    <x v="10"/>
  </r>
  <r>
    <x v="304"/>
    <x v="276"/>
    <x v="277"/>
    <x v="2"/>
    <s v="SW-11790"/>
    <s v="Shelia Wallace"/>
    <x v="0"/>
    <s v="United States"/>
    <x v="83"/>
    <x v="27"/>
    <x v="0"/>
    <s v="FUR-CH-102091"/>
    <x v="0"/>
    <x v="1"/>
    <s v="Vantage Swivel Task Chair, Blue"/>
    <n v="309.75450000000001"/>
    <n v="2"/>
    <n v="46.890300000000003"/>
    <x v="6"/>
    <x v="0"/>
  </r>
  <r>
    <x v="305"/>
    <x v="277"/>
    <x v="278"/>
    <x v="1"/>
    <s v="RO-19977"/>
    <s v="Robert Oconnell"/>
    <x v="1"/>
    <s v="United States"/>
    <x v="104"/>
    <x v="26"/>
    <x v="3"/>
    <s v="FUR-FU-104558"/>
    <x v="0"/>
    <x v="0"/>
    <s v="Lambert Swing Arm Desk Lamp"/>
    <n v="11.1065"/>
    <n v="5"/>
    <n v="6.3967999999999998"/>
    <x v="7"/>
    <x v="10"/>
  </r>
  <r>
    <x v="306"/>
    <x v="278"/>
    <x v="279"/>
    <x v="1"/>
    <s v="VR-14349"/>
    <s v="Vincent Reynolds"/>
    <x v="1"/>
    <s v="United States"/>
    <x v="115"/>
    <x v="12"/>
    <x v="2"/>
    <s v="FUR-FU-100853"/>
    <x v="0"/>
    <x v="0"/>
    <s v="Blaine Cubicle Wall Clock, Black"/>
    <n v="195.24"/>
    <n v="2"/>
    <n v="-57.196899999999999"/>
    <x v="1"/>
    <x v="9"/>
  </r>
  <r>
    <x v="307"/>
    <x v="279"/>
    <x v="280"/>
    <x v="2"/>
    <s v="CS-12144"/>
    <s v="Charles Schultz"/>
    <x v="2"/>
    <s v="United States"/>
    <x v="116"/>
    <x v="38"/>
    <x v="1"/>
    <s v="FUR-TA-105355"/>
    <x v="0"/>
    <x v="3"/>
    <s v="Wexford Racetrack Conference Table"/>
    <n v="193.90199999999999"/>
    <n v="2"/>
    <n v="-70.758099999999999"/>
    <x v="0"/>
    <x v="0"/>
  </r>
  <r>
    <x v="308"/>
    <x v="280"/>
    <x v="281"/>
    <x v="0"/>
    <s v="TM-15139"/>
    <s v="Todd Moore"/>
    <x v="2"/>
    <s v="United States"/>
    <x v="49"/>
    <x v="36"/>
    <x v="0"/>
    <s v="FUR-BO-104471"/>
    <x v="0"/>
    <x v="2"/>
    <s v="Camden Modular Bookcase, Custom Colors"/>
    <n v="1692.0527999999999"/>
    <n v="2"/>
    <n v="-970.61519999999996"/>
    <x v="5"/>
    <x v="8"/>
  </r>
  <r>
    <x v="308"/>
    <x v="280"/>
    <x v="281"/>
    <x v="0"/>
    <s v="TM-15139"/>
    <s v="Todd Moore"/>
    <x v="2"/>
    <s v="United States"/>
    <x v="49"/>
    <x v="36"/>
    <x v="0"/>
    <s v="FUR-CH-102091"/>
    <x v="0"/>
    <x v="1"/>
    <s v="Vantage Swivel Task Chair, Blue"/>
    <n v="1281.8957"/>
    <n v="7"/>
    <n v="-156.06370000000001"/>
    <x v="5"/>
    <x v="8"/>
  </r>
  <r>
    <x v="309"/>
    <x v="281"/>
    <x v="282"/>
    <x v="1"/>
    <s v="AH-16224"/>
    <s v="Anthony Humphrey"/>
    <x v="1"/>
    <s v="United States"/>
    <x v="8"/>
    <x v="8"/>
    <x v="1"/>
    <s v="FUR-FU-104558"/>
    <x v="0"/>
    <x v="0"/>
    <s v="Lambert Swing Arm Desk Lamp"/>
    <n v="9.6735000000000007"/>
    <n v="6"/>
    <n v="1.8992"/>
    <x v="7"/>
    <x v="7"/>
  </r>
  <r>
    <x v="310"/>
    <x v="282"/>
    <x v="159"/>
    <x v="2"/>
    <s v="PT-15804"/>
    <s v="Patrick Thornton"/>
    <x v="1"/>
    <s v="United States"/>
    <x v="117"/>
    <x v="44"/>
    <x v="0"/>
    <s v="FUR-CH-107657"/>
    <x v="0"/>
    <x v="1"/>
    <s v="Hollis Stacking Chair, Rounded Back"/>
    <n v="181.55099999999999"/>
    <n v="9"/>
    <n v="0.19520000000000001"/>
    <x v="0"/>
    <x v="2"/>
  </r>
  <r>
    <x v="311"/>
    <x v="283"/>
    <x v="283"/>
    <x v="1"/>
    <s v="LH-20770"/>
    <s v="Laurie Hoffman"/>
    <x v="0"/>
    <s v="United States"/>
    <x v="50"/>
    <x v="21"/>
    <x v="1"/>
    <s v="FUR-CH-102704"/>
    <x v="0"/>
    <x v="1"/>
    <s v="Brookline High-Back Executive Chair, Black Leather"/>
    <n v="1378.123"/>
    <n v="9"/>
    <n v="718.48559999999998"/>
    <x v="7"/>
    <x v="4"/>
  </r>
  <r>
    <x v="312"/>
    <x v="284"/>
    <x v="284"/>
    <x v="2"/>
    <s v="TM-15139"/>
    <s v="Todd Moore"/>
    <x v="1"/>
    <s v="United States"/>
    <x v="49"/>
    <x v="36"/>
    <x v="0"/>
    <s v="FUR-TA-104262"/>
    <x v="0"/>
    <x v="3"/>
    <s v="Thorne End Table, 20-1/2H x 24W x 20D"/>
    <n v="1012.8087"/>
    <n v="2"/>
    <n v="197.9727"/>
    <x v="0"/>
    <x v="6"/>
  </r>
  <r>
    <x v="313"/>
    <x v="285"/>
    <x v="285"/>
    <x v="0"/>
    <s v="PG-17633"/>
    <s v="Pamela Gutierrez"/>
    <x v="2"/>
    <s v="United States"/>
    <x v="80"/>
    <x v="1"/>
    <x v="0"/>
    <s v="FUR-BO-107956"/>
    <x v="0"/>
    <x v="2"/>
    <s v="Sterling Wide Bookcase, Charcoal Gray"/>
    <n v="140.0848"/>
    <n v="3"/>
    <n v="45.820099999999996"/>
    <x v="5"/>
    <x v="0"/>
  </r>
  <r>
    <x v="314"/>
    <x v="286"/>
    <x v="286"/>
    <x v="2"/>
    <s v="CG-10771"/>
    <s v="Courtney Gonzalez"/>
    <x v="1"/>
    <s v="United States"/>
    <x v="12"/>
    <x v="13"/>
    <x v="3"/>
    <s v="FUR-TA-106211"/>
    <x v="0"/>
    <x v="3"/>
    <s v="Grantham Half-Moon Meeting Table"/>
    <n v="279.6773"/>
    <n v="5"/>
    <n v="40.802599999999998"/>
    <x v="3"/>
    <x v="6"/>
  </r>
  <r>
    <x v="314"/>
    <x v="286"/>
    <x v="286"/>
    <x v="2"/>
    <s v="CG-10771"/>
    <s v="Courtney Gonzalez"/>
    <x v="1"/>
    <s v="United States"/>
    <x v="12"/>
    <x v="13"/>
    <x v="3"/>
    <s v="FUR-FU-105733"/>
    <x v="0"/>
    <x v="0"/>
    <s v="Sable Halogen Replacement Bulb, 2-Pack"/>
    <n v="14.779"/>
    <n v="3"/>
    <n v="-1.6400999999999999"/>
    <x v="3"/>
    <x v="6"/>
  </r>
  <r>
    <x v="315"/>
    <x v="287"/>
    <x v="287"/>
    <x v="0"/>
    <s v="JH-11320"/>
    <s v="Joseph Howard"/>
    <x v="0"/>
    <s v="United States"/>
    <x v="47"/>
    <x v="25"/>
    <x v="3"/>
    <s v="FUR-CH-100441"/>
    <x v="0"/>
    <x v="1"/>
    <s v="Dalton Folding Chair, 4/Carton"/>
    <n v="329.8612"/>
    <n v="4"/>
    <n v="-94.892700000000005"/>
    <x v="5"/>
    <x v="3"/>
  </r>
  <r>
    <x v="315"/>
    <x v="287"/>
    <x v="287"/>
    <x v="0"/>
    <s v="JH-11320"/>
    <s v="Joseph Howard"/>
    <x v="0"/>
    <s v="United States"/>
    <x v="47"/>
    <x v="25"/>
    <x v="3"/>
    <s v="FUR-FU-105733"/>
    <x v="0"/>
    <x v="0"/>
    <s v="Sable Halogen Replacement Bulb, 2-Pack"/>
    <n v="16.825700000000001"/>
    <n v="8"/>
    <n v="0.62450000000000006"/>
    <x v="5"/>
    <x v="3"/>
  </r>
  <r>
    <x v="316"/>
    <x v="288"/>
    <x v="288"/>
    <x v="2"/>
    <s v="DM-18201"/>
    <s v="Darlene Miller"/>
    <x v="1"/>
    <s v="United States"/>
    <x v="20"/>
    <x v="21"/>
    <x v="1"/>
    <s v="FUR-CH-105507"/>
    <x v="0"/>
    <x v="1"/>
    <s v="Kingsley Mesh-Back Task Chair"/>
    <n v="462.66419999999999"/>
    <n v="6"/>
    <n v="-0.52759999999999996"/>
    <x v="5"/>
    <x v="7"/>
  </r>
  <r>
    <x v="317"/>
    <x v="289"/>
    <x v="289"/>
    <x v="2"/>
    <s v="DF-10188"/>
    <s v="Devon Flores"/>
    <x v="1"/>
    <s v="United States"/>
    <x v="64"/>
    <x v="29"/>
    <x v="0"/>
    <s v="FUR-FU-105733"/>
    <x v="0"/>
    <x v="0"/>
    <s v="Sable Halogen Replacement Bulb, 2-Pack"/>
    <n v="417.20979999999997"/>
    <n v="7"/>
    <n v="-117.33920000000001"/>
    <x v="0"/>
    <x v="5"/>
  </r>
  <r>
    <x v="318"/>
    <x v="290"/>
    <x v="290"/>
    <x v="0"/>
    <s v="MJ-13388"/>
    <s v="Mary Jensen"/>
    <x v="1"/>
    <s v="United States"/>
    <x v="5"/>
    <x v="5"/>
    <x v="2"/>
    <s v="FUR-FU-100317"/>
    <x v="0"/>
    <x v="0"/>
    <s v="Nomad Floor Lamp, Telescoping Adjustable"/>
    <n v="14.2538"/>
    <n v="2"/>
    <n v="5.3228"/>
    <x v="5"/>
    <x v="7"/>
  </r>
  <r>
    <x v="319"/>
    <x v="291"/>
    <x v="291"/>
    <x v="2"/>
    <s v="SJ-10722"/>
    <s v="Sophia Johnson"/>
    <x v="2"/>
    <s v="United States"/>
    <x v="53"/>
    <x v="22"/>
    <x v="2"/>
    <s v="FUR-BO-106371"/>
    <x v="0"/>
    <x v="2"/>
    <s v="Fairmont Ladder Shelf, Black Metal Frame"/>
    <n v="428.173"/>
    <n v="3"/>
    <n v="128.6867"/>
    <x v="2"/>
    <x v="2"/>
  </r>
  <r>
    <x v="320"/>
    <x v="292"/>
    <x v="292"/>
    <x v="2"/>
    <s v="DF-19446"/>
    <s v="Donna Frye"/>
    <x v="2"/>
    <s v="United States"/>
    <x v="107"/>
    <x v="40"/>
    <x v="0"/>
    <s v="FUR-FU-101341"/>
    <x v="0"/>
    <x v="0"/>
    <s v="Griswold Chairmats for Medium Pile Carpet"/>
    <n v="42.023000000000003"/>
    <n v="3"/>
    <n v="11.032400000000001"/>
    <x v="0"/>
    <x v="7"/>
  </r>
  <r>
    <x v="321"/>
    <x v="293"/>
    <x v="293"/>
    <x v="0"/>
    <s v="MB-14978"/>
    <s v="Melissa Bishop"/>
    <x v="2"/>
    <s v="United States"/>
    <x v="40"/>
    <x v="15"/>
    <x v="1"/>
    <s v="FUR-FU-106906"/>
    <x v="0"/>
    <x v="0"/>
    <s v="Cobalt LED Magnifier Lamp with Clamp Base"/>
    <n v="14.3256"/>
    <n v="1"/>
    <n v="2.9182000000000001"/>
    <x v="5"/>
    <x v="9"/>
  </r>
  <r>
    <x v="322"/>
    <x v="294"/>
    <x v="294"/>
    <x v="1"/>
    <s v="MR-19440"/>
    <s v="Mrs. Kristen Reyes"/>
    <x v="0"/>
    <s v="United States"/>
    <x v="111"/>
    <x v="8"/>
    <x v="1"/>
    <s v="FUR-CH-101375"/>
    <x v="0"/>
    <x v="1"/>
    <s v="Sutton Push-Button Manager's Chair, Indigo"/>
    <n v="268.09840000000003"/>
    <n v="3"/>
    <n v="47.397199999999998"/>
    <x v="1"/>
    <x v="7"/>
  </r>
  <r>
    <x v="323"/>
    <x v="295"/>
    <x v="295"/>
    <x v="0"/>
    <s v="BD-21680"/>
    <s v="Bailey Duran DDS"/>
    <x v="2"/>
    <s v="United States"/>
    <x v="72"/>
    <x v="6"/>
    <x v="1"/>
    <s v="FUR-FU-106211"/>
    <x v="0"/>
    <x v="0"/>
    <s v="Aurora Brushed Chrome Wall Clock, 14in"/>
    <n v="15.5115"/>
    <n v="4"/>
    <n v="-0.46579999999999999"/>
    <x v="7"/>
    <x v="4"/>
  </r>
  <r>
    <x v="324"/>
    <x v="296"/>
    <x v="296"/>
    <x v="2"/>
    <s v="EM-16745"/>
    <s v="Evelyn Martinez"/>
    <x v="0"/>
    <s v="United States"/>
    <x v="10"/>
    <x v="11"/>
    <x v="2"/>
    <s v="FUR-BO-103595"/>
    <x v="0"/>
    <x v="2"/>
    <s v="Pinehurst 6-Shelf Industrial Bookcase"/>
    <n v="282.91300000000001"/>
    <n v="3"/>
    <n v="23.653600000000001"/>
    <x v="4"/>
    <x v="3"/>
  </r>
  <r>
    <x v="325"/>
    <x v="297"/>
    <x v="88"/>
    <x v="2"/>
    <s v="ML-14011"/>
    <s v="Michael Lopez"/>
    <x v="2"/>
    <s v="United States"/>
    <x v="41"/>
    <x v="27"/>
    <x v="0"/>
    <s v="FUR-FU-100853"/>
    <x v="0"/>
    <x v="0"/>
    <s v="Blaine Cubicle Wall Clock, Black"/>
    <n v="40.826599999999999"/>
    <n v="2"/>
    <n v="-5.5053999999999998"/>
    <x v="5"/>
    <x v="1"/>
  </r>
  <r>
    <x v="325"/>
    <x v="297"/>
    <x v="88"/>
    <x v="2"/>
    <s v="ML-14011"/>
    <s v="Michael Lopez"/>
    <x v="2"/>
    <s v="United States"/>
    <x v="41"/>
    <x v="27"/>
    <x v="0"/>
    <s v="FUR-CH-105507"/>
    <x v="0"/>
    <x v="1"/>
    <s v="Kingsley Mesh-Back Task Chair"/>
    <n v="1321.2718"/>
    <n v="3"/>
    <n v="-80.651799999999994"/>
    <x v="5"/>
    <x v="1"/>
  </r>
  <r>
    <x v="326"/>
    <x v="298"/>
    <x v="297"/>
    <x v="0"/>
    <s v="KD-10090"/>
    <s v="Kevin Davis"/>
    <x v="2"/>
    <s v="United States"/>
    <x v="58"/>
    <x v="32"/>
    <x v="3"/>
    <s v="FUR-CH-100441"/>
    <x v="0"/>
    <x v="1"/>
    <s v="Dalton Folding Chair, 4/Carton"/>
    <n v="365.77"/>
    <n v="3"/>
    <n v="-82.070400000000006"/>
    <x v="0"/>
    <x v="8"/>
  </r>
  <r>
    <x v="327"/>
    <x v="299"/>
    <x v="298"/>
    <x v="2"/>
    <s v="AG-19064"/>
    <s v="Antonio Garcia"/>
    <x v="1"/>
    <s v="United States"/>
    <x v="39"/>
    <x v="33"/>
    <x v="3"/>
    <s v="FUR-FU-100853"/>
    <x v="0"/>
    <x v="0"/>
    <s v="Blaine Cubicle Wall Clock, Black"/>
    <n v="117.533"/>
    <n v="3"/>
    <n v="25.401599999999998"/>
    <x v="0"/>
    <x v="2"/>
  </r>
  <r>
    <x v="328"/>
    <x v="300"/>
    <x v="299"/>
    <x v="3"/>
    <s v="JP-19485"/>
    <s v="Jesse Perez"/>
    <x v="0"/>
    <s v="United States"/>
    <x v="61"/>
    <x v="10"/>
    <x v="1"/>
    <s v="FUR-TA-107022"/>
    <x v="0"/>
    <x v="3"/>
    <s v="Alden Rectangular Conference Table"/>
    <n v="504.69810000000001"/>
    <n v="5"/>
    <n v="-26.802"/>
    <x v="7"/>
    <x v="6"/>
  </r>
  <r>
    <x v="329"/>
    <x v="194"/>
    <x v="197"/>
    <x v="2"/>
    <s v="GK-12546"/>
    <s v="Gwendolyn Klein"/>
    <x v="2"/>
    <s v="United States"/>
    <x v="102"/>
    <x v="35"/>
    <x v="3"/>
    <s v="FUR-FU-100853"/>
    <x v="0"/>
    <x v="0"/>
    <s v="Blaine Cubicle Wall Clock, Black"/>
    <n v="9.2874999999999996"/>
    <n v="2"/>
    <n v="-1.7749999999999999"/>
    <x v="0"/>
    <x v="9"/>
  </r>
  <r>
    <x v="330"/>
    <x v="94"/>
    <x v="271"/>
    <x v="3"/>
    <s v="CV-10590"/>
    <s v="Cynthia Vang"/>
    <x v="0"/>
    <s v="United States"/>
    <x v="22"/>
    <x v="22"/>
    <x v="2"/>
    <s v="FUR-TA-107449"/>
    <x v="0"/>
    <x v="3"/>
    <s v="Pembroke 36 x 72 Conference Table"/>
    <n v="741.31200000000001"/>
    <n v="1"/>
    <n v="544.88580000000002"/>
    <x v="7"/>
    <x v="1"/>
  </r>
  <r>
    <x v="331"/>
    <x v="301"/>
    <x v="300"/>
    <x v="0"/>
    <s v="JC-17517"/>
    <s v="Jeffrey Chandler"/>
    <x v="2"/>
    <s v="United States"/>
    <x v="36"/>
    <x v="31"/>
    <x v="2"/>
    <s v="FUR-TA-104262"/>
    <x v="0"/>
    <x v="3"/>
    <s v="Thorne End Table, 20-1/2H x 24W x 20D"/>
    <n v="128.96889999999999"/>
    <n v="6"/>
    <n v="-29.804400000000001"/>
    <x v="0"/>
    <x v="5"/>
  </r>
  <r>
    <x v="332"/>
    <x v="283"/>
    <x v="301"/>
    <x v="0"/>
    <s v="PT-15804"/>
    <s v="Patrick Thornton"/>
    <x v="2"/>
    <s v="United States"/>
    <x v="91"/>
    <x v="45"/>
    <x v="3"/>
    <s v="FUR-FU-108837"/>
    <x v="0"/>
    <x v="0"/>
    <s v="Ivanhoe Poster Frame, Aluminum"/>
    <n v="28.654900000000001"/>
    <n v="4"/>
    <n v="0.20419999999999999"/>
    <x v="1"/>
    <x v="4"/>
  </r>
  <r>
    <x v="333"/>
    <x v="302"/>
    <x v="302"/>
    <x v="2"/>
    <s v="TC-20647"/>
    <s v="Theresa Clark"/>
    <x v="0"/>
    <s v="United States"/>
    <x v="118"/>
    <x v="38"/>
    <x v="1"/>
    <s v="FUR-CH-102091"/>
    <x v="0"/>
    <x v="1"/>
    <s v="Vantage Swivel Task Chair, Blue"/>
    <n v="155.71860000000001"/>
    <n v="3"/>
    <n v="0.1875"/>
    <x v="5"/>
    <x v="11"/>
  </r>
  <r>
    <x v="334"/>
    <x v="303"/>
    <x v="303"/>
    <x v="2"/>
    <s v="CR-17787"/>
    <s v="Cathy Robinson"/>
    <x v="0"/>
    <s v="United States"/>
    <x v="52"/>
    <x v="38"/>
    <x v="1"/>
    <s v="FUR-FU-105733"/>
    <x v="0"/>
    <x v="0"/>
    <s v="Sable Halogen Replacement Bulb, 2-Pack"/>
    <n v="61.652999999999999"/>
    <n v="4"/>
    <n v="42.260100000000001"/>
    <x v="0"/>
    <x v="5"/>
  </r>
  <r>
    <x v="335"/>
    <x v="304"/>
    <x v="304"/>
    <x v="1"/>
    <s v="MC-13269"/>
    <s v="Mark Cox"/>
    <x v="2"/>
    <s v="United States"/>
    <x v="20"/>
    <x v="21"/>
    <x v="1"/>
    <s v="FUR-FU-100853"/>
    <x v="0"/>
    <x v="0"/>
    <s v="Blaine Cubicle Wall Clock, Black"/>
    <n v="15.958299999999999"/>
    <n v="1"/>
    <n v="0.1195"/>
    <x v="0"/>
    <x v="7"/>
  </r>
  <r>
    <x v="336"/>
    <x v="305"/>
    <x v="55"/>
    <x v="1"/>
    <s v="MW-17397"/>
    <s v="Michael Warner"/>
    <x v="1"/>
    <s v="United States"/>
    <x v="74"/>
    <x v="37"/>
    <x v="0"/>
    <s v="FUR-BO-107999"/>
    <x v="0"/>
    <x v="2"/>
    <s v="Braxton Barrister Bookcase, Mahogany"/>
    <n v="2232.2599"/>
    <n v="8"/>
    <n v="-805.84429999999998"/>
    <x v="0"/>
    <x v="3"/>
  </r>
  <r>
    <x v="336"/>
    <x v="305"/>
    <x v="55"/>
    <x v="1"/>
    <s v="MW-17397"/>
    <s v="Michael Warner"/>
    <x v="1"/>
    <s v="United States"/>
    <x v="74"/>
    <x v="37"/>
    <x v="0"/>
    <s v="FUR-CH-100444"/>
    <x v="0"/>
    <x v="1"/>
    <s v="Harborview Mesh Task Chair, Adjustable Arms"/>
    <n v="376.78710000000001"/>
    <n v="2"/>
    <n v="-35.325699999999998"/>
    <x v="0"/>
    <x v="3"/>
  </r>
  <r>
    <x v="337"/>
    <x v="306"/>
    <x v="232"/>
    <x v="2"/>
    <s v="MH-14040"/>
    <s v="Michelle Harmon"/>
    <x v="1"/>
    <s v="United States"/>
    <x v="5"/>
    <x v="5"/>
    <x v="2"/>
    <s v="FUR-BO-107999"/>
    <x v="0"/>
    <x v="2"/>
    <s v="Braxton Barrister Bookcase, Mahogany"/>
    <n v="294.57709999999997"/>
    <n v="2"/>
    <n v="47.954999999999998"/>
    <x v="5"/>
    <x v="2"/>
  </r>
  <r>
    <x v="338"/>
    <x v="307"/>
    <x v="305"/>
    <x v="3"/>
    <s v="KG-11832"/>
    <s v="Karen Graham"/>
    <x v="1"/>
    <s v="United States"/>
    <x v="63"/>
    <x v="39"/>
    <x v="0"/>
    <s v="FUR-CH-100441"/>
    <x v="0"/>
    <x v="1"/>
    <s v="Dalton Folding Chair, 4/Carton"/>
    <n v="245.2936"/>
    <n v="2"/>
    <n v="-75.907200000000003"/>
    <x v="7"/>
    <x v="9"/>
  </r>
  <r>
    <x v="339"/>
    <x v="308"/>
    <x v="157"/>
    <x v="2"/>
    <s v="PW-10152"/>
    <s v="Paul Wilson"/>
    <x v="2"/>
    <s v="United States"/>
    <x v="31"/>
    <x v="28"/>
    <x v="2"/>
    <s v="FUR-FU-104558"/>
    <x v="0"/>
    <x v="0"/>
    <s v="Lambert Swing Arm Desk Lamp"/>
    <n v="57.872900000000001"/>
    <n v="3"/>
    <n v="17.097100000000001"/>
    <x v="1"/>
    <x v="1"/>
  </r>
  <r>
    <x v="339"/>
    <x v="308"/>
    <x v="157"/>
    <x v="2"/>
    <s v="PW-10152"/>
    <s v="Paul Wilson"/>
    <x v="2"/>
    <s v="United States"/>
    <x v="31"/>
    <x v="28"/>
    <x v="2"/>
    <s v="FUR-FU-104133"/>
    <x v="0"/>
    <x v="0"/>
    <s v="Preston Wood Photo Frame, Mahogany"/>
    <n v="138.12610000000001"/>
    <n v="3"/>
    <n v="-20.723600000000001"/>
    <x v="1"/>
    <x v="1"/>
  </r>
  <r>
    <x v="339"/>
    <x v="308"/>
    <x v="157"/>
    <x v="2"/>
    <s v="PW-10152"/>
    <s v="Paul Wilson"/>
    <x v="2"/>
    <s v="United States"/>
    <x v="31"/>
    <x v="28"/>
    <x v="2"/>
    <s v="FUR-FU-100317"/>
    <x v="0"/>
    <x v="0"/>
    <s v="Nomad Floor Lamp, Telescoping Adjustable"/>
    <n v="51.802500000000002"/>
    <n v="6"/>
    <n v="15.210599999999999"/>
    <x v="1"/>
    <x v="1"/>
  </r>
  <r>
    <x v="340"/>
    <x v="309"/>
    <x v="306"/>
    <x v="2"/>
    <s v="DF-10188"/>
    <s v="Devon Flores"/>
    <x v="2"/>
    <s v="United States"/>
    <x v="37"/>
    <x v="14"/>
    <x v="3"/>
    <s v="FUR-CH-109697"/>
    <x v="0"/>
    <x v="1"/>
    <s v="Rowan Mid-Back Tilter Chair"/>
    <n v="407.69080000000002"/>
    <n v="1"/>
    <n v="72.933499999999995"/>
    <x v="4"/>
    <x v="5"/>
  </r>
  <r>
    <x v="341"/>
    <x v="310"/>
    <x v="307"/>
    <x v="1"/>
    <s v="JT-19086"/>
    <s v="Jeremy Turner"/>
    <x v="2"/>
    <s v="United States"/>
    <x v="51"/>
    <x v="37"/>
    <x v="0"/>
    <s v="FUR-BO-106371"/>
    <x v="0"/>
    <x v="2"/>
    <s v="Fairmont Ladder Shelf, Black Metal Frame"/>
    <n v="1191.2072000000001"/>
    <n v="6"/>
    <n v="168.8631"/>
    <x v="0"/>
    <x v="1"/>
  </r>
  <r>
    <x v="341"/>
    <x v="310"/>
    <x v="307"/>
    <x v="1"/>
    <s v="JT-19086"/>
    <s v="Jeremy Turner"/>
    <x v="2"/>
    <s v="United States"/>
    <x v="51"/>
    <x v="37"/>
    <x v="0"/>
    <s v="FUR-CH-108751"/>
    <x v="0"/>
    <x v="1"/>
    <s v="Prescott Ergonomic Chair with Lumbar Support"/>
    <n v="392.2097"/>
    <n v="5"/>
    <n v="135.8202"/>
    <x v="0"/>
    <x v="1"/>
  </r>
  <r>
    <x v="342"/>
    <x v="311"/>
    <x v="240"/>
    <x v="3"/>
    <s v="KD-11964"/>
    <s v="Kerry Chavez DDS"/>
    <x v="2"/>
    <s v="United States"/>
    <x v="97"/>
    <x v="32"/>
    <x v="3"/>
    <s v="FUR-FU-103673"/>
    <x v="0"/>
    <x v="0"/>
    <s v="Corcoran Document Holder, Wood"/>
    <n v="107.54219999999999"/>
    <n v="5"/>
    <n v="1.4704999999999999"/>
    <x v="7"/>
    <x v="7"/>
  </r>
  <r>
    <x v="343"/>
    <x v="312"/>
    <x v="308"/>
    <x v="2"/>
    <s v="SB-13006"/>
    <s v="Stephanie Byrd"/>
    <x v="2"/>
    <s v="United States"/>
    <x v="7"/>
    <x v="7"/>
    <x v="2"/>
    <s v="FUR-FU-106906"/>
    <x v="0"/>
    <x v="0"/>
    <s v="Cobalt LED Magnifier Lamp with Clamp Base"/>
    <n v="36.012799999999999"/>
    <n v="2"/>
    <n v="8.3331999999999997"/>
    <x v="3"/>
    <x v="7"/>
  </r>
  <r>
    <x v="344"/>
    <x v="313"/>
    <x v="309"/>
    <x v="2"/>
    <s v="JW-11512"/>
    <s v="Jack White"/>
    <x v="1"/>
    <s v="United States"/>
    <x v="10"/>
    <x v="11"/>
    <x v="2"/>
    <s v="FUR-FU-101124"/>
    <x v="0"/>
    <x v="0"/>
    <s v="Rutledge Desk Organizer Tray, Letter Size"/>
    <n v="120.69629999999999"/>
    <n v="3"/>
    <n v="-24.978899999999999"/>
    <x v="5"/>
    <x v="0"/>
  </r>
  <r>
    <x v="345"/>
    <x v="314"/>
    <x v="310"/>
    <x v="2"/>
    <s v="MC-20587"/>
    <s v="Marie Christian"/>
    <x v="0"/>
    <s v="United States"/>
    <x v="4"/>
    <x v="4"/>
    <x v="1"/>
    <s v="FUR-CH-107657"/>
    <x v="0"/>
    <x v="1"/>
    <s v="Hollis Stacking Chair, Rounded Back"/>
    <n v="377.88900000000001"/>
    <n v="7"/>
    <n v="57.652700000000003"/>
    <x v="1"/>
    <x v="3"/>
  </r>
  <r>
    <x v="345"/>
    <x v="314"/>
    <x v="310"/>
    <x v="2"/>
    <s v="MC-20587"/>
    <s v="Marie Christian"/>
    <x v="0"/>
    <s v="United States"/>
    <x v="4"/>
    <x v="4"/>
    <x v="1"/>
    <s v="FUR-FU-101124"/>
    <x v="0"/>
    <x v="0"/>
    <s v="Rutledge Desk Organizer Tray, Letter Size"/>
    <n v="49.5854"/>
    <n v="6"/>
    <n v="28.348099999999999"/>
    <x v="1"/>
    <x v="3"/>
  </r>
  <r>
    <x v="346"/>
    <x v="315"/>
    <x v="311"/>
    <x v="1"/>
    <s v="AE-18835"/>
    <s v="Anthony Everett"/>
    <x v="2"/>
    <s v="United States"/>
    <x v="119"/>
    <x v="41"/>
    <x v="3"/>
    <s v="FUR-BO-103595"/>
    <x v="0"/>
    <x v="2"/>
    <s v="Pinehurst 6-Shelf Industrial Bookcase"/>
    <n v="259.81889999999999"/>
    <n v="5"/>
    <n v="-5.0738000000000003"/>
    <x v="0"/>
    <x v="2"/>
  </r>
  <r>
    <x v="347"/>
    <x v="119"/>
    <x v="312"/>
    <x v="2"/>
    <s v="SC-15168"/>
    <s v="Sharon Cherry"/>
    <x v="2"/>
    <s v="United States"/>
    <x v="2"/>
    <x v="2"/>
    <x v="0"/>
    <s v="FUR-TA-107564"/>
    <x v="0"/>
    <x v="3"/>
    <s v="Bellwood Slim Training Table, Light Gray"/>
    <n v="379.9579"/>
    <n v="8"/>
    <n v="-3.7446000000000002"/>
    <x v="5"/>
    <x v="2"/>
  </r>
  <r>
    <x v="348"/>
    <x v="316"/>
    <x v="313"/>
    <x v="2"/>
    <s v="AR-17359"/>
    <s v="Anthony Rodriguez"/>
    <x v="2"/>
    <s v="United States"/>
    <x v="67"/>
    <x v="24"/>
    <x v="1"/>
    <s v="FUR-CH-101375"/>
    <x v="0"/>
    <x v="1"/>
    <s v="Sutton Push-Button Manager's Chair, Indigo"/>
    <n v="436.87709999999998"/>
    <n v="3"/>
    <n v="67.350300000000004"/>
    <x v="3"/>
    <x v="10"/>
  </r>
  <r>
    <x v="349"/>
    <x v="290"/>
    <x v="308"/>
    <x v="0"/>
    <s v="TM-15085"/>
    <s v="Todd Rosales MD"/>
    <x v="1"/>
    <s v="United States"/>
    <x v="44"/>
    <x v="19"/>
    <x v="2"/>
    <s v="FUR-TA-102977"/>
    <x v="0"/>
    <x v="3"/>
    <s v="Caldwell 44 x 96 Conference Table"/>
    <n v="600.49720000000002"/>
    <n v="8"/>
    <n v="19.976700000000001"/>
    <x v="1"/>
    <x v="7"/>
  </r>
  <r>
    <x v="349"/>
    <x v="290"/>
    <x v="308"/>
    <x v="0"/>
    <s v="TM-15085"/>
    <s v="Todd Rosales MD"/>
    <x v="1"/>
    <s v="United States"/>
    <x v="44"/>
    <x v="19"/>
    <x v="2"/>
    <s v="FUR-FU-108837"/>
    <x v="0"/>
    <x v="0"/>
    <s v="Ivanhoe Poster Frame, Aluminum"/>
    <n v="223.0104"/>
    <n v="3"/>
    <n v="25.568000000000001"/>
    <x v="1"/>
    <x v="7"/>
  </r>
  <r>
    <x v="350"/>
    <x v="317"/>
    <x v="314"/>
    <x v="2"/>
    <s v="MM-15617"/>
    <s v="Michael Mitchell"/>
    <x v="2"/>
    <s v="United States"/>
    <x v="77"/>
    <x v="42"/>
    <x v="1"/>
    <s v="FUR-TA-107022"/>
    <x v="0"/>
    <x v="3"/>
    <s v="Alden Rectangular Conference Table"/>
    <n v="78.159300000000002"/>
    <n v="2"/>
    <n v="19.658200000000001"/>
    <x v="1"/>
    <x v="10"/>
  </r>
  <r>
    <x v="351"/>
    <x v="318"/>
    <x v="315"/>
    <x v="1"/>
    <s v="BG-11771"/>
    <s v="Bobby Guerrero"/>
    <x v="2"/>
    <s v="United States"/>
    <x v="46"/>
    <x v="28"/>
    <x v="2"/>
    <s v="FUR-TA-103467"/>
    <x v="0"/>
    <x v="3"/>
    <s v="Kessler Round Bullnose High Table"/>
    <n v="923.03009999999995"/>
    <n v="4"/>
    <n v="-256.78399999999999"/>
    <x v="1"/>
    <x v="4"/>
  </r>
  <r>
    <x v="352"/>
    <x v="319"/>
    <x v="316"/>
    <x v="2"/>
    <s v="KD-18834"/>
    <s v="Kristen Davis"/>
    <x v="2"/>
    <s v="United States"/>
    <x v="19"/>
    <x v="20"/>
    <x v="2"/>
    <s v="FUR-TA-107449"/>
    <x v="0"/>
    <x v="3"/>
    <s v="Pembroke 36 x 72 Conference Table"/>
    <n v="338.60050000000001"/>
    <n v="2"/>
    <n v="-262.7842"/>
    <x v="2"/>
    <x v="9"/>
  </r>
  <r>
    <x v="353"/>
    <x v="178"/>
    <x v="317"/>
    <x v="1"/>
    <s v="SB-13006"/>
    <s v="Stephanie Byrd"/>
    <x v="1"/>
    <s v="United States"/>
    <x v="111"/>
    <x v="8"/>
    <x v="1"/>
    <s v="FUR-CH-106455"/>
    <x v="0"/>
    <x v="1"/>
    <s v="Nolan Leather Highback Chair, Pneumatic Adjustment"/>
    <n v="1044.6981000000001"/>
    <n v="7"/>
    <n v="55.560899999999997"/>
    <x v="7"/>
    <x v="4"/>
  </r>
  <r>
    <x v="354"/>
    <x v="242"/>
    <x v="318"/>
    <x v="2"/>
    <s v="SJ-11612"/>
    <s v="Shannon James"/>
    <x v="1"/>
    <s v="United States"/>
    <x v="22"/>
    <x v="22"/>
    <x v="2"/>
    <s v="FUR-BO-108818"/>
    <x v="0"/>
    <x v="2"/>
    <s v="Meridian Glass-Door Bookcase, Espresso Finish"/>
    <n v="1035.3108"/>
    <n v="3"/>
    <n v="13.846500000000001"/>
    <x v="7"/>
    <x v="9"/>
  </r>
  <r>
    <x v="354"/>
    <x v="242"/>
    <x v="318"/>
    <x v="2"/>
    <s v="SJ-11612"/>
    <s v="Shannon James"/>
    <x v="1"/>
    <s v="United States"/>
    <x v="22"/>
    <x v="22"/>
    <x v="2"/>
    <s v="FUR-CH-102704"/>
    <x v="0"/>
    <x v="1"/>
    <s v="Brookline High-Back Executive Chair, Black Leather"/>
    <n v="135.4931"/>
    <n v="6"/>
    <n v="-3.7339000000000002"/>
    <x v="7"/>
    <x v="9"/>
  </r>
  <r>
    <x v="354"/>
    <x v="242"/>
    <x v="318"/>
    <x v="2"/>
    <s v="SJ-11612"/>
    <s v="Shannon James"/>
    <x v="1"/>
    <s v="United States"/>
    <x v="22"/>
    <x v="22"/>
    <x v="2"/>
    <s v="FUR-FU-101124"/>
    <x v="0"/>
    <x v="0"/>
    <s v="Rutledge Desk Organizer Tray, Letter Size"/>
    <n v="92.951300000000003"/>
    <n v="2"/>
    <n v="34.880800000000001"/>
    <x v="7"/>
    <x v="9"/>
  </r>
  <r>
    <x v="355"/>
    <x v="320"/>
    <x v="319"/>
    <x v="2"/>
    <s v="DJ-14010"/>
    <s v="Denise Jacobs"/>
    <x v="2"/>
    <s v="United States"/>
    <x v="22"/>
    <x v="22"/>
    <x v="2"/>
    <s v="FUR-TA-107022"/>
    <x v="0"/>
    <x v="3"/>
    <s v="Alden Rectangular Conference Table"/>
    <n v="520.74199999999996"/>
    <n v="8"/>
    <n v="137.3468"/>
    <x v="6"/>
    <x v="7"/>
  </r>
  <r>
    <x v="355"/>
    <x v="320"/>
    <x v="319"/>
    <x v="2"/>
    <s v="DJ-14010"/>
    <s v="Denise Jacobs"/>
    <x v="2"/>
    <s v="United States"/>
    <x v="22"/>
    <x v="22"/>
    <x v="2"/>
    <s v="FUR-CH-102704"/>
    <x v="0"/>
    <x v="1"/>
    <s v="Brookline High-Back Executive Chair, Black Leather"/>
    <n v="120.4862"/>
    <n v="5"/>
    <n v="31.4727"/>
    <x v="6"/>
    <x v="7"/>
  </r>
  <r>
    <x v="355"/>
    <x v="320"/>
    <x v="319"/>
    <x v="2"/>
    <s v="DJ-14010"/>
    <s v="Denise Jacobs"/>
    <x v="2"/>
    <s v="United States"/>
    <x v="22"/>
    <x v="22"/>
    <x v="2"/>
    <s v="FUR-BO-103595"/>
    <x v="0"/>
    <x v="2"/>
    <s v="Pinehurst 6-Shelf Industrial Bookcase"/>
    <n v="466.07639999999998"/>
    <n v="3"/>
    <n v="-158.10239999999999"/>
    <x v="6"/>
    <x v="7"/>
  </r>
  <r>
    <x v="355"/>
    <x v="320"/>
    <x v="319"/>
    <x v="2"/>
    <s v="DJ-14010"/>
    <s v="Denise Jacobs"/>
    <x v="2"/>
    <s v="United States"/>
    <x v="22"/>
    <x v="22"/>
    <x v="2"/>
    <s v="FUR-BO-104471"/>
    <x v="0"/>
    <x v="2"/>
    <s v="Camden Modular Bookcase, Custom Colors"/>
    <n v="361.45859999999999"/>
    <n v="1"/>
    <n v="-274.21589999999998"/>
    <x v="6"/>
    <x v="7"/>
  </r>
  <r>
    <x v="356"/>
    <x v="20"/>
    <x v="320"/>
    <x v="2"/>
    <s v="SM-12167"/>
    <s v="Susan Murray MD"/>
    <x v="0"/>
    <s v="United States"/>
    <x v="69"/>
    <x v="41"/>
    <x v="3"/>
    <s v="FUR-FU-104133"/>
    <x v="0"/>
    <x v="0"/>
    <s v="Preston Wood Photo Frame, Mahogany"/>
    <n v="4.7361000000000004"/>
    <n v="5"/>
    <n v="0.40610000000000002"/>
    <x v="6"/>
    <x v="7"/>
  </r>
  <r>
    <x v="357"/>
    <x v="321"/>
    <x v="321"/>
    <x v="0"/>
    <s v="DE-13114"/>
    <s v="Dr. Michael Evans"/>
    <x v="1"/>
    <s v="United States"/>
    <x v="34"/>
    <x v="29"/>
    <x v="0"/>
    <s v="FUR-CH-101375"/>
    <x v="0"/>
    <x v="1"/>
    <s v="Sutton Push-Button Manager's Chair, Indigo"/>
    <n v="165.7525"/>
    <n v="3"/>
    <n v="32.297699999999999"/>
    <x v="1"/>
    <x v="0"/>
  </r>
  <r>
    <x v="357"/>
    <x v="321"/>
    <x v="321"/>
    <x v="0"/>
    <s v="DE-13114"/>
    <s v="Dr. Michael Evans"/>
    <x v="1"/>
    <s v="United States"/>
    <x v="34"/>
    <x v="29"/>
    <x v="0"/>
    <s v="FUR-BO-107140"/>
    <x v="0"/>
    <x v="2"/>
    <s v="Delacroix Lawyers Bookcase, Cherry Finish"/>
    <n v="515.66480000000001"/>
    <n v="3"/>
    <n v="131.17070000000001"/>
    <x v="1"/>
    <x v="0"/>
  </r>
  <r>
    <x v="358"/>
    <x v="227"/>
    <x v="322"/>
    <x v="1"/>
    <s v="MR-19440"/>
    <s v="Mrs. Kristen Reyes"/>
    <x v="2"/>
    <s v="United States"/>
    <x v="9"/>
    <x v="10"/>
    <x v="1"/>
    <s v="FUR-CH-100444"/>
    <x v="0"/>
    <x v="1"/>
    <s v="Harborview Mesh Task Chair, Adjustable Arms"/>
    <n v="236.26159999999999"/>
    <n v="5"/>
    <n v="-5.5164"/>
    <x v="1"/>
    <x v="2"/>
  </r>
  <r>
    <x v="359"/>
    <x v="322"/>
    <x v="323"/>
    <x v="2"/>
    <s v="BR-11535"/>
    <s v="Brian Ramirez"/>
    <x v="2"/>
    <s v="United States"/>
    <x v="71"/>
    <x v="4"/>
    <x v="1"/>
    <s v="FUR-BO-106371"/>
    <x v="0"/>
    <x v="2"/>
    <s v="Fairmont Ladder Shelf, Black Metal Frame"/>
    <n v="447.07029999999997"/>
    <n v="8"/>
    <n v="-283.11349999999999"/>
    <x v="5"/>
    <x v="9"/>
  </r>
  <r>
    <x v="360"/>
    <x v="323"/>
    <x v="324"/>
    <x v="2"/>
    <s v="KR-11188"/>
    <s v="Karla Ramos"/>
    <x v="1"/>
    <s v="United States"/>
    <x v="49"/>
    <x v="36"/>
    <x v="0"/>
    <s v="FUR-FU-103673"/>
    <x v="0"/>
    <x v="0"/>
    <s v="Corcoran Document Holder, Wood"/>
    <n v="37.576500000000003"/>
    <n v="1"/>
    <n v="14.120100000000001"/>
    <x v="4"/>
    <x v="0"/>
  </r>
  <r>
    <x v="360"/>
    <x v="323"/>
    <x v="324"/>
    <x v="2"/>
    <s v="KR-11188"/>
    <s v="Karla Ramos"/>
    <x v="1"/>
    <s v="United States"/>
    <x v="49"/>
    <x v="36"/>
    <x v="0"/>
    <s v="FUR-BO-107999"/>
    <x v="0"/>
    <x v="2"/>
    <s v="Braxton Barrister Bookcase, Mahogany"/>
    <n v="791.10609999999997"/>
    <n v="8"/>
    <n v="162.15889999999999"/>
    <x v="4"/>
    <x v="0"/>
  </r>
  <r>
    <x v="361"/>
    <x v="324"/>
    <x v="325"/>
    <x v="2"/>
    <s v="PD-15409"/>
    <s v="Pamela Diaz"/>
    <x v="1"/>
    <s v="United States"/>
    <x v="84"/>
    <x v="29"/>
    <x v="0"/>
    <s v="FUR-TA-102977"/>
    <x v="0"/>
    <x v="3"/>
    <s v="Caldwell 44 x 96 Conference Table"/>
    <n v="279.6626"/>
    <n v="3"/>
    <n v="-68.465599999999995"/>
    <x v="4"/>
    <x v="0"/>
  </r>
  <r>
    <x v="362"/>
    <x v="325"/>
    <x v="326"/>
    <x v="0"/>
    <s v="CR-14272"/>
    <s v="Courtney Rodriguez"/>
    <x v="1"/>
    <s v="United States"/>
    <x v="120"/>
    <x v="42"/>
    <x v="1"/>
    <s v="FUR-FU-104133"/>
    <x v="0"/>
    <x v="0"/>
    <s v="Preston Wood Photo Frame, Mahogany"/>
    <n v="56.301400000000001"/>
    <n v="6"/>
    <n v="13.864699999999999"/>
    <x v="3"/>
    <x v="5"/>
  </r>
  <r>
    <x v="363"/>
    <x v="146"/>
    <x v="146"/>
    <x v="2"/>
    <s v="KW-18308"/>
    <s v="Kathryn Williams"/>
    <x v="2"/>
    <s v="United States"/>
    <x v="46"/>
    <x v="28"/>
    <x v="2"/>
    <s v="FUR-FU-100853"/>
    <x v="0"/>
    <x v="0"/>
    <s v="Blaine Cubicle Wall Clock, Black"/>
    <n v="188.23079999999999"/>
    <n v="4"/>
    <n v="62.978099999999998"/>
    <x v="1"/>
    <x v="1"/>
  </r>
  <r>
    <x v="364"/>
    <x v="326"/>
    <x v="190"/>
    <x v="0"/>
    <s v="AH-20476"/>
    <s v="Allison Hill"/>
    <x v="1"/>
    <s v="United States"/>
    <x v="86"/>
    <x v="43"/>
    <x v="2"/>
    <s v="FUR-CH-101375"/>
    <x v="0"/>
    <x v="1"/>
    <s v="Sutton Push-Button Manager's Chair, Indigo"/>
    <n v="435.09230000000002"/>
    <n v="5"/>
    <n v="-177.39089999999999"/>
    <x v="1"/>
    <x v="7"/>
  </r>
  <r>
    <x v="365"/>
    <x v="42"/>
    <x v="327"/>
    <x v="0"/>
    <s v="JB-13923"/>
    <s v="John Bishop"/>
    <x v="1"/>
    <s v="United States"/>
    <x v="18"/>
    <x v="19"/>
    <x v="2"/>
    <s v="FUR-CH-106624"/>
    <x v="0"/>
    <x v="1"/>
    <s v="Adler Fabric Manager's Chair, Slate Gray"/>
    <n v="205.9324"/>
    <n v="7"/>
    <n v="-2.8919999999999999"/>
    <x v="1"/>
    <x v="8"/>
  </r>
  <r>
    <x v="366"/>
    <x v="327"/>
    <x v="328"/>
    <x v="2"/>
    <s v="AT-11584"/>
    <s v="Angelica Tucker"/>
    <x v="0"/>
    <s v="United States"/>
    <x v="49"/>
    <x v="36"/>
    <x v="0"/>
    <s v="FUR-BO-100475"/>
    <x v="0"/>
    <x v="2"/>
    <s v="Overton 3-Shelf Corner Bookcase"/>
    <n v="272.77080000000001"/>
    <n v="5"/>
    <n v="98.463800000000006"/>
    <x v="6"/>
    <x v="2"/>
  </r>
  <r>
    <x v="367"/>
    <x v="135"/>
    <x v="329"/>
    <x v="2"/>
    <s v="EO-10027"/>
    <s v="Emma Owens"/>
    <x v="1"/>
    <s v="United States"/>
    <x v="120"/>
    <x v="42"/>
    <x v="1"/>
    <s v="FUR-FU-103673"/>
    <x v="0"/>
    <x v="0"/>
    <s v="Corcoran Document Holder, Wood"/>
    <n v="359.44880000000001"/>
    <n v="2"/>
    <n v="135.4623"/>
    <x v="0"/>
    <x v="1"/>
  </r>
  <r>
    <x v="368"/>
    <x v="328"/>
    <x v="330"/>
    <x v="0"/>
    <s v="KH-10406"/>
    <s v="Kaylee Hays"/>
    <x v="1"/>
    <s v="United States"/>
    <x v="97"/>
    <x v="32"/>
    <x v="3"/>
    <s v="FUR-FU-106211"/>
    <x v="0"/>
    <x v="0"/>
    <s v="Aurora Brushed Chrome Wall Clock, 14in"/>
    <n v="39.717599999999997"/>
    <n v="2"/>
    <n v="10.694800000000001"/>
    <x v="5"/>
    <x v="11"/>
  </r>
  <r>
    <x v="368"/>
    <x v="328"/>
    <x v="330"/>
    <x v="0"/>
    <s v="KH-10406"/>
    <s v="Kaylee Hays"/>
    <x v="1"/>
    <s v="United States"/>
    <x v="97"/>
    <x v="32"/>
    <x v="3"/>
    <s v="FUR-FU-101341"/>
    <x v="0"/>
    <x v="0"/>
    <s v="Griswold Chairmats for Medium Pile Carpet"/>
    <n v="61.045099999999998"/>
    <n v="7"/>
    <n v="19.860600000000002"/>
    <x v="5"/>
    <x v="11"/>
  </r>
  <r>
    <x v="369"/>
    <x v="329"/>
    <x v="331"/>
    <x v="2"/>
    <s v="BP-16227"/>
    <s v="Brittney Phillips"/>
    <x v="0"/>
    <s v="United States"/>
    <x v="26"/>
    <x v="25"/>
    <x v="3"/>
    <s v="FUR-CH-109697"/>
    <x v="0"/>
    <x v="1"/>
    <s v="Rowan Mid-Back Tilter Chair"/>
    <n v="217.7174"/>
    <n v="4"/>
    <n v="-8.2055000000000007"/>
    <x v="5"/>
    <x v="2"/>
  </r>
  <r>
    <x v="370"/>
    <x v="251"/>
    <x v="255"/>
    <x v="0"/>
    <s v="DM-19939"/>
    <s v="Denise Martinez"/>
    <x v="1"/>
    <s v="United States"/>
    <x v="97"/>
    <x v="47"/>
    <x v="0"/>
    <s v="FUR-TA-105355"/>
    <x v="0"/>
    <x v="3"/>
    <s v="Wexford Racetrack Conference Table"/>
    <n v="80.2089"/>
    <n v="3"/>
    <n v="-63.290500000000002"/>
    <x v="3"/>
    <x v="10"/>
  </r>
  <r>
    <x v="371"/>
    <x v="330"/>
    <x v="332"/>
    <x v="0"/>
    <s v="JW-14315"/>
    <s v="Jamie Walton"/>
    <x v="1"/>
    <s v="United States"/>
    <x v="82"/>
    <x v="19"/>
    <x v="2"/>
    <s v="FUR-TA-104262"/>
    <x v="0"/>
    <x v="3"/>
    <s v="Thorne End Table, 20-1/2H x 24W x 20D"/>
    <n v="140.90100000000001"/>
    <n v="5"/>
    <n v="-21.935199999999998"/>
    <x v="3"/>
    <x v="8"/>
  </r>
  <r>
    <x v="371"/>
    <x v="330"/>
    <x v="332"/>
    <x v="0"/>
    <s v="JW-14315"/>
    <s v="Jamie Walton"/>
    <x v="1"/>
    <s v="United States"/>
    <x v="82"/>
    <x v="19"/>
    <x v="2"/>
    <s v="FUR-FU-100853"/>
    <x v="0"/>
    <x v="0"/>
    <s v="Blaine Cubicle Wall Clock, Black"/>
    <n v="52.508600000000001"/>
    <n v="6"/>
    <n v="-1.6414"/>
    <x v="3"/>
    <x v="8"/>
  </r>
  <r>
    <x v="371"/>
    <x v="330"/>
    <x v="332"/>
    <x v="0"/>
    <s v="JW-14315"/>
    <s v="Jamie Walton"/>
    <x v="1"/>
    <s v="United States"/>
    <x v="82"/>
    <x v="19"/>
    <x v="2"/>
    <s v="FUR-FU-107705"/>
    <x v="0"/>
    <x v="0"/>
    <s v="Hawthorne Desk Accessory Set, Oak"/>
    <n v="6.5770999999999997"/>
    <n v="3"/>
    <n v="-0.60340000000000005"/>
    <x v="3"/>
    <x v="8"/>
  </r>
  <r>
    <x v="371"/>
    <x v="330"/>
    <x v="332"/>
    <x v="0"/>
    <s v="JW-14315"/>
    <s v="Jamie Walton"/>
    <x v="1"/>
    <s v="United States"/>
    <x v="82"/>
    <x v="19"/>
    <x v="2"/>
    <s v="FUR-FU-100317"/>
    <x v="0"/>
    <x v="0"/>
    <s v="Nomad Floor Lamp, Telescoping Adjustable"/>
    <n v="42.051499999999997"/>
    <n v="2"/>
    <n v="9.3605999999999998"/>
    <x v="3"/>
    <x v="8"/>
  </r>
  <r>
    <x v="372"/>
    <x v="331"/>
    <x v="333"/>
    <x v="2"/>
    <s v="CM-19489"/>
    <s v="Colton Martinez"/>
    <x v="1"/>
    <s v="United States"/>
    <x v="117"/>
    <x v="44"/>
    <x v="0"/>
    <s v="FUR-CH-101375"/>
    <x v="0"/>
    <x v="1"/>
    <s v="Sutton Push-Button Manager's Chair, Indigo"/>
    <n v="926.26769999999999"/>
    <n v="3"/>
    <n v="-24.787099999999999"/>
    <x v="6"/>
    <x v="3"/>
  </r>
  <r>
    <x v="373"/>
    <x v="332"/>
    <x v="334"/>
    <x v="2"/>
    <s v="SR-10757"/>
    <s v="Samantha Robertson"/>
    <x v="2"/>
    <s v="United States"/>
    <x v="59"/>
    <x v="39"/>
    <x v="0"/>
    <s v="FUR-CH-101375"/>
    <x v="0"/>
    <x v="1"/>
    <s v="Sutton Push-Button Manager's Chair, Indigo"/>
    <n v="212.1756"/>
    <n v="1"/>
    <n v="-89.253299999999996"/>
    <x v="5"/>
    <x v="1"/>
  </r>
  <r>
    <x v="374"/>
    <x v="153"/>
    <x v="229"/>
    <x v="2"/>
    <s v="AW-14422"/>
    <s v="Aaron Wise"/>
    <x v="2"/>
    <s v="United States"/>
    <x v="118"/>
    <x v="38"/>
    <x v="1"/>
    <s v="FUR-FU-104558"/>
    <x v="0"/>
    <x v="0"/>
    <s v="Lambert Swing Arm Desk Lamp"/>
    <n v="69.982799999999997"/>
    <n v="4"/>
    <n v="29.279"/>
    <x v="5"/>
    <x v="3"/>
  </r>
  <r>
    <x v="375"/>
    <x v="333"/>
    <x v="335"/>
    <x v="1"/>
    <s v="GP-19502"/>
    <s v="Gregory Peck"/>
    <x v="0"/>
    <s v="United States"/>
    <x v="95"/>
    <x v="33"/>
    <x v="3"/>
    <s v="FUR-FU-101124"/>
    <x v="0"/>
    <x v="0"/>
    <s v="Rutledge Desk Organizer Tray, Letter Size"/>
    <n v="28.637899999999998"/>
    <n v="3"/>
    <n v="-1.2152000000000001"/>
    <x v="7"/>
    <x v="1"/>
  </r>
  <r>
    <x v="376"/>
    <x v="334"/>
    <x v="336"/>
    <x v="2"/>
    <s v="CC-10400"/>
    <s v="Casey Chase"/>
    <x v="1"/>
    <s v="United States"/>
    <x v="39"/>
    <x v="33"/>
    <x v="3"/>
    <s v="FUR-CH-100441"/>
    <x v="0"/>
    <x v="1"/>
    <s v="Dalton Folding Chair, 4/Carton"/>
    <n v="294.43400000000003"/>
    <n v="2"/>
    <n v="-46.756100000000004"/>
    <x v="7"/>
    <x v="1"/>
  </r>
  <r>
    <x v="376"/>
    <x v="334"/>
    <x v="336"/>
    <x v="2"/>
    <s v="CC-10400"/>
    <s v="Casey Chase"/>
    <x v="1"/>
    <s v="United States"/>
    <x v="39"/>
    <x v="33"/>
    <x v="3"/>
    <s v="FUR-TA-102223"/>
    <x v="0"/>
    <x v="3"/>
    <s v="Marchetti Round Conference Table, X-Base"/>
    <n v="367.98070000000001"/>
    <n v="7"/>
    <n v="-93.069199999999995"/>
    <x v="7"/>
    <x v="1"/>
  </r>
  <r>
    <x v="377"/>
    <x v="335"/>
    <x v="337"/>
    <x v="2"/>
    <s v="AH-17251"/>
    <s v="Alexis Harris"/>
    <x v="1"/>
    <s v="United States"/>
    <x v="24"/>
    <x v="23"/>
    <x v="2"/>
    <s v="FUR-CH-109697"/>
    <x v="0"/>
    <x v="1"/>
    <s v="Rowan Mid-Back Tilter Chair"/>
    <n v="305.60210000000001"/>
    <n v="2"/>
    <n v="125.94759999999999"/>
    <x v="4"/>
    <x v="6"/>
  </r>
  <r>
    <x v="378"/>
    <x v="336"/>
    <x v="338"/>
    <x v="2"/>
    <s v="JP-11876"/>
    <s v="Joshua Perry"/>
    <x v="2"/>
    <s v="United States"/>
    <x v="43"/>
    <x v="7"/>
    <x v="2"/>
    <s v="FUR-CH-100441"/>
    <x v="0"/>
    <x v="1"/>
    <s v="Dalton Folding Chair, 4/Carton"/>
    <n v="992.55769999999995"/>
    <n v="6"/>
    <n v="-384.29410000000001"/>
    <x v="0"/>
    <x v="4"/>
  </r>
  <r>
    <x v="379"/>
    <x v="337"/>
    <x v="17"/>
    <x v="2"/>
    <s v="KR-11312"/>
    <s v="Kayla Rodriguez"/>
    <x v="2"/>
    <s v="United States"/>
    <x v="102"/>
    <x v="35"/>
    <x v="3"/>
    <s v="FUR-FU-106906"/>
    <x v="0"/>
    <x v="0"/>
    <s v="Cobalt LED Magnifier Lamp with Clamp Base"/>
    <n v="113.877"/>
    <n v="4"/>
    <n v="29.205100000000002"/>
    <x v="2"/>
    <x v="11"/>
  </r>
  <r>
    <x v="380"/>
    <x v="338"/>
    <x v="339"/>
    <x v="2"/>
    <s v="RK-20084"/>
    <s v="Reginald Knapp"/>
    <x v="2"/>
    <s v="United States"/>
    <x v="36"/>
    <x v="31"/>
    <x v="2"/>
    <s v="FUR-CH-100441"/>
    <x v="0"/>
    <x v="1"/>
    <s v="Dalton Folding Chair, 4/Carton"/>
    <n v="636.89290000000005"/>
    <n v="3"/>
    <n v="-76.485600000000005"/>
    <x v="5"/>
    <x v="11"/>
  </r>
  <r>
    <x v="381"/>
    <x v="339"/>
    <x v="340"/>
    <x v="2"/>
    <s v="DM-20738"/>
    <s v="Diana May"/>
    <x v="1"/>
    <s v="United States"/>
    <x v="23"/>
    <x v="5"/>
    <x v="2"/>
    <s v="FUR-BO-103613"/>
    <x v="0"/>
    <x v="2"/>
    <s v="Winslow Corner Bookcase, White"/>
    <n v="302.0677"/>
    <n v="3"/>
    <n v="249.80850000000001"/>
    <x v="4"/>
    <x v="11"/>
  </r>
  <r>
    <x v="382"/>
    <x v="239"/>
    <x v="341"/>
    <x v="2"/>
    <s v="JB-16965"/>
    <s v="Joyce Brown"/>
    <x v="0"/>
    <s v="United States"/>
    <x v="115"/>
    <x v="12"/>
    <x v="2"/>
    <s v="FUR-CH-101375"/>
    <x v="0"/>
    <x v="1"/>
    <s v="Sutton Push-Button Manager's Chair, Indigo"/>
    <n v="244.68639999999999"/>
    <n v="1"/>
    <n v="68.222300000000004"/>
    <x v="5"/>
    <x v="2"/>
  </r>
  <r>
    <x v="383"/>
    <x v="340"/>
    <x v="342"/>
    <x v="2"/>
    <s v="ML-11291"/>
    <s v="Michael Lewis"/>
    <x v="2"/>
    <s v="United States"/>
    <x v="57"/>
    <x v="0"/>
    <x v="0"/>
    <s v="FUR-TA-104262"/>
    <x v="0"/>
    <x v="3"/>
    <s v="Thorne End Table, 20-1/2H x 24W x 20D"/>
    <n v="1023.4296000000001"/>
    <n v="4"/>
    <n v="552.31820000000005"/>
    <x v="0"/>
    <x v="9"/>
  </r>
  <r>
    <x v="384"/>
    <x v="341"/>
    <x v="112"/>
    <x v="0"/>
    <s v="DW-19007"/>
    <s v="Dr. William Warren"/>
    <x v="1"/>
    <s v="United States"/>
    <x v="0"/>
    <x v="6"/>
    <x v="1"/>
    <s v="FUR-FU-100317"/>
    <x v="0"/>
    <x v="0"/>
    <s v="Nomad Floor Lamp, Telescoping Adjustable"/>
    <n v="22.886500000000002"/>
    <n v="2"/>
    <n v="-4.2655000000000003"/>
    <x v="0"/>
    <x v="1"/>
  </r>
  <r>
    <x v="385"/>
    <x v="300"/>
    <x v="299"/>
    <x v="0"/>
    <s v="DT-13981"/>
    <s v="Desiree Tyler"/>
    <x v="2"/>
    <s v="United States"/>
    <x v="61"/>
    <x v="10"/>
    <x v="1"/>
    <s v="FUR-FU-104558"/>
    <x v="0"/>
    <x v="0"/>
    <s v="Lambert Swing Arm Desk Lamp"/>
    <n v="242.35159999999999"/>
    <n v="3"/>
    <n v="-97.859700000000004"/>
    <x v="7"/>
    <x v="6"/>
  </r>
  <r>
    <x v="386"/>
    <x v="135"/>
    <x v="151"/>
    <x v="2"/>
    <s v="JC-12267"/>
    <s v="Jose Crawford"/>
    <x v="0"/>
    <s v="United States"/>
    <x v="121"/>
    <x v="3"/>
    <x v="1"/>
    <s v="FUR-CH-101375"/>
    <x v="0"/>
    <x v="1"/>
    <s v="Sutton Push-Button Manager's Chair, Indigo"/>
    <n v="205.01240000000001"/>
    <n v="1"/>
    <n v="81.438400000000001"/>
    <x v="2"/>
    <x v="1"/>
  </r>
  <r>
    <x v="387"/>
    <x v="342"/>
    <x v="343"/>
    <x v="2"/>
    <s v="AO-15000"/>
    <s v="Austin Osborne"/>
    <x v="0"/>
    <s v="United States"/>
    <x v="13"/>
    <x v="14"/>
    <x v="3"/>
    <s v="FUR-FU-106211"/>
    <x v="0"/>
    <x v="0"/>
    <s v="Aurora Brushed Chrome Wall Clock, 14in"/>
    <n v="162.8963"/>
    <n v="6"/>
    <n v="10.755000000000001"/>
    <x v="6"/>
    <x v="3"/>
  </r>
  <r>
    <x v="388"/>
    <x v="343"/>
    <x v="344"/>
    <x v="0"/>
    <s v="CM-12579"/>
    <s v="Cynthia Morris"/>
    <x v="2"/>
    <s v="United States"/>
    <x v="78"/>
    <x v="37"/>
    <x v="0"/>
    <s v="FUR-CH-109697"/>
    <x v="0"/>
    <x v="1"/>
    <s v="Rowan Mid-Back Tilter Chair"/>
    <n v="131.46340000000001"/>
    <n v="2"/>
    <n v="-4.6199000000000003"/>
    <x v="1"/>
    <x v="8"/>
  </r>
  <r>
    <x v="389"/>
    <x v="344"/>
    <x v="345"/>
    <x v="3"/>
    <s v="MS-11988"/>
    <s v="Michael Stanley"/>
    <x v="2"/>
    <s v="United States"/>
    <x v="33"/>
    <x v="23"/>
    <x v="2"/>
    <s v="FUR-CH-100441"/>
    <x v="0"/>
    <x v="1"/>
    <s v="Dalton Folding Chair, 4/Carton"/>
    <n v="1131.0324000000001"/>
    <n v="7"/>
    <n v="45.6218"/>
    <x v="7"/>
    <x v="3"/>
  </r>
  <r>
    <x v="390"/>
    <x v="251"/>
    <x v="346"/>
    <x v="2"/>
    <s v="AM-12803"/>
    <s v="Aimee Montoya"/>
    <x v="1"/>
    <s v="United States"/>
    <x v="85"/>
    <x v="44"/>
    <x v="0"/>
    <s v="FUR-FU-107705"/>
    <x v="0"/>
    <x v="0"/>
    <s v="Hawthorne Desk Accessory Set, Oak"/>
    <n v="23.702000000000002"/>
    <n v="6"/>
    <n v="-5.0490000000000004"/>
    <x v="2"/>
    <x v="10"/>
  </r>
  <r>
    <x v="390"/>
    <x v="251"/>
    <x v="346"/>
    <x v="2"/>
    <s v="AM-12803"/>
    <s v="Aimee Montoya"/>
    <x v="1"/>
    <s v="United States"/>
    <x v="85"/>
    <x v="44"/>
    <x v="0"/>
    <s v="FUR-TA-107564"/>
    <x v="0"/>
    <x v="3"/>
    <s v="Bellwood Slim Training Table, Light Gray"/>
    <n v="174.99170000000001"/>
    <n v="2"/>
    <n v="97.483000000000004"/>
    <x v="2"/>
    <x v="10"/>
  </r>
  <r>
    <x v="390"/>
    <x v="251"/>
    <x v="346"/>
    <x v="2"/>
    <s v="AM-12803"/>
    <s v="Aimee Montoya"/>
    <x v="1"/>
    <s v="United States"/>
    <x v="85"/>
    <x v="44"/>
    <x v="0"/>
    <s v="FUR-CH-102704"/>
    <x v="0"/>
    <x v="1"/>
    <s v="Brookline High-Back Executive Chair, Black Leather"/>
    <n v="249.6491"/>
    <n v="3"/>
    <n v="-57.069699999999997"/>
    <x v="2"/>
    <x v="10"/>
  </r>
  <r>
    <x v="391"/>
    <x v="345"/>
    <x v="299"/>
    <x v="0"/>
    <s v="DJ-12621"/>
    <s v="David Douglas Jr."/>
    <x v="2"/>
    <s v="United States"/>
    <x v="85"/>
    <x v="44"/>
    <x v="0"/>
    <s v="FUR-CH-109697"/>
    <x v="0"/>
    <x v="1"/>
    <s v="Rowan Mid-Back Tilter Chair"/>
    <n v="589.70230000000004"/>
    <n v="3"/>
    <n v="-127.0804"/>
    <x v="3"/>
    <x v="6"/>
  </r>
  <r>
    <x v="391"/>
    <x v="345"/>
    <x v="299"/>
    <x v="0"/>
    <s v="DJ-12621"/>
    <s v="David Douglas Jr."/>
    <x v="2"/>
    <s v="United States"/>
    <x v="85"/>
    <x v="44"/>
    <x v="0"/>
    <s v="FUR-TA-105529"/>
    <x v="0"/>
    <x v="3"/>
    <s v="Fenwick Compact Office Desk"/>
    <n v="352.13279999999997"/>
    <n v="1"/>
    <n v="-72.784300000000002"/>
    <x v="3"/>
    <x v="6"/>
  </r>
  <r>
    <x v="392"/>
    <x v="346"/>
    <x v="192"/>
    <x v="0"/>
    <s v="PM-17973"/>
    <s v="Patrick Moore"/>
    <x v="0"/>
    <s v="United States"/>
    <x v="60"/>
    <x v="40"/>
    <x v="0"/>
    <s v="FUR-CH-101375"/>
    <x v="0"/>
    <x v="1"/>
    <s v="Sutton Push-Button Manager's Chair, Indigo"/>
    <n v="670.51890000000003"/>
    <n v="3"/>
    <n v="-224.42939999999999"/>
    <x v="5"/>
    <x v="0"/>
  </r>
  <r>
    <x v="392"/>
    <x v="346"/>
    <x v="192"/>
    <x v="0"/>
    <s v="PM-17973"/>
    <s v="Patrick Moore"/>
    <x v="0"/>
    <s v="United States"/>
    <x v="60"/>
    <x v="40"/>
    <x v="0"/>
    <s v="FUR-FU-103673"/>
    <x v="0"/>
    <x v="0"/>
    <s v="Corcoran Document Holder, Wood"/>
    <n v="10.103199999999999"/>
    <n v="4"/>
    <n v="-4.7454000000000001"/>
    <x v="5"/>
    <x v="0"/>
  </r>
  <r>
    <x v="392"/>
    <x v="346"/>
    <x v="192"/>
    <x v="0"/>
    <s v="PM-17973"/>
    <s v="Patrick Moore"/>
    <x v="0"/>
    <s v="United States"/>
    <x v="60"/>
    <x v="40"/>
    <x v="0"/>
    <s v="FUR-FU-101341"/>
    <x v="0"/>
    <x v="0"/>
    <s v="Griswold Chairmats for Medium Pile Carpet"/>
    <n v="352.74099999999999"/>
    <n v="9"/>
    <n v="26.897600000000001"/>
    <x v="5"/>
    <x v="0"/>
  </r>
  <r>
    <x v="393"/>
    <x v="29"/>
    <x v="99"/>
    <x v="0"/>
    <s v="SC-11084"/>
    <s v="Sharon Cochran"/>
    <x v="2"/>
    <s v="United States"/>
    <x v="29"/>
    <x v="13"/>
    <x v="3"/>
    <s v="FUR-CH-100444"/>
    <x v="0"/>
    <x v="1"/>
    <s v="Harborview Mesh Task Chair, Adjustable Arms"/>
    <n v="1054.1466"/>
    <n v="2"/>
    <n v="-163.20359999999999"/>
    <x v="3"/>
    <x v="4"/>
  </r>
  <r>
    <x v="394"/>
    <x v="347"/>
    <x v="347"/>
    <x v="0"/>
    <s v="MA-20980"/>
    <s v="Mike Allen"/>
    <x v="1"/>
    <s v="United States"/>
    <x v="122"/>
    <x v="43"/>
    <x v="2"/>
    <s v="FUR-CH-106455"/>
    <x v="0"/>
    <x v="1"/>
    <s v="Nolan Leather Highback Chair, Pneumatic Adjustment"/>
    <n v="320.73860000000002"/>
    <n v="2"/>
    <n v="31.272400000000001"/>
    <x v="1"/>
    <x v="5"/>
  </r>
  <r>
    <x v="395"/>
    <x v="348"/>
    <x v="348"/>
    <x v="3"/>
    <s v="SH-19295"/>
    <s v="Spencer Haynes"/>
    <x v="2"/>
    <s v="United States"/>
    <x v="24"/>
    <x v="23"/>
    <x v="2"/>
    <s v="FUR-FU-104133"/>
    <x v="0"/>
    <x v="0"/>
    <s v="Preston Wood Photo Frame, Mahogany"/>
    <n v="89.892700000000005"/>
    <n v="5"/>
    <n v="-36.444000000000003"/>
    <x v="7"/>
    <x v="11"/>
  </r>
  <r>
    <x v="396"/>
    <x v="60"/>
    <x v="349"/>
    <x v="0"/>
    <s v="TS-12504"/>
    <s v="Tina Sanders"/>
    <x v="0"/>
    <s v="United States"/>
    <x v="55"/>
    <x v="12"/>
    <x v="2"/>
    <s v="FUR-TA-107022"/>
    <x v="0"/>
    <x v="3"/>
    <s v="Alden Rectangular Conference Table"/>
    <n v="2480.4229999999998"/>
    <n v="2"/>
    <n v="32.823399999999999"/>
    <x v="5"/>
    <x v="5"/>
  </r>
  <r>
    <x v="396"/>
    <x v="60"/>
    <x v="349"/>
    <x v="0"/>
    <s v="TS-12504"/>
    <s v="Tina Sanders"/>
    <x v="0"/>
    <s v="United States"/>
    <x v="55"/>
    <x v="12"/>
    <x v="2"/>
    <s v="FUR-FU-100317"/>
    <x v="0"/>
    <x v="0"/>
    <s v="Nomad Floor Lamp, Telescoping Adjustable"/>
    <n v="140.64230000000001"/>
    <n v="8"/>
    <n v="67.537499999999994"/>
    <x v="5"/>
    <x v="5"/>
  </r>
  <r>
    <x v="397"/>
    <x v="102"/>
    <x v="350"/>
    <x v="2"/>
    <s v="AK-12417"/>
    <s v="Amy Kelley"/>
    <x v="0"/>
    <s v="United States"/>
    <x v="48"/>
    <x v="35"/>
    <x v="3"/>
    <s v="FUR-CH-109697"/>
    <x v="0"/>
    <x v="1"/>
    <s v="Rowan Mid-Back Tilter Chair"/>
    <n v="248.96600000000001"/>
    <n v="3"/>
    <n v="-82.313299999999998"/>
    <x v="7"/>
    <x v="11"/>
  </r>
  <r>
    <x v="397"/>
    <x v="102"/>
    <x v="350"/>
    <x v="2"/>
    <s v="AK-12417"/>
    <s v="Amy Kelley"/>
    <x v="0"/>
    <s v="United States"/>
    <x v="48"/>
    <x v="35"/>
    <x v="3"/>
    <s v="FUR-CH-101375"/>
    <x v="0"/>
    <x v="1"/>
    <s v="Sutton Push-Button Manager's Chair, Indigo"/>
    <n v="454.55739999999997"/>
    <n v="4"/>
    <n v="253.94370000000001"/>
    <x v="7"/>
    <x v="11"/>
  </r>
  <r>
    <x v="398"/>
    <x v="349"/>
    <x v="351"/>
    <x v="2"/>
    <s v="KB-19932"/>
    <s v="Kristy Bryan"/>
    <x v="1"/>
    <s v="United States"/>
    <x v="47"/>
    <x v="25"/>
    <x v="3"/>
    <s v="FUR-CH-102704"/>
    <x v="0"/>
    <x v="1"/>
    <s v="Brookline High-Back Executive Chair, Black Leather"/>
    <n v="481.3252"/>
    <n v="2"/>
    <n v="-47.497700000000002"/>
    <x v="3"/>
    <x v="1"/>
  </r>
  <r>
    <x v="399"/>
    <x v="350"/>
    <x v="214"/>
    <x v="2"/>
    <s v="LH-20748"/>
    <s v="Laura Hernandez"/>
    <x v="0"/>
    <s v="United States"/>
    <x v="64"/>
    <x v="29"/>
    <x v="0"/>
    <s v="FUR-FU-101124"/>
    <x v="0"/>
    <x v="0"/>
    <s v="Rutledge Desk Organizer Tray, Letter Size"/>
    <n v="136.61879999999999"/>
    <n v="3"/>
    <n v="-28.659500000000001"/>
    <x v="0"/>
    <x v="8"/>
  </r>
  <r>
    <x v="400"/>
    <x v="351"/>
    <x v="352"/>
    <x v="2"/>
    <s v="MT-20021"/>
    <s v="Mary Thompson"/>
    <x v="2"/>
    <s v="United States"/>
    <x v="66"/>
    <x v="23"/>
    <x v="2"/>
    <s v="FUR-BO-107999"/>
    <x v="0"/>
    <x v="2"/>
    <s v="Braxton Barrister Bookcase, Mahogany"/>
    <n v="939.61090000000002"/>
    <n v="3"/>
    <n v="-463.58339999999998"/>
    <x v="5"/>
    <x v="7"/>
  </r>
  <r>
    <x v="400"/>
    <x v="351"/>
    <x v="352"/>
    <x v="2"/>
    <s v="MT-20021"/>
    <s v="Mary Thompson"/>
    <x v="2"/>
    <s v="United States"/>
    <x v="66"/>
    <x v="23"/>
    <x v="2"/>
    <s v="FUR-FU-101124"/>
    <x v="0"/>
    <x v="0"/>
    <s v="Rutledge Desk Organizer Tray, Letter Size"/>
    <n v="20.5566"/>
    <n v="5"/>
    <n v="-1.5537000000000001"/>
    <x v="5"/>
    <x v="7"/>
  </r>
  <r>
    <x v="401"/>
    <x v="352"/>
    <x v="353"/>
    <x v="2"/>
    <s v="CW-12677"/>
    <s v="Christina Walters"/>
    <x v="2"/>
    <s v="United States"/>
    <x v="88"/>
    <x v="31"/>
    <x v="2"/>
    <s v="FUR-FU-105733"/>
    <x v="0"/>
    <x v="0"/>
    <s v="Sable Halogen Replacement Bulb, 2-Pack"/>
    <n v="4.9335000000000004"/>
    <n v="13"/>
    <n v="2.4676999999999998"/>
    <x v="2"/>
    <x v="2"/>
  </r>
  <r>
    <x v="402"/>
    <x v="353"/>
    <x v="354"/>
    <x v="1"/>
    <s v="VS-14844"/>
    <s v="Veronica Silva"/>
    <x v="2"/>
    <s v="United States"/>
    <x v="73"/>
    <x v="30"/>
    <x v="0"/>
    <s v="FUR-CH-101375"/>
    <x v="0"/>
    <x v="1"/>
    <s v="Sutton Push-Button Manager's Chair, Indigo"/>
    <n v="277.76560000000001"/>
    <n v="4"/>
    <n v="134.38810000000001"/>
    <x v="7"/>
    <x v="4"/>
  </r>
  <r>
    <x v="403"/>
    <x v="23"/>
    <x v="217"/>
    <x v="2"/>
    <s v="JC-16396"/>
    <s v="Jordan Chambers"/>
    <x v="2"/>
    <s v="United States"/>
    <x v="46"/>
    <x v="28"/>
    <x v="2"/>
    <s v="FUR-BO-103613"/>
    <x v="0"/>
    <x v="2"/>
    <s v="Winslow Corner Bookcase, White"/>
    <n v="257.23910000000001"/>
    <n v="3"/>
    <n v="88.247900000000001"/>
    <x v="1"/>
    <x v="6"/>
  </r>
  <r>
    <x v="403"/>
    <x v="23"/>
    <x v="217"/>
    <x v="2"/>
    <s v="JC-16396"/>
    <s v="Jordan Chambers"/>
    <x v="2"/>
    <s v="United States"/>
    <x v="46"/>
    <x v="28"/>
    <x v="2"/>
    <s v="FUR-BO-104471"/>
    <x v="0"/>
    <x v="2"/>
    <s v="Camden Modular Bookcase, Custom Colors"/>
    <n v="255.45330000000001"/>
    <n v="3"/>
    <n v="74.373000000000005"/>
    <x v="1"/>
    <x v="6"/>
  </r>
  <r>
    <x v="403"/>
    <x v="23"/>
    <x v="217"/>
    <x v="2"/>
    <s v="JC-16396"/>
    <s v="Jordan Chambers"/>
    <x v="2"/>
    <s v="United States"/>
    <x v="46"/>
    <x v="28"/>
    <x v="2"/>
    <s v="FUR-FU-100853"/>
    <x v="0"/>
    <x v="0"/>
    <s v="Blaine Cubicle Wall Clock, Black"/>
    <n v="107.4876"/>
    <n v="4"/>
    <n v="78.371300000000005"/>
    <x v="1"/>
    <x v="6"/>
  </r>
  <r>
    <x v="404"/>
    <x v="354"/>
    <x v="355"/>
    <x v="2"/>
    <s v="BM-10964"/>
    <s v="Brandon Bailey MD"/>
    <x v="2"/>
    <s v="United States"/>
    <x v="56"/>
    <x v="7"/>
    <x v="2"/>
    <s v="FUR-TA-107449"/>
    <x v="0"/>
    <x v="3"/>
    <s v="Pembroke 36 x 72 Conference Table"/>
    <n v="387.80279999999999"/>
    <n v="5"/>
    <n v="111.8396"/>
    <x v="7"/>
    <x v="7"/>
  </r>
  <r>
    <x v="405"/>
    <x v="355"/>
    <x v="356"/>
    <x v="2"/>
    <s v="JH-21955"/>
    <s v="Jessica Holmes"/>
    <x v="2"/>
    <s v="United States"/>
    <x v="16"/>
    <x v="17"/>
    <x v="3"/>
    <s v="FUR-FU-101341"/>
    <x v="0"/>
    <x v="0"/>
    <s v="Griswold Chairmats for Medium Pile Carpet"/>
    <n v="17.830100000000002"/>
    <n v="1"/>
    <n v="-2.2519999999999998"/>
    <x v="7"/>
    <x v="3"/>
  </r>
  <r>
    <x v="406"/>
    <x v="356"/>
    <x v="357"/>
    <x v="0"/>
    <s v="JH-21955"/>
    <s v="Jessica Holmes"/>
    <x v="2"/>
    <s v="United States"/>
    <x v="49"/>
    <x v="36"/>
    <x v="0"/>
    <s v="FUR-FU-108837"/>
    <x v="0"/>
    <x v="0"/>
    <s v="Ivanhoe Poster Frame, Aluminum"/>
    <n v="24.494499999999999"/>
    <n v="2"/>
    <n v="9.7728999999999999"/>
    <x v="3"/>
    <x v="4"/>
  </r>
  <r>
    <x v="407"/>
    <x v="357"/>
    <x v="358"/>
    <x v="1"/>
    <s v="SB-15574"/>
    <s v="Sherri Baker"/>
    <x v="2"/>
    <s v="United States"/>
    <x v="67"/>
    <x v="24"/>
    <x v="1"/>
    <s v="FUR-FU-104558"/>
    <x v="0"/>
    <x v="0"/>
    <s v="Lambert Swing Arm Desk Lamp"/>
    <n v="116.0188"/>
    <n v="4"/>
    <n v="31.141100000000002"/>
    <x v="7"/>
    <x v="1"/>
  </r>
  <r>
    <x v="408"/>
    <x v="358"/>
    <x v="359"/>
    <x v="2"/>
    <s v="CG-10771"/>
    <s v="Courtney Gonzalez"/>
    <x v="2"/>
    <s v="United States"/>
    <x v="25"/>
    <x v="24"/>
    <x v="1"/>
    <s v="FUR-FU-104558"/>
    <x v="0"/>
    <x v="0"/>
    <s v="Lambert Swing Arm Desk Lamp"/>
    <n v="27.0563"/>
    <n v="5"/>
    <n v="13.4398"/>
    <x v="5"/>
    <x v="0"/>
  </r>
  <r>
    <x v="409"/>
    <x v="359"/>
    <x v="360"/>
    <x v="2"/>
    <s v="LH-15728"/>
    <s v="Lawrence Harrington"/>
    <x v="1"/>
    <s v="United States"/>
    <x v="8"/>
    <x v="8"/>
    <x v="1"/>
    <s v="FUR-FU-108837"/>
    <x v="0"/>
    <x v="0"/>
    <s v="Ivanhoe Poster Frame, Aluminum"/>
    <n v="76.809100000000001"/>
    <n v="6"/>
    <n v="-7.9936999999999996"/>
    <x v="4"/>
    <x v="1"/>
  </r>
  <r>
    <x v="409"/>
    <x v="359"/>
    <x v="360"/>
    <x v="2"/>
    <s v="LH-15728"/>
    <s v="Lawrence Harrington"/>
    <x v="1"/>
    <s v="United States"/>
    <x v="8"/>
    <x v="8"/>
    <x v="1"/>
    <s v="FUR-TA-105355"/>
    <x v="0"/>
    <x v="3"/>
    <s v="Wexford Racetrack Conference Table"/>
    <n v="461.60750000000002"/>
    <n v="1"/>
    <n v="-295.92270000000002"/>
    <x v="4"/>
    <x v="1"/>
  </r>
  <r>
    <x v="410"/>
    <x v="360"/>
    <x v="361"/>
    <x v="3"/>
    <s v="LM-18837"/>
    <s v="Lindsay Martinez"/>
    <x v="0"/>
    <s v="United States"/>
    <x v="107"/>
    <x v="40"/>
    <x v="0"/>
    <s v="FUR-BO-100475"/>
    <x v="0"/>
    <x v="2"/>
    <s v="Overton 3-Shelf Corner Bookcase"/>
    <n v="143.66480000000001"/>
    <n v="3"/>
    <n v="-2.9220000000000002"/>
    <x v="7"/>
    <x v="11"/>
  </r>
  <r>
    <x v="411"/>
    <x v="361"/>
    <x v="362"/>
    <x v="2"/>
    <s v="RC-11746"/>
    <s v="Rhonda Chavez"/>
    <x v="0"/>
    <s v="United States"/>
    <x v="24"/>
    <x v="23"/>
    <x v="2"/>
    <s v="FUR-CH-102091"/>
    <x v="0"/>
    <x v="1"/>
    <s v="Vantage Swivel Task Chair, Blue"/>
    <n v="621.87760000000003"/>
    <n v="2"/>
    <n v="13.5259"/>
    <x v="5"/>
    <x v="0"/>
  </r>
  <r>
    <x v="412"/>
    <x v="362"/>
    <x v="363"/>
    <x v="0"/>
    <s v="JC-16396"/>
    <s v="Jordan Chambers"/>
    <x v="2"/>
    <s v="United States"/>
    <x v="77"/>
    <x v="42"/>
    <x v="1"/>
    <s v="FUR-FU-106211"/>
    <x v="0"/>
    <x v="0"/>
    <s v="Aurora Brushed Chrome Wall Clock, 14in"/>
    <n v="107.88509999999999"/>
    <n v="5"/>
    <n v="10.097"/>
    <x v="1"/>
    <x v="9"/>
  </r>
  <r>
    <x v="413"/>
    <x v="363"/>
    <x v="364"/>
    <x v="0"/>
    <s v="ST-17811"/>
    <s v="Scott Thomas"/>
    <x v="0"/>
    <s v="United States"/>
    <x v="7"/>
    <x v="7"/>
    <x v="2"/>
    <s v="FUR-TA-103467"/>
    <x v="0"/>
    <x v="3"/>
    <s v="Kessler Round Bullnose High Table"/>
    <n v="266.48169999999999"/>
    <n v="2"/>
    <n v="-92.087199999999996"/>
    <x v="5"/>
    <x v="2"/>
  </r>
  <r>
    <x v="414"/>
    <x v="187"/>
    <x v="189"/>
    <x v="2"/>
    <s v="ME-13335"/>
    <s v="Mary Escobar"/>
    <x v="0"/>
    <s v="United States"/>
    <x v="102"/>
    <x v="35"/>
    <x v="3"/>
    <s v="FUR-BO-107956"/>
    <x v="0"/>
    <x v="2"/>
    <s v="Sterling Wide Bookcase, Charcoal Gray"/>
    <n v="702.85410000000002"/>
    <n v="3"/>
    <n v="-367.63049999999998"/>
    <x v="4"/>
    <x v="4"/>
  </r>
  <r>
    <x v="415"/>
    <x v="364"/>
    <x v="365"/>
    <x v="2"/>
    <s v="BG-19562"/>
    <s v="Bryan Gomez"/>
    <x v="2"/>
    <s v="United States"/>
    <x v="59"/>
    <x v="39"/>
    <x v="0"/>
    <s v="FUR-FU-105733"/>
    <x v="0"/>
    <x v="0"/>
    <s v="Sable Halogen Replacement Bulb, 2-Pack"/>
    <n v="45.020800000000001"/>
    <n v="3"/>
    <n v="6.7054999999999998"/>
    <x v="2"/>
    <x v="4"/>
  </r>
  <r>
    <x v="416"/>
    <x v="365"/>
    <x v="366"/>
    <x v="2"/>
    <s v="KG-11832"/>
    <s v="Karen Graham"/>
    <x v="1"/>
    <s v="United States"/>
    <x v="25"/>
    <x v="24"/>
    <x v="1"/>
    <s v="FUR-FU-107705"/>
    <x v="0"/>
    <x v="0"/>
    <s v="Hawthorne Desk Accessory Set, Oak"/>
    <n v="233.99080000000001"/>
    <n v="1"/>
    <n v="33.785800000000002"/>
    <x v="2"/>
    <x v="8"/>
  </r>
  <r>
    <x v="417"/>
    <x v="366"/>
    <x v="367"/>
    <x v="0"/>
    <s v="JD-16537"/>
    <s v="Jeremy Dalton"/>
    <x v="1"/>
    <s v="United States"/>
    <x v="2"/>
    <x v="2"/>
    <x v="0"/>
    <s v="FUR-TA-107022"/>
    <x v="0"/>
    <x v="3"/>
    <s v="Alden Rectangular Conference Table"/>
    <n v="1051.9123999999999"/>
    <n v="9"/>
    <n v="-551.96360000000004"/>
    <x v="0"/>
    <x v="3"/>
  </r>
  <r>
    <x v="417"/>
    <x v="366"/>
    <x v="367"/>
    <x v="0"/>
    <s v="JD-16537"/>
    <s v="Jeremy Dalton"/>
    <x v="1"/>
    <s v="United States"/>
    <x v="2"/>
    <x v="2"/>
    <x v="0"/>
    <s v="FUR-FU-100853"/>
    <x v="0"/>
    <x v="0"/>
    <s v="Blaine Cubicle Wall Clock, Black"/>
    <n v="65.6815"/>
    <n v="2"/>
    <n v="25.945"/>
    <x v="0"/>
    <x v="3"/>
  </r>
  <r>
    <x v="418"/>
    <x v="97"/>
    <x v="99"/>
    <x v="0"/>
    <s v="JP-11113"/>
    <s v="James Parks"/>
    <x v="0"/>
    <s v="United States"/>
    <x v="123"/>
    <x v="24"/>
    <x v="1"/>
    <s v="FUR-FU-103673"/>
    <x v="0"/>
    <x v="0"/>
    <s v="Corcoran Document Holder, Wood"/>
    <n v="96.632199999999997"/>
    <n v="4"/>
    <n v="53.429200000000002"/>
    <x v="7"/>
    <x v="4"/>
  </r>
  <r>
    <x v="418"/>
    <x v="97"/>
    <x v="99"/>
    <x v="0"/>
    <s v="JP-11113"/>
    <s v="James Parks"/>
    <x v="0"/>
    <s v="United States"/>
    <x v="123"/>
    <x v="24"/>
    <x v="1"/>
    <s v="FUR-FU-104133"/>
    <x v="0"/>
    <x v="0"/>
    <s v="Preston Wood Photo Frame, Mahogany"/>
    <n v="80.362099999999998"/>
    <n v="2"/>
    <n v="-32.7879"/>
    <x v="7"/>
    <x v="4"/>
  </r>
  <r>
    <x v="419"/>
    <x v="367"/>
    <x v="368"/>
    <x v="1"/>
    <s v="JC-14669"/>
    <s v="Jennifer Collins"/>
    <x v="1"/>
    <s v="United States"/>
    <x v="92"/>
    <x v="46"/>
    <x v="3"/>
    <s v="FUR-FU-107705"/>
    <x v="0"/>
    <x v="0"/>
    <s v="Hawthorne Desk Accessory Set, Oak"/>
    <n v="50.5214"/>
    <n v="4"/>
    <n v="-7.1864999999999997"/>
    <x v="1"/>
    <x v="1"/>
  </r>
  <r>
    <x v="419"/>
    <x v="367"/>
    <x v="368"/>
    <x v="1"/>
    <s v="JC-14669"/>
    <s v="Jennifer Collins"/>
    <x v="1"/>
    <s v="United States"/>
    <x v="92"/>
    <x v="46"/>
    <x v="3"/>
    <s v="FUR-TA-107022"/>
    <x v="0"/>
    <x v="3"/>
    <s v="Alden Rectangular Conference Table"/>
    <n v="243.4392"/>
    <n v="6"/>
    <n v="-72.765100000000004"/>
    <x v="1"/>
    <x v="1"/>
  </r>
  <r>
    <x v="420"/>
    <x v="68"/>
    <x v="69"/>
    <x v="2"/>
    <s v="TW-21731"/>
    <s v="Tommy Walter"/>
    <x v="1"/>
    <s v="United States"/>
    <x v="96"/>
    <x v="15"/>
    <x v="1"/>
    <s v="FUR-TA-105363"/>
    <x v="0"/>
    <x v="3"/>
    <s v="Ashcombe Rectangular Table Top"/>
    <n v="476.41840000000002"/>
    <n v="5"/>
    <n v="-208.27850000000001"/>
    <x v="5"/>
    <x v="3"/>
  </r>
  <r>
    <x v="421"/>
    <x v="368"/>
    <x v="369"/>
    <x v="3"/>
    <s v="NM-10993"/>
    <s v="Nathan Malone"/>
    <x v="2"/>
    <s v="United States"/>
    <x v="121"/>
    <x v="3"/>
    <x v="1"/>
    <s v="FUR-BO-107140"/>
    <x v="0"/>
    <x v="2"/>
    <s v="Delacroix Lawyers Bookcase, Cherry Finish"/>
    <n v="699.84939999999995"/>
    <n v="2"/>
    <n v="-82.128799999999998"/>
    <x v="7"/>
    <x v="11"/>
  </r>
  <r>
    <x v="422"/>
    <x v="291"/>
    <x v="54"/>
    <x v="2"/>
    <s v="MC-20587"/>
    <s v="Marie Christian"/>
    <x v="2"/>
    <s v="United States"/>
    <x v="124"/>
    <x v="4"/>
    <x v="1"/>
    <s v="FUR-CH-106455"/>
    <x v="0"/>
    <x v="1"/>
    <s v="Nolan Leather Highback Chair, Pneumatic Adjustment"/>
    <n v="190.78880000000001"/>
    <n v="5"/>
    <n v="-9.6945999999999994"/>
    <x v="3"/>
    <x v="2"/>
  </r>
  <r>
    <x v="423"/>
    <x v="369"/>
    <x v="370"/>
    <x v="2"/>
    <s v="AR-17359"/>
    <s v="Anthony Rodriguez"/>
    <x v="2"/>
    <s v="United States"/>
    <x v="65"/>
    <x v="41"/>
    <x v="3"/>
    <s v="FUR-FU-105733"/>
    <x v="0"/>
    <x v="0"/>
    <s v="Sable Halogen Replacement Bulb, 2-Pack"/>
    <n v="69.631"/>
    <n v="4"/>
    <n v="5.1612"/>
    <x v="2"/>
    <x v="6"/>
  </r>
  <r>
    <x v="424"/>
    <x v="370"/>
    <x v="371"/>
    <x v="0"/>
    <s v="JB-16965"/>
    <s v="Joyce Brown"/>
    <x v="2"/>
    <s v="United States"/>
    <x v="61"/>
    <x v="10"/>
    <x v="1"/>
    <s v="FUR-FU-108837"/>
    <x v="0"/>
    <x v="0"/>
    <s v="Ivanhoe Poster Frame, Aluminum"/>
    <n v="120.0517"/>
    <n v="3"/>
    <n v="88.418999999999997"/>
    <x v="3"/>
    <x v="3"/>
  </r>
  <r>
    <x v="425"/>
    <x v="310"/>
    <x v="372"/>
    <x v="2"/>
    <s v="AH-16216"/>
    <s v="Anna Henderson"/>
    <x v="0"/>
    <s v="United States"/>
    <x v="125"/>
    <x v="11"/>
    <x v="2"/>
    <s v="FUR-FU-106906"/>
    <x v="0"/>
    <x v="0"/>
    <s v="Cobalt LED Magnifier Lamp with Clamp Base"/>
    <n v="250.58940000000001"/>
    <n v="5"/>
    <n v="74.844300000000004"/>
    <x v="6"/>
    <x v="1"/>
  </r>
  <r>
    <x v="426"/>
    <x v="371"/>
    <x v="373"/>
    <x v="2"/>
    <s v="EM-14351"/>
    <s v="Ellen Morgan"/>
    <x v="2"/>
    <s v="United States"/>
    <x v="67"/>
    <x v="24"/>
    <x v="1"/>
    <s v="FUR-CH-106455"/>
    <x v="0"/>
    <x v="1"/>
    <s v="Nolan Leather Highback Chair, Pneumatic Adjustment"/>
    <n v="184.57169999999999"/>
    <n v="4"/>
    <n v="18.357500000000002"/>
    <x v="0"/>
    <x v="9"/>
  </r>
  <r>
    <x v="427"/>
    <x v="372"/>
    <x v="374"/>
    <x v="2"/>
    <s v="JP-19740"/>
    <s v="Jesse Perry"/>
    <x v="1"/>
    <s v="United States"/>
    <x v="126"/>
    <x v="47"/>
    <x v="0"/>
    <s v="FUR-FU-101341"/>
    <x v="0"/>
    <x v="0"/>
    <s v="Griswold Chairmats for Medium Pile Carpet"/>
    <n v="57.4696"/>
    <n v="4"/>
    <n v="11.665800000000001"/>
    <x v="0"/>
    <x v="2"/>
  </r>
  <r>
    <x v="428"/>
    <x v="373"/>
    <x v="375"/>
    <x v="2"/>
    <s v="AL-11697"/>
    <s v="Angela Lin"/>
    <x v="1"/>
    <s v="United States"/>
    <x v="80"/>
    <x v="1"/>
    <x v="0"/>
    <s v="FUR-CH-101375"/>
    <x v="0"/>
    <x v="1"/>
    <s v="Sutton Push-Button Manager's Chair, Indigo"/>
    <n v="290.40789999999998"/>
    <n v="2"/>
    <n v="34.482999999999997"/>
    <x v="6"/>
    <x v="2"/>
  </r>
  <r>
    <x v="429"/>
    <x v="374"/>
    <x v="376"/>
    <x v="2"/>
    <s v="TM-17007"/>
    <s v="Tracy Montoya"/>
    <x v="1"/>
    <s v="United States"/>
    <x v="72"/>
    <x v="6"/>
    <x v="1"/>
    <s v="FUR-FU-108837"/>
    <x v="0"/>
    <x v="0"/>
    <s v="Ivanhoe Poster Frame, Aluminum"/>
    <n v="52.142400000000002"/>
    <n v="4"/>
    <n v="-15.144500000000001"/>
    <x v="0"/>
    <x v="6"/>
  </r>
  <r>
    <x v="430"/>
    <x v="375"/>
    <x v="377"/>
    <x v="3"/>
    <s v="LS-10998"/>
    <s v="Linda Smith"/>
    <x v="1"/>
    <s v="United States"/>
    <x v="103"/>
    <x v="43"/>
    <x v="2"/>
    <s v="FUR-CH-109246"/>
    <x v="0"/>
    <x v="1"/>
    <s v="Beckett Steno Chair, Gray"/>
    <n v="309.64120000000003"/>
    <n v="1"/>
    <n v="-93.342699999999994"/>
    <x v="7"/>
    <x v="0"/>
  </r>
  <r>
    <x v="431"/>
    <x v="376"/>
    <x v="378"/>
    <x v="1"/>
    <s v="BF-14573"/>
    <s v="Brandon Fleming"/>
    <x v="1"/>
    <s v="United States"/>
    <x v="119"/>
    <x v="41"/>
    <x v="3"/>
    <s v="FUR-FU-106211"/>
    <x v="0"/>
    <x v="0"/>
    <s v="Aurora Brushed Chrome Wall Clock, 14in"/>
    <n v="31.598299999999998"/>
    <n v="7"/>
    <n v="0.7268"/>
    <x v="1"/>
    <x v="5"/>
  </r>
  <r>
    <x v="431"/>
    <x v="376"/>
    <x v="378"/>
    <x v="1"/>
    <s v="BF-14573"/>
    <s v="Brandon Fleming"/>
    <x v="1"/>
    <s v="United States"/>
    <x v="119"/>
    <x v="41"/>
    <x v="3"/>
    <s v="FUR-FU-103673"/>
    <x v="0"/>
    <x v="0"/>
    <s v="Corcoran Document Holder, Wood"/>
    <n v="88.765900000000002"/>
    <n v="3"/>
    <n v="68.628600000000006"/>
    <x v="1"/>
    <x v="5"/>
  </r>
  <r>
    <x v="432"/>
    <x v="17"/>
    <x v="379"/>
    <x v="0"/>
    <s v="MM-13228"/>
    <s v="Mr. Alexander Landry MD"/>
    <x v="2"/>
    <s v="United States"/>
    <x v="53"/>
    <x v="22"/>
    <x v="2"/>
    <s v="FUR-FU-103673"/>
    <x v="0"/>
    <x v="0"/>
    <s v="Corcoran Document Holder, Wood"/>
    <n v="109.23139999999999"/>
    <n v="2"/>
    <n v="-8.8042999999999996"/>
    <x v="1"/>
    <x v="4"/>
  </r>
  <r>
    <x v="433"/>
    <x v="377"/>
    <x v="380"/>
    <x v="1"/>
    <s v="KD-11964"/>
    <s v="Kerry Chavez DDS"/>
    <x v="0"/>
    <s v="United States"/>
    <x v="29"/>
    <x v="13"/>
    <x v="3"/>
    <s v="FUR-FU-106211"/>
    <x v="0"/>
    <x v="0"/>
    <s v="Aurora Brushed Chrome Wall Clock, 14in"/>
    <n v="32.853299999999997"/>
    <n v="6"/>
    <n v="12.649100000000001"/>
    <x v="0"/>
    <x v="10"/>
  </r>
  <r>
    <x v="434"/>
    <x v="378"/>
    <x v="381"/>
    <x v="0"/>
    <s v="JT-21762"/>
    <s v="Julia Torres"/>
    <x v="0"/>
    <s v="United States"/>
    <x v="47"/>
    <x v="25"/>
    <x v="3"/>
    <s v="FUR-FU-100317"/>
    <x v="0"/>
    <x v="0"/>
    <s v="Nomad Floor Lamp, Telescoping Adjustable"/>
    <n v="14.0207"/>
    <n v="7"/>
    <n v="2.7997999999999998"/>
    <x v="5"/>
    <x v="7"/>
  </r>
  <r>
    <x v="435"/>
    <x v="271"/>
    <x v="35"/>
    <x v="2"/>
    <s v="LR-20926"/>
    <s v="Larry Robertson"/>
    <x v="2"/>
    <s v="United States"/>
    <x v="84"/>
    <x v="29"/>
    <x v="0"/>
    <s v="FUR-CH-100441"/>
    <x v="0"/>
    <x v="1"/>
    <s v="Dalton Folding Chair, 4/Carton"/>
    <n v="326.23160000000001"/>
    <n v="2"/>
    <n v="-97.995000000000005"/>
    <x v="2"/>
    <x v="5"/>
  </r>
  <r>
    <x v="435"/>
    <x v="271"/>
    <x v="35"/>
    <x v="2"/>
    <s v="LR-20926"/>
    <s v="Larry Robertson"/>
    <x v="2"/>
    <s v="United States"/>
    <x v="84"/>
    <x v="29"/>
    <x v="0"/>
    <s v="FUR-CH-100444"/>
    <x v="0"/>
    <x v="1"/>
    <s v="Harborview Mesh Task Chair, Adjustable Arms"/>
    <n v="383.30669999999998"/>
    <n v="2"/>
    <n v="-126.8117"/>
    <x v="2"/>
    <x v="5"/>
  </r>
  <r>
    <x v="436"/>
    <x v="379"/>
    <x v="382"/>
    <x v="0"/>
    <s v="JA-19674"/>
    <s v="Jamie Arnold"/>
    <x v="2"/>
    <s v="United States"/>
    <x v="37"/>
    <x v="14"/>
    <x v="3"/>
    <s v="FUR-FU-100317"/>
    <x v="0"/>
    <x v="0"/>
    <s v="Nomad Floor Lamp, Telescoping Adjustable"/>
    <n v="14.907999999999999"/>
    <n v="3"/>
    <n v="-9.6849000000000007"/>
    <x v="0"/>
    <x v="10"/>
  </r>
  <r>
    <x v="437"/>
    <x v="380"/>
    <x v="383"/>
    <x v="2"/>
    <s v="MF-19132"/>
    <s v="Maria Fisher"/>
    <x v="2"/>
    <s v="United States"/>
    <x v="82"/>
    <x v="19"/>
    <x v="2"/>
    <s v="FUR-FU-105733"/>
    <x v="0"/>
    <x v="0"/>
    <s v="Sable Halogen Replacement Bulb, 2-Pack"/>
    <n v="747.2681"/>
    <n v="5"/>
    <n v="226.73500000000001"/>
    <x v="5"/>
    <x v="3"/>
  </r>
  <r>
    <x v="438"/>
    <x v="381"/>
    <x v="384"/>
    <x v="2"/>
    <s v="RA-15425"/>
    <s v="Robert Arnold"/>
    <x v="2"/>
    <s v="United States"/>
    <x v="77"/>
    <x v="42"/>
    <x v="1"/>
    <s v="FUR-TA-105529"/>
    <x v="0"/>
    <x v="3"/>
    <s v="Fenwick Compact Office Desk"/>
    <n v="455.12290000000002"/>
    <n v="9"/>
    <n v="-5.6673"/>
    <x v="4"/>
    <x v="11"/>
  </r>
  <r>
    <x v="439"/>
    <x v="382"/>
    <x v="385"/>
    <x v="2"/>
    <s v="DD-18518"/>
    <s v="David Davis"/>
    <x v="0"/>
    <s v="United States"/>
    <x v="20"/>
    <x v="21"/>
    <x v="1"/>
    <s v="FUR-FU-103673"/>
    <x v="0"/>
    <x v="0"/>
    <s v="Corcoran Document Holder, Wood"/>
    <n v="114.7814"/>
    <n v="5"/>
    <n v="8.1141000000000005"/>
    <x v="0"/>
    <x v="9"/>
  </r>
  <r>
    <x v="440"/>
    <x v="383"/>
    <x v="386"/>
    <x v="1"/>
    <s v="JO-19432"/>
    <s v="Joseph Ochoa"/>
    <x v="1"/>
    <s v="United States"/>
    <x v="71"/>
    <x v="4"/>
    <x v="1"/>
    <s v="FUR-TA-103467"/>
    <x v="0"/>
    <x v="3"/>
    <s v="Kessler Round Bullnose High Table"/>
    <n v="548.96370000000002"/>
    <n v="5"/>
    <n v="-185.74629999999999"/>
    <x v="1"/>
    <x v="11"/>
  </r>
  <r>
    <x v="441"/>
    <x v="384"/>
    <x v="387"/>
    <x v="2"/>
    <s v="JW-11512"/>
    <s v="Jack White"/>
    <x v="2"/>
    <s v="United States"/>
    <x v="76"/>
    <x v="34"/>
    <x v="1"/>
    <s v="FUR-FU-106211"/>
    <x v="0"/>
    <x v="0"/>
    <s v="Aurora Brushed Chrome Wall Clock, 14in"/>
    <n v="13.2723"/>
    <n v="1"/>
    <n v="5.8212000000000002"/>
    <x v="3"/>
    <x v="0"/>
  </r>
  <r>
    <x v="442"/>
    <x v="385"/>
    <x v="388"/>
    <x v="1"/>
    <s v="JL-17752"/>
    <s v="Jason Love"/>
    <x v="2"/>
    <s v="United States"/>
    <x v="16"/>
    <x v="17"/>
    <x v="3"/>
    <s v="FUR-TA-107564"/>
    <x v="0"/>
    <x v="3"/>
    <s v="Bellwood Slim Training Table, Light Gray"/>
    <n v="159.3168"/>
    <n v="5"/>
    <n v="22.968499999999999"/>
    <x v="1"/>
    <x v="3"/>
  </r>
  <r>
    <x v="443"/>
    <x v="386"/>
    <x v="389"/>
    <x v="2"/>
    <s v="SW-14073"/>
    <s v="Stephanie Williams"/>
    <x v="2"/>
    <s v="United States"/>
    <x v="45"/>
    <x v="34"/>
    <x v="1"/>
    <s v="FUR-FU-101124"/>
    <x v="0"/>
    <x v="0"/>
    <s v="Rutledge Desk Organizer Tray, Letter Size"/>
    <n v="8.9024999999999999"/>
    <n v="2"/>
    <n v="-0.72060000000000002"/>
    <x v="0"/>
    <x v="4"/>
  </r>
  <r>
    <x v="444"/>
    <x v="387"/>
    <x v="17"/>
    <x v="2"/>
    <s v="AM-17491"/>
    <s v="Anthony Moore"/>
    <x v="1"/>
    <s v="United States"/>
    <x v="9"/>
    <x v="10"/>
    <x v="1"/>
    <s v="FUR-BO-108947"/>
    <x v="0"/>
    <x v="2"/>
    <s v="Concord Ladder Bookcase, Walnut"/>
    <n v="143.02180000000001"/>
    <n v="7"/>
    <n v="-9.2133000000000003"/>
    <x v="7"/>
    <x v="4"/>
  </r>
  <r>
    <x v="445"/>
    <x v="388"/>
    <x v="390"/>
    <x v="0"/>
    <s v="ER-15753"/>
    <s v="Emma Reed"/>
    <x v="1"/>
    <s v="United States"/>
    <x v="19"/>
    <x v="20"/>
    <x v="2"/>
    <s v="FUR-FU-107705"/>
    <x v="0"/>
    <x v="0"/>
    <s v="Hawthorne Desk Accessory Set, Oak"/>
    <n v="53.327399999999997"/>
    <n v="4"/>
    <n v="4.2812000000000001"/>
    <x v="0"/>
    <x v="8"/>
  </r>
  <r>
    <x v="446"/>
    <x v="11"/>
    <x v="391"/>
    <x v="2"/>
    <s v="VB-20532"/>
    <s v="Victor Baker"/>
    <x v="2"/>
    <s v="United States"/>
    <x v="99"/>
    <x v="20"/>
    <x v="2"/>
    <s v="FUR-FU-108837"/>
    <x v="0"/>
    <x v="0"/>
    <s v="Ivanhoe Poster Frame, Aluminum"/>
    <n v="25.429600000000001"/>
    <n v="2"/>
    <n v="-0.9496"/>
    <x v="5"/>
    <x v="6"/>
  </r>
  <r>
    <x v="447"/>
    <x v="389"/>
    <x v="392"/>
    <x v="2"/>
    <s v="KR-20987"/>
    <s v="Kathleen Robertson"/>
    <x v="0"/>
    <s v="United States"/>
    <x v="27"/>
    <x v="26"/>
    <x v="3"/>
    <s v="FUR-FU-106211"/>
    <x v="0"/>
    <x v="0"/>
    <s v="Aurora Brushed Chrome Wall Clock, 14in"/>
    <n v="214.4477"/>
    <n v="4"/>
    <n v="51.405700000000003"/>
    <x v="4"/>
    <x v="9"/>
  </r>
  <r>
    <x v="447"/>
    <x v="389"/>
    <x v="392"/>
    <x v="2"/>
    <s v="KR-20987"/>
    <s v="Kathleen Robertson"/>
    <x v="0"/>
    <s v="United States"/>
    <x v="27"/>
    <x v="26"/>
    <x v="3"/>
    <s v="FUR-BO-107140"/>
    <x v="0"/>
    <x v="2"/>
    <s v="Delacroix Lawyers Bookcase, Cherry Finish"/>
    <n v="217.32499999999999"/>
    <n v="1"/>
    <n v="103.2281"/>
    <x v="4"/>
    <x v="9"/>
  </r>
  <r>
    <x v="447"/>
    <x v="389"/>
    <x v="392"/>
    <x v="2"/>
    <s v="KR-20987"/>
    <s v="Kathleen Robertson"/>
    <x v="0"/>
    <s v="United States"/>
    <x v="27"/>
    <x v="26"/>
    <x v="3"/>
    <s v="FUR-FU-100317"/>
    <x v="0"/>
    <x v="0"/>
    <s v="Nomad Floor Lamp, Telescoping Adjustable"/>
    <n v="21.292999999999999"/>
    <n v="1"/>
    <n v="1.3436999999999999"/>
    <x v="4"/>
    <x v="9"/>
  </r>
  <r>
    <x v="448"/>
    <x v="390"/>
    <x v="249"/>
    <x v="2"/>
    <s v="NA-18320"/>
    <s v="Nichole Alvarez"/>
    <x v="2"/>
    <s v="United States"/>
    <x v="32"/>
    <x v="26"/>
    <x v="3"/>
    <s v="FUR-FU-101124"/>
    <x v="0"/>
    <x v="0"/>
    <s v="Rutledge Desk Organizer Tray, Letter Size"/>
    <n v="6.8699000000000003"/>
    <n v="4"/>
    <n v="2.2532000000000001"/>
    <x v="6"/>
    <x v="9"/>
  </r>
  <r>
    <x v="449"/>
    <x v="391"/>
    <x v="393"/>
    <x v="2"/>
    <s v="DF-19446"/>
    <s v="Donna Frye"/>
    <x v="2"/>
    <s v="United States"/>
    <x v="73"/>
    <x v="30"/>
    <x v="0"/>
    <s v="FUR-BO-108818"/>
    <x v="0"/>
    <x v="2"/>
    <s v="Meridian Glass-Door Bookcase, Espresso Finish"/>
    <n v="137.78049999999999"/>
    <n v="9"/>
    <n v="-2.4641000000000002"/>
    <x v="7"/>
    <x v="11"/>
  </r>
  <r>
    <x v="449"/>
    <x v="391"/>
    <x v="393"/>
    <x v="2"/>
    <s v="DF-19446"/>
    <s v="Donna Frye"/>
    <x v="2"/>
    <s v="United States"/>
    <x v="73"/>
    <x v="30"/>
    <x v="0"/>
    <s v="FUR-TA-105355"/>
    <x v="0"/>
    <x v="3"/>
    <s v="Wexford Racetrack Conference Table"/>
    <n v="751.79229999999995"/>
    <n v="3"/>
    <n v="-480.35660000000001"/>
    <x v="7"/>
    <x v="11"/>
  </r>
  <r>
    <x v="450"/>
    <x v="392"/>
    <x v="394"/>
    <x v="2"/>
    <s v="MM-16118"/>
    <s v="Matthew Moore"/>
    <x v="1"/>
    <s v="United States"/>
    <x v="105"/>
    <x v="10"/>
    <x v="1"/>
    <s v="FUR-FU-104133"/>
    <x v="0"/>
    <x v="0"/>
    <s v="Preston Wood Photo Frame, Mahogany"/>
    <n v="42.251199999999997"/>
    <n v="3"/>
    <n v="33.728900000000003"/>
    <x v="0"/>
    <x v="3"/>
  </r>
  <r>
    <x v="451"/>
    <x v="298"/>
    <x v="218"/>
    <x v="1"/>
    <s v="AF-12287"/>
    <s v="April Frost"/>
    <x v="2"/>
    <s v="United States"/>
    <x v="85"/>
    <x v="44"/>
    <x v="0"/>
    <s v="FUR-CH-100444"/>
    <x v="0"/>
    <x v="1"/>
    <s v="Harborview Mesh Task Chair, Adjustable Arms"/>
    <n v="73.631500000000003"/>
    <n v="2"/>
    <n v="4.3133999999999997"/>
    <x v="1"/>
    <x v="8"/>
  </r>
  <r>
    <x v="452"/>
    <x v="393"/>
    <x v="395"/>
    <x v="0"/>
    <s v="SW-11790"/>
    <s v="Shelia Wallace"/>
    <x v="1"/>
    <s v="United States"/>
    <x v="76"/>
    <x v="34"/>
    <x v="1"/>
    <s v="FUR-CH-108751"/>
    <x v="0"/>
    <x v="1"/>
    <s v="Prescott Ergonomic Chair with Lumbar Support"/>
    <n v="109.9635"/>
    <n v="3"/>
    <n v="22.2041"/>
    <x v="1"/>
    <x v="9"/>
  </r>
  <r>
    <x v="453"/>
    <x v="128"/>
    <x v="396"/>
    <x v="0"/>
    <s v="VS-16735"/>
    <s v="Veronica Simpson"/>
    <x v="2"/>
    <s v="United States"/>
    <x v="21"/>
    <x v="18"/>
    <x v="3"/>
    <s v="FUR-CH-109697"/>
    <x v="0"/>
    <x v="1"/>
    <s v="Rowan Mid-Back Tilter Chair"/>
    <n v="507.899"/>
    <n v="3"/>
    <n v="86.646500000000003"/>
    <x v="0"/>
    <x v="8"/>
  </r>
  <r>
    <x v="454"/>
    <x v="394"/>
    <x v="265"/>
    <x v="2"/>
    <s v="JW-21266"/>
    <s v="Joseph Wilson"/>
    <x v="1"/>
    <s v="United States"/>
    <x v="46"/>
    <x v="28"/>
    <x v="2"/>
    <s v="FUR-CH-106455"/>
    <x v="0"/>
    <x v="1"/>
    <s v="Nolan Leather Highback Chair, Pneumatic Adjustment"/>
    <n v="2078.7321000000002"/>
    <n v="1"/>
    <n v="259.71890000000002"/>
    <x v="0"/>
    <x v="9"/>
  </r>
  <r>
    <x v="455"/>
    <x v="395"/>
    <x v="397"/>
    <x v="2"/>
    <s v="DJ-19064"/>
    <s v="Denise Jones"/>
    <x v="1"/>
    <s v="United States"/>
    <x v="127"/>
    <x v="46"/>
    <x v="3"/>
    <s v="FUR-FU-100853"/>
    <x v="0"/>
    <x v="0"/>
    <s v="Blaine Cubicle Wall Clock, Black"/>
    <n v="54.547400000000003"/>
    <n v="4"/>
    <n v="-1.7643"/>
    <x v="4"/>
    <x v="5"/>
  </r>
  <r>
    <x v="455"/>
    <x v="395"/>
    <x v="397"/>
    <x v="2"/>
    <s v="DJ-19064"/>
    <s v="Denise Jones"/>
    <x v="1"/>
    <s v="United States"/>
    <x v="127"/>
    <x v="46"/>
    <x v="3"/>
    <s v="FUR-FU-108837"/>
    <x v="0"/>
    <x v="0"/>
    <s v="Ivanhoe Poster Frame, Aluminum"/>
    <n v="83.386600000000001"/>
    <n v="3"/>
    <n v="9.7172999999999998"/>
    <x v="4"/>
    <x v="5"/>
  </r>
  <r>
    <x v="456"/>
    <x v="396"/>
    <x v="398"/>
    <x v="2"/>
    <s v="JP-11891"/>
    <s v="Joanna Pacheco"/>
    <x v="0"/>
    <s v="United States"/>
    <x v="48"/>
    <x v="35"/>
    <x v="3"/>
    <s v="FUR-TA-104262"/>
    <x v="0"/>
    <x v="3"/>
    <s v="Thorne End Table, 20-1/2H x 24W x 20D"/>
    <n v="173.73750000000001"/>
    <n v="2"/>
    <n v="34.137599999999999"/>
    <x v="6"/>
    <x v="10"/>
  </r>
  <r>
    <x v="457"/>
    <x v="397"/>
    <x v="163"/>
    <x v="1"/>
    <s v="AL-11697"/>
    <s v="Angela Lin"/>
    <x v="2"/>
    <s v="United States"/>
    <x v="97"/>
    <x v="32"/>
    <x v="3"/>
    <s v="FUR-TA-100823"/>
    <x v="0"/>
    <x v="3"/>
    <s v="Redstone Wood Tables, Set of 2"/>
    <n v="218.6481"/>
    <n v="4"/>
    <n v="-19.2759"/>
    <x v="0"/>
    <x v="4"/>
  </r>
  <r>
    <x v="458"/>
    <x v="398"/>
    <x v="399"/>
    <x v="2"/>
    <s v="AC-13258"/>
    <s v="Alexander Collins"/>
    <x v="1"/>
    <s v="United States"/>
    <x v="36"/>
    <x v="31"/>
    <x v="2"/>
    <s v="FUR-FU-107705"/>
    <x v="0"/>
    <x v="0"/>
    <s v="Hawthorne Desk Accessory Set, Oak"/>
    <n v="292.3064"/>
    <n v="4"/>
    <n v="23.313400000000001"/>
    <x v="2"/>
    <x v="0"/>
  </r>
  <r>
    <x v="458"/>
    <x v="398"/>
    <x v="399"/>
    <x v="2"/>
    <s v="AC-13258"/>
    <s v="Alexander Collins"/>
    <x v="1"/>
    <s v="United States"/>
    <x v="36"/>
    <x v="31"/>
    <x v="2"/>
    <s v="FUR-TA-105355"/>
    <x v="0"/>
    <x v="3"/>
    <s v="Wexford Racetrack Conference Table"/>
    <n v="172.75399999999999"/>
    <n v="4"/>
    <n v="12.7241"/>
    <x v="2"/>
    <x v="0"/>
  </r>
  <r>
    <x v="459"/>
    <x v="399"/>
    <x v="400"/>
    <x v="2"/>
    <s v="CR-16916"/>
    <s v="Christopher Rubio"/>
    <x v="2"/>
    <s v="United States"/>
    <x v="39"/>
    <x v="33"/>
    <x v="3"/>
    <s v="FUR-TA-100823"/>
    <x v="0"/>
    <x v="3"/>
    <s v="Redstone Wood Tables, Set of 2"/>
    <n v="834.02959999999996"/>
    <n v="3"/>
    <n v="-319.26330000000002"/>
    <x v="2"/>
    <x v="9"/>
  </r>
  <r>
    <x v="460"/>
    <x v="400"/>
    <x v="401"/>
    <x v="2"/>
    <s v="HW-13582"/>
    <s v="Holly Wood"/>
    <x v="2"/>
    <s v="United States"/>
    <x v="97"/>
    <x v="32"/>
    <x v="3"/>
    <s v="FUR-FU-100853"/>
    <x v="0"/>
    <x v="0"/>
    <s v="Blaine Cubicle Wall Clock, Black"/>
    <n v="529.03480000000002"/>
    <n v="3"/>
    <n v="-45.1783"/>
    <x v="0"/>
    <x v="11"/>
  </r>
  <r>
    <x v="461"/>
    <x v="401"/>
    <x v="257"/>
    <x v="2"/>
    <s v="RS-12780"/>
    <s v="Randy Smith"/>
    <x v="2"/>
    <s v="United States"/>
    <x v="103"/>
    <x v="46"/>
    <x v="3"/>
    <s v="FUR-FU-106211"/>
    <x v="0"/>
    <x v="0"/>
    <s v="Aurora Brushed Chrome Wall Clock, 14in"/>
    <n v="9.2485999999999997"/>
    <n v="1"/>
    <n v="-3.1351"/>
    <x v="7"/>
    <x v="3"/>
  </r>
  <r>
    <x v="462"/>
    <x v="402"/>
    <x v="402"/>
    <x v="2"/>
    <s v="DM-10488"/>
    <s v="Dylan Miller"/>
    <x v="2"/>
    <s v="United States"/>
    <x v="104"/>
    <x v="26"/>
    <x v="3"/>
    <s v="FUR-BO-108818"/>
    <x v="0"/>
    <x v="2"/>
    <s v="Meridian Glass-Door Bookcase, Espresso Finish"/>
    <n v="50.200800000000001"/>
    <n v="5"/>
    <n v="5.0236999999999998"/>
    <x v="1"/>
    <x v="8"/>
  </r>
  <r>
    <x v="462"/>
    <x v="402"/>
    <x v="402"/>
    <x v="2"/>
    <s v="DM-10488"/>
    <s v="Dylan Miller"/>
    <x v="2"/>
    <s v="United States"/>
    <x v="104"/>
    <x v="26"/>
    <x v="3"/>
    <s v="FUR-CH-109246"/>
    <x v="0"/>
    <x v="1"/>
    <s v="Beckett Steno Chair, Gray"/>
    <n v="96.299400000000006"/>
    <n v="6"/>
    <n v="-24.566400000000002"/>
    <x v="1"/>
    <x v="8"/>
  </r>
  <r>
    <x v="463"/>
    <x v="403"/>
    <x v="403"/>
    <x v="2"/>
    <s v="JC-11139"/>
    <s v="Jessica Callahan"/>
    <x v="1"/>
    <s v="United States"/>
    <x v="23"/>
    <x v="5"/>
    <x v="2"/>
    <s v="FUR-FU-104133"/>
    <x v="0"/>
    <x v="0"/>
    <s v="Preston Wood Photo Frame, Mahogany"/>
    <n v="52.939599999999999"/>
    <n v="2"/>
    <n v="10.9146"/>
    <x v="1"/>
    <x v="9"/>
  </r>
  <r>
    <x v="464"/>
    <x v="252"/>
    <x v="404"/>
    <x v="2"/>
    <s v="NA-18320"/>
    <s v="Nichole Alvarez"/>
    <x v="2"/>
    <s v="United States"/>
    <x v="116"/>
    <x v="38"/>
    <x v="1"/>
    <s v="FUR-TA-107449"/>
    <x v="0"/>
    <x v="3"/>
    <s v="Pembroke 36 x 72 Conference Table"/>
    <n v="404.30579999999998"/>
    <n v="1"/>
    <n v="237.87389999999999"/>
    <x v="4"/>
    <x v="6"/>
  </r>
  <r>
    <x v="465"/>
    <x v="404"/>
    <x v="405"/>
    <x v="1"/>
    <s v="RV-15313"/>
    <s v="Rebecca Valencia"/>
    <x v="1"/>
    <s v="United States"/>
    <x v="86"/>
    <x v="43"/>
    <x v="2"/>
    <s v="FUR-CH-106624"/>
    <x v="0"/>
    <x v="1"/>
    <s v="Adler Fabric Manager's Chair, Slate Gray"/>
    <n v="1469.2340999999999"/>
    <n v="3"/>
    <n v="428.14060000000001"/>
    <x v="7"/>
    <x v="1"/>
  </r>
  <r>
    <x v="466"/>
    <x v="405"/>
    <x v="406"/>
    <x v="2"/>
    <s v="JL-14325"/>
    <s v="Jenna Larson"/>
    <x v="1"/>
    <s v="United States"/>
    <x v="81"/>
    <x v="43"/>
    <x v="2"/>
    <s v="FUR-TA-107564"/>
    <x v="0"/>
    <x v="3"/>
    <s v="Bellwood Slim Training Table, Light Gray"/>
    <n v="372.82100000000003"/>
    <n v="7"/>
    <n v="-83.451999999999998"/>
    <x v="3"/>
    <x v="2"/>
  </r>
  <r>
    <x v="467"/>
    <x v="390"/>
    <x v="407"/>
    <x v="0"/>
    <s v="SR-10757"/>
    <s v="Samantha Robertson"/>
    <x v="2"/>
    <s v="United States"/>
    <x v="115"/>
    <x v="12"/>
    <x v="2"/>
    <s v="FUR-BO-109883"/>
    <x v="0"/>
    <x v="2"/>
    <s v="Ashford Mobile 4-Shelf Bookcase"/>
    <n v="75.386600000000001"/>
    <n v="3"/>
    <n v="-15.547000000000001"/>
    <x v="1"/>
    <x v="9"/>
  </r>
  <r>
    <x v="468"/>
    <x v="406"/>
    <x v="9"/>
    <x v="2"/>
    <s v="KE-21787"/>
    <s v="Kenneth Edwards"/>
    <x v="0"/>
    <s v="United States"/>
    <x v="72"/>
    <x v="6"/>
    <x v="1"/>
    <s v="FUR-CH-102704"/>
    <x v="0"/>
    <x v="1"/>
    <s v="Brookline High-Back Executive Chair, Black Leather"/>
    <n v="154.34450000000001"/>
    <n v="3"/>
    <n v="30.999700000000001"/>
    <x v="5"/>
    <x v="7"/>
  </r>
  <r>
    <x v="469"/>
    <x v="364"/>
    <x v="365"/>
    <x v="2"/>
    <s v="MH-18346"/>
    <s v="Michelle Ho"/>
    <x v="2"/>
    <s v="United States"/>
    <x v="92"/>
    <x v="46"/>
    <x v="3"/>
    <s v="FUR-FU-108837"/>
    <x v="0"/>
    <x v="0"/>
    <s v="Ivanhoe Poster Frame, Aluminum"/>
    <n v="2.9413999999999998"/>
    <n v="4"/>
    <n v="-4.5999999999999999E-3"/>
    <x v="2"/>
    <x v="4"/>
  </r>
  <r>
    <x v="470"/>
    <x v="407"/>
    <x v="408"/>
    <x v="2"/>
    <s v="MP-12045"/>
    <s v="Mark Perez"/>
    <x v="0"/>
    <s v="United States"/>
    <x v="49"/>
    <x v="36"/>
    <x v="0"/>
    <s v="FUR-CH-106455"/>
    <x v="0"/>
    <x v="1"/>
    <s v="Nolan Leather Highback Chair, Pneumatic Adjustment"/>
    <n v="837.43169999999998"/>
    <n v="6"/>
    <n v="235.28440000000001"/>
    <x v="0"/>
    <x v="1"/>
  </r>
  <r>
    <x v="471"/>
    <x v="286"/>
    <x v="409"/>
    <x v="2"/>
    <s v="NJ-14114"/>
    <s v="Nancy Jennings"/>
    <x v="2"/>
    <s v="United States"/>
    <x v="105"/>
    <x v="10"/>
    <x v="1"/>
    <s v="FUR-TA-102977"/>
    <x v="0"/>
    <x v="3"/>
    <s v="Caldwell 44 x 96 Conference Table"/>
    <n v="113.13420000000001"/>
    <n v="4"/>
    <n v="16.820900000000002"/>
    <x v="0"/>
    <x v="6"/>
  </r>
  <r>
    <x v="472"/>
    <x v="408"/>
    <x v="410"/>
    <x v="2"/>
    <s v="SM-20415"/>
    <s v="Sarah Moore"/>
    <x v="2"/>
    <s v="United States"/>
    <x v="24"/>
    <x v="23"/>
    <x v="2"/>
    <s v="FUR-CH-106455"/>
    <x v="0"/>
    <x v="1"/>
    <s v="Nolan Leather Highback Chair, Pneumatic Adjustment"/>
    <n v="41.810899999999997"/>
    <n v="2"/>
    <n v="-8.1640999999999995"/>
    <x v="6"/>
    <x v="5"/>
  </r>
  <r>
    <x v="473"/>
    <x v="75"/>
    <x v="76"/>
    <x v="2"/>
    <s v="WM-20706"/>
    <s v="Wayne Morgan"/>
    <x v="2"/>
    <s v="United States"/>
    <x v="74"/>
    <x v="37"/>
    <x v="0"/>
    <s v="FUR-FU-108837"/>
    <x v="0"/>
    <x v="0"/>
    <s v="Ivanhoe Poster Frame, Aluminum"/>
    <n v="110.30880000000001"/>
    <n v="1"/>
    <n v="7.3334000000000001"/>
    <x v="3"/>
    <x v="5"/>
  </r>
  <r>
    <x v="474"/>
    <x v="409"/>
    <x v="411"/>
    <x v="0"/>
    <s v="KN-16615"/>
    <s v="Kimberly Nguyen"/>
    <x v="2"/>
    <s v="United States"/>
    <x v="124"/>
    <x v="4"/>
    <x v="1"/>
    <s v="FUR-FU-100853"/>
    <x v="0"/>
    <x v="0"/>
    <s v="Blaine Cubicle Wall Clock, Black"/>
    <n v="182.12289999999999"/>
    <n v="2"/>
    <n v="-39.609000000000002"/>
    <x v="3"/>
    <x v="8"/>
  </r>
  <r>
    <x v="474"/>
    <x v="409"/>
    <x v="411"/>
    <x v="0"/>
    <s v="KN-16615"/>
    <s v="Kimberly Nguyen"/>
    <x v="2"/>
    <s v="United States"/>
    <x v="124"/>
    <x v="4"/>
    <x v="1"/>
    <s v="FUR-FU-104558"/>
    <x v="0"/>
    <x v="0"/>
    <s v="Lambert Swing Arm Desk Lamp"/>
    <n v="31.211600000000001"/>
    <n v="4"/>
    <n v="18.100200000000001"/>
    <x v="3"/>
    <x v="8"/>
  </r>
  <r>
    <x v="475"/>
    <x v="21"/>
    <x v="75"/>
    <x v="0"/>
    <s v="JD-16537"/>
    <s v="Jeremy Dalton"/>
    <x v="1"/>
    <s v="United States"/>
    <x v="46"/>
    <x v="28"/>
    <x v="2"/>
    <s v="FUR-TA-102977"/>
    <x v="0"/>
    <x v="3"/>
    <s v="Caldwell 44 x 96 Conference Table"/>
    <n v="118.56310000000001"/>
    <n v="2"/>
    <n v="-0.98219999999999996"/>
    <x v="0"/>
    <x v="6"/>
  </r>
  <r>
    <x v="476"/>
    <x v="67"/>
    <x v="376"/>
    <x v="3"/>
    <s v="JS-17238"/>
    <s v="Jeremy Scott"/>
    <x v="0"/>
    <s v="United States"/>
    <x v="66"/>
    <x v="23"/>
    <x v="2"/>
    <s v="FUR-TA-106211"/>
    <x v="0"/>
    <x v="3"/>
    <s v="Grantham Half-Moon Meeting Table"/>
    <n v="241.87860000000001"/>
    <n v="4"/>
    <n v="25.9495"/>
    <x v="7"/>
    <x v="6"/>
  </r>
  <r>
    <x v="477"/>
    <x v="39"/>
    <x v="412"/>
    <x v="2"/>
    <s v="HW-10634"/>
    <s v="Heather Williams"/>
    <x v="1"/>
    <s v="United States"/>
    <x v="17"/>
    <x v="18"/>
    <x v="3"/>
    <s v="FUR-TA-102977"/>
    <x v="0"/>
    <x v="3"/>
    <s v="Caldwell 44 x 96 Conference Table"/>
    <n v="512.02250000000004"/>
    <n v="1"/>
    <n v="94.006200000000007"/>
    <x v="7"/>
    <x v="2"/>
  </r>
  <r>
    <x v="478"/>
    <x v="410"/>
    <x v="313"/>
    <x v="0"/>
    <s v="ML-10241"/>
    <s v="Megan Le"/>
    <x v="2"/>
    <s v="United States"/>
    <x v="127"/>
    <x v="46"/>
    <x v="3"/>
    <s v="FUR-FU-101124"/>
    <x v="0"/>
    <x v="0"/>
    <s v="Rutledge Desk Organizer Tray, Letter Size"/>
    <n v="34.109400000000001"/>
    <n v="4"/>
    <n v="-18.785900000000002"/>
    <x v="0"/>
    <x v="10"/>
  </r>
  <r>
    <x v="479"/>
    <x v="108"/>
    <x v="413"/>
    <x v="2"/>
    <s v="JM-13441"/>
    <s v="Jeffrey Mendez"/>
    <x v="2"/>
    <s v="United States"/>
    <x v="57"/>
    <x v="0"/>
    <x v="0"/>
    <s v="FUR-FU-106211"/>
    <x v="0"/>
    <x v="0"/>
    <s v="Aurora Brushed Chrome Wall Clock, 14in"/>
    <n v="61.976199999999999"/>
    <n v="6"/>
    <n v="27.310400000000001"/>
    <x v="4"/>
    <x v="6"/>
  </r>
  <r>
    <x v="480"/>
    <x v="411"/>
    <x v="414"/>
    <x v="2"/>
    <s v="TD-14002"/>
    <s v="Tamara Davis"/>
    <x v="0"/>
    <s v="United States"/>
    <x v="6"/>
    <x v="6"/>
    <x v="1"/>
    <s v="FUR-FU-105733"/>
    <x v="0"/>
    <x v="0"/>
    <s v="Sable Halogen Replacement Bulb, 2-Pack"/>
    <n v="67.178100000000001"/>
    <n v="4"/>
    <n v="1.0218"/>
    <x v="3"/>
    <x v="3"/>
  </r>
  <r>
    <x v="481"/>
    <x v="111"/>
    <x v="303"/>
    <x v="1"/>
    <s v="ZM-18486"/>
    <s v="Zachary Michael"/>
    <x v="0"/>
    <s v="United States"/>
    <x v="102"/>
    <x v="35"/>
    <x v="3"/>
    <s v="FUR-TA-107022"/>
    <x v="0"/>
    <x v="3"/>
    <s v="Alden Rectangular Conference Table"/>
    <n v="809.33360000000005"/>
    <n v="2"/>
    <n v="78.997600000000006"/>
    <x v="7"/>
    <x v="1"/>
  </r>
  <r>
    <x v="482"/>
    <x v="412"/>
    <x v="190"/>
    <x v="2"/>
    <s v="RO-19977"/>
    <s v="Robert Oconnell"/>
    <x v="1"/>
    <s v="United States"/>
    <x v="48"/>
    <x v="35"/>
    <x v="3"/>
    <s v="FUR-CH-106455"/>
    <x v="0"/>
    <x v="1"/>
    <s v="Nolan Leather Highback Chair, Pneumatic Adjustment"/>
    <n v="538.39589999999998"/>
    <n v="5"/>
    <n v="135.71619999999999"/>
    <x v="4"/>
    <x v="7"/>
  </r>
  <r>
    <x v="483"/>
    <x v="413"/>
    <x v="415"/>
    <x v="2"/>
    <s v="JS-13681"/>
    <s v="Jessica Stephens"/>
    <x v="2"/>
    <s v="United States"/>
    <x v="72"/>
    <x v="6"/>
    <x v="1"/>
    <s v="FUR-CH-106455"/>
    <x v="0"/>
    <x v="1"/>
    <s v="Nolan Leather Highback Chair, Pneumatic Adjustment"/>
    <n v="398.99209999999999"/>
    <n v="1"/>
    <n v="24.252099999999999"/>
    <x v="7"/>
    <x v="6"/>
  </r>
  <r>
    <x v="484"/>
    <x v="414"/>
    <x v="416"/>
    <x v="2"/>
    <s v="HN-15442"/>
    <s v="Howard Norman"/>
    <x v="1"/>
    <s v="United States"/>
    <x v="20"/>
    <x v="21"/>
    <x v="1"/>
    <s v="FUR-FU-104558"/>
    <x v="0"/>
    <x v="0"/>
    <s v="Lambert Swing Arm Desk Lamp"/>
    <n v="112.2946"/>
    <n v="5"/>
    <n v="13.9148"/>
    <x v="0"/>
    <x v="11"/>
  </r>
  <r>
    <x v="485"/>
    <x v="415"/>
    <x v="125"/>
    <x v="2"/>
    <s v="AB-12646"/>
    <s v="Ashley Barton"/>
    <x v="2"/>
    <s v="United States"/>
    <x v="119"/>
    <x v="41"/>
    <x v="3"/>
    <s v="FUR-FU-100853"/>
    <x v="0"/>
    <x v="0"/>
    <s v="Blaine Cubicle Wall Clock, Black"/>
    <n v="86.090299999999999"/>
    <n v="5"/>
    <n v="-13.6394"/>
    <x v="1"/>
    <x v="9"/>
  </r>
  <r>
    <x v="486"/>
    <x v="411"/>
    <x v="417"/>
    <x v="2"/>
    <s v="TD-20684"/>
    <s v="Tanner Mitchell DDS"/>
    <x v="2"/>
    <s v="United States"/>
    <x v="34"/>
    <x v="29"/>
    <x v="0"/>
    <s v="FUR-BO-109883"/>
    <x v="0"/>
    <x v="2"/>
    <s v="Ashford Mobile 4-Shelf Bookcase"/>
    <n v="509.42340000000002"/>
    <n v="3"/>
    <n v="281.27890000000002"/>
    <x v="7"/>
    <x v="3"/>
  </r>
  <r>
    <x v="487"/>
    <x v="416"/>
    <x v="322"/>
    <x v="0"/>
    <s v="MJ-21757"/>
    <s v="Maria Jones"/>
    <x v="1"/>
    <s v="United States"/>
    <x v="20"/>
    <x v="21"/>
    <x v="1"/>
    <s v="FUR-TA-100823"/>
    <x v="0"/>
    <x v="3"/>
    <s v="Redstone Wood Tables, Set of 2"/>
    <n v="485.88760000000002"/>
    <n v="3"/>
    <n v="2.6568999999999998"/>
    <x v="3"/>
    <x v="4"/>
  </r>
  <r>
    <x v="487"/>
    <x v="416"/>
    <x v="322"/>
    <x v="0"/>
    <s v="MJ-21757"/>
    <s v="Maria Jones"/>
    <x v="1"/>
    <s v="United States"/>
    <x v="20"/>
    <x v="21"/>
    <x v="1"/>
    <s v="FUR-FU-101341"/>
    <x v="0"/>
    <x v="0"/>
    <s v="Griswold Chairmats for Medium Pile Carpet"/>
    <n v="4.8381999999999996"/>
    <n v="6"/>
    <n v="-0.9345"/>
    <x v="3"/>
    <x v="4"/>
  </r>
  <r>
    <x v="488"/>
    <x v="417"/>
    <x v="418"/>
    <x v="2"/>
    <s v="CP-15539"/>
    <s v="Christopher Parker"/>
    <x v="2"/>
    <s v="United States"/>
    <x v="77"/>
    <x v="42"/>
    <x v="1"/>
    <s v="FUR-FU-106906"/>
    <x v="0"/>
    <x v="0"/>
    <s v="Cobalt LED Magnifier Lamp with Clamp Base"/>
    <n v="17.0518"/>
    <n v="4"/>
    <n v="6.5641999999999996"/>
    <x v="6"/>
    <x v="2"/>
  </r>
  <r>
    <x v="488"/>
    <x v="417"/>
    <x v="418"/>
    <x v="2"/>
    <s v="CP-15539"/>
    <s v="Christopher Parker"/>
    <x v="2"/>
    <s v="United States"/>
    <x v="77"/>
    <x v="42"/>
    <x v="1"/>
    <s v="FUR-FU-101341"/>
    <x v="0"/>
    <x v="0"/>
    <s v="Griswold Chairmats for Medium Pile Carpet"/>
    <n v="110.82089999999999"/>
    <n v="1"/>
    <n v="18.055399999999999"/>
    <x v="6"/>
    <x v="2"/>
  </r>
  <r>
    <x v="488"/>
    <x v="417"/>
    <x v="418"/>
    <x v="2"/>
    <s v="CP-15539"/>
    <s v="Christopher Parker"/>
    <x v="2"/>
    <s v="United States"/>
    <x v="77"/>
    <x v="42"/>
    <x v="1"/>
    <s v="FUR-CH-102704"/>
    <x v="0"/>
    <x v="1"/>
    <s v="Brookline High-Back Executive Chair, Black Leather"/>
    <n v="214.5641"/>
    <n v="2"/>
    <n v="-46.4497"/>
    <x v="6"/>
    <x v="2"/>
  </r>
  <r>
    <x v="489"/>
    <x v="418"/>
    <x v="260"/>
    <x v="2"/>
    <s v="JA-12591"/>
    <s v="John Anderson"/>
    <x v="2"/>
    <s v="United States"/>
    <x v="97"/>
    <x v="32"/>
    <x v="3"/>
    <s v="FUR-CH-101375"/>
    <x v="0"/>
    <x v="1"/>
    <s v="Sutton Push-Button Manager's Chair, Indigo"/>
    <n v="101.116"/>
    <n v="6"/>
    <n v="-10.5166"/>
    <x v="3"/>
    <x v="2"/>
  </r>
  <r>
    <x v="490"/>
    <x v="419"/>
    <x v="419"/>
    <x v="2"/>
    <s v="KD-11964"/>
    <s v="Kerry Chavez DDS"/>
    <x v="2"/>
    <s v="United States"/>
    <x v="18"/>
    <x v="19"/>
    <x v="2"/>
    <s v="FUR-TA-105363"/>
    <x v="0"/>
    <x v="3"/>
    <s v="Ashcombe Rectangular Table Top"/>
    <n v="416.76049999999998"/>
    <n v="2"/>
    <n v="96.218800000000002"/>
    <x v="0"/>
    <x v="1"/>
  </r>
  <r>
    <x v="490"/>
    <x v="419"/>
    <x v="419"/>
    <x v="2"/>
    <s v="KD-11964"/>
    <s v="Kerry Chavez DDS"/>
    <x v="2"/>
    <s v="United States"/>
    <x v="18"/>
    <x v="19"/>
    <x v="2"/>
    <s v="FUR-FU-108837"/>
    <x v="0"/>
    <x v="0"/>
    <s v="Ivanhoe Poster Frame, Aluminum"/>
    <n v="15.1953"/>
    <n v="6"/>
    <n v="4.6242000000000001"/>
    <x v="0"/>
    <x v="1"/>
  </r>
  <r>
    <x v="491"/>
    <x v="420"/>
    <x v="420"/>
    <x v="2"/>
    <s v="CS-14012"/>
    <s v="Cristian Santos"/>
    <x v="0"/>
    <s v="United States"/>
    <x v="14"/>
    <x v="15"/>
    <x v="1"/>
    <s v="FUR-FU-105733"/>
    <x v="0"/>
    <x v="0"/>
    <s v="Sable Halogen Replacement Bulb, 2-Pack"/>
    <n v="43.990900000000003"/>
    <n v="7"/>
    <n v="21.379000000000001"/>
    <x v="3"/>
    <x v="11"/>
  </r>
  <r>
    <x v="491"/>
    <x v="420"/>
    <x v="420"/>
    <x v="2"/>
    <s v="CS-14012"/>
    <s v="Cristian Santos"/>
    <x v="0"/>
    <s v="United States"/>
    <x v="14"/>
    <x v="15"/>
    <x v="1"/>
    <s v="FUR-FU-105733"/>
    <x v="0"/>
    <x v="0"/>
    <s v="Sable Halogen Replacement Bulb, 2-Pack"/>
    <n v="35.032899999999998"/>
    <n v="1"/>
    <n v="1.8819999999999999"/>
    <x v="3"/>
    <x v="11"/>
  </r>
  <r>
    <x v="491"/>
    <x v="420"/>
    <x v="420"/>
    <x v="2"/>
    <s v="CS-14012"/>
    <s v="Cristian Santos"/>
    <x v="0"/>
    <s v="United States"/>
    <x v="14"/>
    <x v="15"/>
    <x v="1"/>
    <s v="FUR-FU-108837"/>
    <x v="0"/>
    <x v="0"/>
    <s v="Ivanhoe Poster Frame, Aluminum"/>
    <n v="29.0946"/>
    <n v="2"/>
    <n v="-10.4314"/>
    <x v="3"/>
    <x v="11"/>
  </r>
  <r>
    <x v="492"/>
    <x v="421"/>
    <x v="421"/>
    <x v="2"/>
    <s v="HW-10634"/>
    <s v="Heather Williams"/>
    <x v="0"/>
    <s v="United States"/>
    <x v="83"/>
    <x v="27"/>
    <x v="0"/>
    <s v="FUR-FU-108837"/>
    <x v="0"/>
    <x v="0"/>
    <s v="Ivanhoe Poster Frame, Aluminum"/>
    <n v="54.033099999999997"/>
    <n v="2"/>
    <n v="32.207999999999998"/>
    <x v="7"/>
    <x v="4"/>
  </r>
  <r>
    <x v="493"/>
    <x v="422"/>
    <x v="422"/>
    <x v="0"/>
    <s v="DM-15138"/>
    <s v="Dana Martinez"/>
    <x v="2"/>
    <s v="United States"/>
    <x v="80"/>
    <x v="1"/>
    <x v="0"/>
    <s v="FUR-BO-104471"/>
    <x v="0"/>
    <x v="2"/>
    <s v="Camden Modular Bookcase, Custom Colors"/>
    <n v="171.18819999999999"/>
    <n v="2"/>
    <n v="88.074100000000001"/>
    <x v="1"/>
    <x v="7"/>
  </r>
  <r>
    <x v="494"/>
    <x v="423"/>
    <x v="423"/>
    <x v="1"/>
    <s v="KM-15663"/>
    <s v="Krista Martinez"/>
    <x v="2"/>
    <s v="United States"/>
    <x v="5"/>
    <x v="5"/>
    <x v="2"/>
    <s v="FUR-FU-100317"/>
    <x v="0"/>
    <x v="0"/>
    <s v="Nomad Floor Lamp, Telescoping Adjustable"/>
    <n v="9.9894999999999996"/>
    <n v="2"/>
    <n v="-3.8182999999999998"/>
    <x v="0"/>
    <x v="11"/>
  </r>
  <r>
    <x v="495"/>
    <x v="424"/>
    <x v="424"/>
    <x v="3"/>
    <s v="PW-10152"/>
    <s v="Paul Wilson"/>
    <x v="2"/>
    <s v="United States"/>
    <x v="67"/>
    <x v="24"/>
    <x v="1"/>
    <s v="FUR-BO-106371"/>
    <x v="0"/>
    <x v="2"/>
    <s v="Fairmont Ladder Shelf, Black Metal Frame"/>
    <n v="275.29419999999999"/>
    <n v="5"/>
    <n v="-121.54389999999999"/>
    <x v="7"/>
    <x v="7"/>
  </r>
  <r>
    <x v="495"/>
    <x v="424"/>
    <x v="424"/>
    <x v="3"/>
    <s v="PW-10152"/>
    <s v="Paul Wilson"/>
    <x v="2"/>
    <s v="United States"/>
    <x v="67"/>
    <x v="24"/>
    <x v="1"/>
    <s v="FUR-FU-101124"/>
    <x v="0"/>
    <x v="0"/>
    <s v="Rutledge Desk Organizer Tray, Letter Size"/>
    <n v="23.4941"/>
    <n v="3"/>
    <n v="2.7484999999999999"/>
    <x v="7"/>
    <x v="7"/>
  </r>
  <r>
    <x v="496"/>
    <x v="425"/>
    <x v="425"/>
    <x v="1"/>
    <s v="JY-11235"/>
    <s v="John Young"/>
    <x v="2"/>
    <s v="United States"/>
    <x v="19"/>
    <x v="20"/>
    <x v="2"/>
    <s v="FUR-CH-106455"/>
    <x v="0"/>
    <x v="1"/>
    <s v="Nolan Leather Highback Chair, Pneumatic Adjustment"/>
    <n v="433.65230000000003"/>
    <n v="4"/>
    <n v="-60.033299999999997"/>
    <x v="1"/>
    <x v="8"/>
  </r>
  <r>
    <x v="497"/>
    <x v="426"/>
    <x v="426"/>
    <x v="2"/>
    <s v="CT-13733"/>
    <s v="Carol Tucker"/>
    <x v="0"/>
    <s v="United States"/>
    <x v="10"/>
    <x v="11"/>
    <x v="2"/>
    <s v="FUR-FU-101124"/>
    <x v="0"/>
    <x v="0"/>
    <s v="Rutledge Desk Organizer Tray, Letter Size"/>
    <n v="12.4153"/>
    <n v="5"/>
    <n v="6.1948999999999996"/>
    <x v="3"/>
    <x v="2"/>
  </r>
  <r>
    <x v="498"/>
    <x v="427"/>
    <x v="427"/>
    <x v="2"/>
    <s v="EW-12060"/>
    <s v="Erin Warner"/>
    <x v="2"/>
    <s v="United States"/>
    <x v="31"/>
    <x v="28"/>
    <x v="2"/>
    <s v="FUR-CH-109697"/>
    <x v="0"/>
    <x v="1"/>
    <s v="Rowan Mid-Back Tilter Chair"/>
    <n v="878.3374"/>
    <n v="1"/>
    <n v="290.762"/>
    <x v="3"/>
    <x v="1"/>
  </r>
  <r>
    <x v="498"/>
    <x v="427"/>
    <x v="427"/>
    <x v="2"/>
    <s v="EW-12060"/>
    <s v="Erin Warner"/>
    <x v="2"/>
    <s v="United States"/>
    <x v="31"/>
    <x v="28"/>
    <x v="2"/>
    <s v="FUR-FU-104133"/>
    <x v="0"/>
    <x v="0"/>
    <s v="Preston Wood Photo Frame, Mahogany"/>
    <n v="160.24180000000001"/>
    <n v="4"/>
    <n v="12.423"/>
    <x v="3"/>
    <x v="1"/>
  </r>
  <r>
    <x v="499"/>
    <x v="428"/>
    <x v="428"/>
    <x v="2"/>
    <s v="JS-21169"/>
    <s v="Jason Stein"/>
    <x v="2"/>
    <s v="United States"/>
    <x v="89"/>
    <x v="11"/>
    <x v="2"/>
    <s v="FUR-FU-106211"/>
    <x v="0"/>
    <x v="0"/>
    <s v="Aurora Brushed Chrome Wall Clock, 14in"/>
    <n v="70.733500000000006"/>
    <n v="7"/>
    <n v="25.422799999999999"/>
    <x v="6"/>
    <x v="5"/>
  </r>
  <r>
    <x v="499"/>
    <x v="428"/>
    <x v="428"/>
    <x v="2"/>
    <s v="JS-21169"/>
    <s v="Jason Stein"/>
    <x v="2"/>
    <s v="United States"/>
    <x v="89"/>
    <x v="11"/>
    <x v="2"/>
    <s v="FUR-CH-102091"/>
    <x v="0"/>
    <x v="1"/>
    <s v="Vantage Swivel Task Chair, Blue"/>
    <n v="304.42309999999998"/>
    <n v="3"/>
    <n v="-2.2290000000000001"/>
    <x v="6"/>
    <x v="5"/>
  </r>
  <r>
    <x v="500"/>
    <x v="429"/>
    <x v="429"/>
    <x v="1"/>
    <s v="DM-20015"/>
    <s v="David Molina"/>
    <x v="1"/>
    <s v="United States"/>
    <x v="55"/>
    <x v="12"/>
    <x v="2"/>
    <s v="FUR-FU-104558"/>
    <x v="0"/>
    <x v="0"/>
    <s v="Lambert Swing Arm Desk Lamp"/>
    <n v="8.6827000000000005"/>
    <n v="3"/>
    <n v="2.5287999999999999"/>
    <x v="1"/>
    <x v="11"/>
  </r>
  <r>
    <x v="501"/>
    <x v="164"/>
    <x v="430"/>
    <x v="2"/>
    <s v="JR-11545"/>
    <s v="Joshua Reed"/>
    <x v="2"/>
    <s v="United States"/>
    <x v="37"/>
    <x v="14"/>
    <x v="3"/>
    <s v="FUR-BO-107999"/>
    <x v="0"/>
    <x v="2"/>
    <s v="Braxton Barrister Bookcase, Mahogany"/>
    <n v="542.32759999999996"/>
    <n v="2"/>
    <n v="-166.28039999999999"/>
    <x v="1"/>
    <x v="5"/>
  </r>
  <r>
    <x v="502"/>
    <x v="57"/>
    <x v="411"/>
    <x v="0"/>
    <s v="EC-10711"/>
    <s v="Eric Carney"/>
    <x v="2"/>
    <s v="United States"/>
    <x v="48"/>
    <x v="35"/>
    <x v="3"/>
    <s v="FUR-FU-106906"/>
    <x v="0"/>
    <x v="0"/>
    <s v="Cobalt LED Magnifier Lamp with Clamp Base"/>
    <n v="44.604799999999997"/>
    <n v="4"/>
    <n v="8.8718000000000004"/>
    <x v="0"/>
    <x v="8"/>
  </r>
  <r>
    <x v="503"/>
    <x v="430"/>
    <x v="431"/>
    <x v="0"/>
    <s v="BC-20844"/>
    <s v="Brandy Chavez"/>
    <x v="0"/>
    <s v="United States"/>
    <x v="106"/>
    <x v="34"/>
    <x v="1"/>
    <s v="FUR-FU-106906"/>
    <x v="0"/>
    <x v="0"/>
    <s v="Cobalt LED Magnifier Lamp with Clamp Base"/>
    <n v="32.1785"/>
    <n v="1"/>
    <n v="4.7218999999999998"/>
    <x v="1"/>
    <x v="7"/>
  </r>
  <r>
    <x v="504"/>
    <x v="431"/>
    <x v="432"/>
    <x v="1"/>
    <s v="MW-11894"/>
    <s v="Marilyn Wang"/>
    <x v="2"/>
    <s v="United States"/>
    <x v="99"/>
    <x v="20"/>
    <x v="2"/>
    <s v="FUR-CH-107657"/>
    <x v="0"/>
    <x v="1"/>
    <s v="Hollis Stacking Chair, Rounded Back"/>
    <n v="343.78039999999999"/>
    <n v="7"/>
    <n v="147.6191"/>
    <x v="7"/>
    <x v="7"/>
  </r>
  <r>
    <x v="505"/>
    <x v="432"/>
    <x v="433"/>
    <x v="1"/>
    <s v="EB-18280"/>
    <s v="Emily Bennett"/>
    <x v="2"/>
    <s v="United States"/>
    <x v="119"/>
    <x v="41"/>
    <x v="3"/>
    <s v="FUR-FU-106906"/>
    <x v="0"/>
    <x v="0"/>
    <s v="Cobalt LED Magnifier Lamp with Clamp Base"/>
    <n v="29.910699999999999"/>
    <n v="4"/>
    <n v="7.4702999999999999"/>
    <x v="0"/>
    <x v="7"/>
  </r>
  <r>
    <x v="506"/>
    <x v="433"/>
    <x v="434"/>
    <x v="2"/>
    <s v="ME-14889"/>
    <s v="Michael Elliott"/>
    <x v="1"/>
    <s v="United States"/>
    <x v="68"/>
    <x v="33"/>
    <x v="3"/>
    <s v="FUR-CH-107657"/>
    <x v="0"/>
    <x v="1"/>
    <s v="Hollis Stacking Chair, Rounded Back"/>
    <n v="600.69010000000003"/>
    <n v="2"/>
    <n v="-92.530100000000004"/>
    <x v="1"/>
    <x v="9"/>
  </r>
  <r>
    <x v="507"/>
    <x v="46"/>
    <x v="47"/>
    <x v="0"/>
    <s v="SJ-10722"/>
    <s v="Sophia Johnson"/>
    <x v="1"/>
    <s v="United States"/>
    <x v="119"/>
    <x v="41"/>
    <x v="3"/>
    <s v="FUR-CH-100444"/>
    <x v="0"/>
    <x v="1"/>
    <s v="Harborview Mesh Task Chair, Adjustable Arms"/>
    <n v="349.56560000000002"/>
    <n v="2"/>
    <n v="180.7407"/>
    <x v="5"/>
    <x v="10"/>
  </r>
  <r>
    <x v="508"/>
    <x v="434"/>
    <x v="435"/>
    <x v="2"/>
    <s v="DM-12938"/>
    <s v="Dawn Mullins"/>
    <x v="2"/>
    <s v="United States"/>
    <x v="77"/>
    <x v="42"/>
    <x v="1"/>
    <s v="FUR-FU-105733"/>
    <x v="0"/>
    <x v="0"/>
    <s v="Sable Halogen Replacement Bulb, 2-Pack"/>
    <n v="156.64490000000001"/>
    <n v="4"/>
    <n v="43.509599999999999"/>
    <x v="7"/>
    <x v="4"/>
  </r>
  <r>
    <x v="509"/>
    <x v="192"/>
    <x v="349"/>
    <x v="1"/>
    <s v="JG-18005"/>
    <s v="Jessica Gross"/>
    <x v="1"/>
    <s v="United States"/>
    <x v="119"/>
    <x v="41"/>
    <x v="3"/>
    <s v="FUR-CH-102704"/>
    <x v="0"/>
    <x v="1"/>
    <s v="Brookline High-Back Executive Chair, Black Leather"/>
    <n v="394.92700000000002"/>
    <n v="5"/>
    <n v="183.0864"/>
    <x v="0"/>
    <x v="5"/>
  </r>
  <r>
    <x v="509"/>
    <x v="192"/>
    <x v="349"/>
    <x v="1"/>
    <s v="JG-18005"/>
    <s v="Jessica Gross"/>
    <x v="1"/>
    <s v="United States"/>
    <x v="119"/>
    <x v="41"/>
    <x v="3"/>
    <s v="FUR-FU-101124"/>
    <x v="0"/>
    <x v="0"/>
    <s v="Rutledge Desk Organizer Tray, Letter Size"/>
    <n v="110.5485"/>
    <n v="3"/>
    <n v="72.473500000000001"/>
    <x v="0"/>
    <x v="5"/>
  </r>
  <r>
    <x v="510"/>
    <x v="435"/>
    <x v="436"/>
    <x v="2"/>
    <s v="MC-12925"/>
    <s v="Michael Cooper"/>
    <x v="1"/>
    <s v="United States"/>
    <x v="12"/>
    <x v="13"/>
    <x v="3"/>
    <s v="FUR-CH-109697"/>
    <x v="0"/>
    <x v="1"/>
    <s v="Rowan Mid-Back Tilter Chair"/>
    <n v="662.77610000000004"/>
    <n v="3"/>
    <n v="-253.71360000000001"/>
    <x v="5"/>
    <x v="9"/>
  </r>
  <r>
    <x v="510"/>
    <x v="435"/>
    <x v="436"/>
    <x v="2"/>
    <s v="MC-12925"/>
    <s v="Michael Cooper"/>
    <x v="1"/>
    <s v="United States"/>
    <x v="12"/>
    <x v="13"/>
    <x v="3"/>
    <s v="FUR-BO-106371"/>
    <x v="0"/>
    <x v="2"/>
    <s v="Fairmont Ladder Shelf, Black Metal Frame"/>
    <n v="412.41770000000002"/>
    <n v="5"/>
    <n v="-47.958100000000002"/>
    <x v="5"/>
    <x v="9"/>
  </r>
  <r>
    <x v="510"/>
    <x v="435"/>
    <x v="436"/>
    <x v="2"/>
    <s v="MC-12925"/>
    <s v="Michael Cooper"/>
    <x v="1"/>
    <s v="United States"/>
    <x v="12"/>
    <x v="13"/>
    <x v="3"/>
    <s v="FUR-BO-109883"/>
    <x v="0"/>
    <x v="2"/>
    <s v="Ashford Mobile 4-Shelf Bookcase"/>
    <n v="248.93350000000001"/>
    <n v="7"/>
    <n v="58.705300000000001"/>
    <x v="5"/>
    <x v="9"/>
  </r>
  <r>
    <x v="511"/>
    <x v="436"/>
    <x v="205"/>
    <x v="3"/>
    <s v="PL-21004"/>
    <s v="Paul Lewis"/>
    <x v="1"/>
    <s v="United States"/>
    <x v="64"/>
    <x v="29"/>
    <x v="0"/>
    <s v="FUR-CH-100441"/>
    <x v="0"/>
    <x v="1"/>
    <s v="Dalton Folding Chair, 4/Carton"/>
    <n v="155.51929999999999"/>
    <n v="1"/>
    <n v="-72.875299999999996"/>
    <x v="7"/>
    <x v="11"/>
  </r>
  <r>
    <x v="512"/>
    <x v="437"/>
    <x v="437"/>
    <x v="2"/>
    <s v="TM-15139"/>
    <s v="Todd Moore"/>
    <x v="2"/>
    <s v="United States"/>
    <x v="58"/>
    <x v="32"/>
    <x v="3"/>
    <s v="FUR-CH-102091"/>
    <x v="0"/>
    <x v="1"/>
    <s v="Vantage Swivel Task Chair, Blue"/>
    <n v="231.71379999999999"/>
    <n v="5"/>
    <n v="-24.4237"/>
    <x v="1"/>
    <x v="8"/>
  </r>
  <r>
    <x v="513"/>
    <x v="40"/>
    <x v="438"/>
    <x v="2"/>
    <s v="ZF-21199"/>
    <s v="Zachary Ferrell"/>
    <x v="2"/>
    <s v="United States"/>
    <x v="90"/>
    <x v="45"/>
    <x v="3"/>
    <s v="FUR-FU-104133"/>
    <x v="0"/>
    <x v="0"/>
    <s v="Preston Wood Photo Frame, Mahogany"/>
    <n v="52.347999999999999"/>
    <n v="5"/>
    <n v="7.1737000000000002"/>
    <x v="3"/>
    <x v="5"/>
  </r>
  <r>
    <x v="514"/>
    <x v="438"/>
    <x v="439"/>
    <x v="1"/>
    <s v="WB-19016"/>
    <s v="William Barrett"/>
    <x v="0"/>
    <s v="United States"/>
    <x v="53"/>
    <x v="22"/>
    <x v="2"/>
    <s v="FUR-CH-105507"/>
    <x v="0"/>
    <x v="1"/>
    <s v="Kingsley Mesh-Back Task Chair"/>
    <n v="243.13300000000001"/>
    <n v="7"/>
    <n v="-26.208400000000001"/>
    <x v="0"/>
    <x v="5"/>
  </r>
  <r>
    <x v="514"/>
    <x v="438"/>
    <x v="439"/>
    <x v="1"/>
    <s v="WB-19016"/>
    <s v="William Barrett"/>
    <x v="0"/>
    <s v="United States"/>
    <x v="53"/>
    <x v="22"/>
    <x v="2"/>
    <s v="FUR-FU-108837"/>
    <x v="0"/>
    <x v="0"/>
    <s v="Ivanhoe Poster Frame, Aluminum"/>
    <n v="30.263300000000001"/>
    <n v="4"/>
    <n v="-5.1344000000000003"/>
    <x v="0"/>
    <x v="5"/>
  </r>
  <r>
    <x v="515"/>
    <x v="391"/>
    <x v="440"/>
    <x v="2"/>
    <s v="MW-10128"/>
    <s v="Madison Weber"/>
    <x v="2"/>
    <s v="United States"/>
    <x v="119"/>
    <x v="41"/>
    <x v="3"/>
    <s v="FUR-FU-106906"/>
    <x v="0"/>
    <x v="0"/>
    <s v="Cobalt LED Magnifier Lamp with Clamp Base"/>
    <n v="97.830399999999997"/>
    <n v="5"/>
    <n v="-15.686500000000001"/>
    <x v="0"/>
    <x v="11"/>
  </r>
  <r>
    <x v="516"/>
    <x v="439"/>
    <x v="441"/>
    <x v="1"/>
    <s v="JC-18727"/>
    <s v="Joseph Coleman"/>
    <x v="2"/>
    <s v="United States"/>
    <x v="42"/>
    <x v="11"/>
    <x v="2"/>
    <s v="FUR-FU-105733"/>
    <x v="0"/>
    <x v="0"/>
    <s v="Sable Halogen Replacement Bulb, 2-Pack"/>
    <n v="15.1861"/>
    <n v="3"/>
    <n v="-5.4051"/>
    <x v="1"/>
    <x v="8"/>
  </r>
  <r>
    <x v="517"/>
    <x v="440"/>
    <x v="442"/>
    <x v="0"/>
    <s v="LS-14246"/>
    <s v="Lori Simmons"/>
    <x v="0"/>
    <s v="United States"/>
    <x v="20"/>
    <x v="21"/>
    <x v="1"/>
    <s v="FUR-TA-107564"/>
    <x v="0"/>
    <x v="3"/>
    <s v="Bellwood Slim Training Table, Light Gray"/>
    <n v="159.36420000000001"/>
    <n v="1"/>
    <n v="-49.9039"/>
    <x v="5"/>
    <x v="6"/>
  </r>
  <r>
    <x v="517"/>
    <x v="440"/>
    <x v="442"/>
    <x v="0"/>
    <s v="LS-14246"/>
    <s v="Lori Simmons"/>
    <x v="0"/>
    <s v="United States"/>
    <x v="20"/>
    <x v="21"/>
    <x v="1"/>
    <s v="FUR-FU-104558"/>
    <x v="0"/>
    <x v="0"/>
    <s v="Lambert Swing Arm Desk Lamp"/>
    <n v="158.1113"/>
    <n v="1"/>
    <n v="-42.217599999999997"/>
    <x v="5"/>
    <x v="6"/>
  </r>
  <r>
    <x v="517"/>
    <x v="440"/>
    <x v="442"/>
    <x v="0"/>
    <s v="LS-14246"/>
    <s v="Lori Simmons"/>
    <x v="0"/>
    <s v="United States"/>
    <x v="20"/>
    <x v="21"/>
    <x v="1"/>
    <s v="FUR-CH-106455"/>
    <x v="0"/>
    <x v="1"/>
    <s v="Nolan Leather Highback Chair, Pneumatic Adjustment"/>
    <n v="304.31700000000001"/>
    <n v="2"/>
    <n v="-90.4375"/>
    <x v="5"/>
    <x v="6"/>
  </r>
  <r>
    <x v="518"/>
    <x v="441"/>
    <x v="361"/>
    <x v="2"/>
    <s v="CS-17612"/>
    <s v="Courtney Smith"/>
    <x v="0"/>
    <s v="United States"/>
    <x v="69"/>
    <x v="41"/>
    <x v="3"/>
    <s v="FUR-BO-108947"/>
    <x v="0"/>
    <x v="2"/>
    <s v="Concord Ladder Bookcase, Walnut"/>
    <n v="316.464"/>
    <n v="4"/>
    <n v="76.280199999999994"/>
    <x v="0"/>
    <x v="11"/>
  </r>
  <r>
    <x v="519"/>
    <x v="442"/>
    <x v="443"/>
    <x v="0"/>
    <s v="JP-11876"/>
    <s v="Joshua Perry"/>
    <x v="2"/>
    <s v="United States"/>
    <x v="69"/>
    <x v="41"/>
    <x v="3"/>
    <s v="FUR-CH-100444"/>
    <x v="0"/>
    <x v="1"/>
    <s v="Harborview Mesh Task Chair, Adjustable Arms"/>
    <n v="529.56259999999997"/>
    <n v="4"/>
    <n v="-114.81780000000001"/>
    <x v="5"/>
    <x v="5"/>
  </r>
  <r>
    <x v="520"/>
    <x v="360"/>
    <x v="361"/>
    <x v="2"/>
    <s v="WD-14279"/>
    <s v="William Day"/>
    <x v="2"/>
    <s v="United States"/>
    <x v="72"/>
    <x v="6"/>
    <x v="1"/>
    <s v="FUR-FU-104558"/>
    <x v="0"/>
    <x v="0"/>
    <s v="Lambert Swing Arm Desk Lamp"/>
    <n v="77.453699999999998"/>
    <n v="2"/>
    <n v="23.424600000000002"/>
    <x v="7"/>
    <x v="11"/>
  </r>
  <r>
    <x v="520"/>
    <x v="360"/>
    <x v="361"/>
    <x v="2"/>
    <s v="WD-14279"/>
    <s v="William Day"/>
    <x v="2"/>
    <s v="United States"/>
    <x v="72"/>
    <x v="6"/>
    <x v="1"/>
    <s v="FUR-CH-108751"/>
    <x v="0"/>
    <x v="1"/>
    <s v="Prescott Ergonomic Chair with Lumbar Support"/>
    <n v="259.35149999999999"/>
    <n v="3"/>
    <n v="28.857600000000001"/>
    <x v="7"/>
    <x v="11"/>
  </r>
  <r>
    <x v="520"/>
    <x v="360"/>
    <x v="361"/>
    <x v="2"/>
    <s v="WD-14279"/>
    <s v="William Day"/>
    <x v="2"/>
    <s v="United States"/>
    <x v="72"/>
    <x v="6"/>
    <x v="1"/>
    <s v="FUR-FU-108837"/>
    <x v="0"/>
    <x v="0"/>
    <s v="Ivanhoe Poster Frame, Aluminum"/>
    <n v="357.49329999999998"/>
    <n v="3"/>
    <n v="96.340800000000002"/>
    <x v="7"/>
    <x v="11"/>
  </r>
  <r>
    <x v="520"/>
    <x v="360"/>
    <x v="361"/>
    <x v="2"/>
    <s v="WD-14279"/>
    <s v="William Day"/>
    <x v="2"/>
    <s v="United States"/>
    <x v="72"/>
    <x v="6"/>
    <x v="1"/>
    <s v="FUR-TA-107022"/>
    <x v="0"/>
    <x v="3"/>
    <s v="Alden Rectangular Conference Table"/>
    <n v="395.4599"/>
    <n v="3"/>
    <n v="-224.6181"/>
    <x v="7"/>
    <x v="11"/>
  </r>
  <r>
    <x v="521"/>
    <x v="235"/>
    <x v="134"/>
    <x v="2"/>
    <s v="JW-21830"/>
    <s v="Joel Williams"/>
    <x v="2"/>
    <s v="United States"/>
    <x v="75"/>
    <x v="39"/>
    <x v="0"/>
    <s v="FUR-TA-103467"/>
    <x v="0"/>
    <x v="3"/>
    <s v="Kessler Round Bullnose High Table"/>
    <n v="761.05920000000003"/>
    <n v="3"/>
    <n v="-218.8768"/>
    <x v="0"/>
    <x v="2"/>
  </r>
  <r>
    <x v="522"/>
    <x v="364"/>
    <x v="315"/>
    <x v="2"/>
    <s v="SG-21489"/>
    <s v="Samantha Gardner"/>
    <x v="1"/>
    <s v="United States"/>
    <x v="126"/>
    <x v="47"/>
    <x v="0"/>
    <s v="FUR-CH-100444"/>
    <x v="0"/>
    <x v="1"/>
    <s v="Harborview Mesh Task Chair, Adjustable Arms"/>
    <n v="884.12720000000002"/>
    <n v="9"/>
    <n v="391.89749999999998"/>
    <x v="6"/>
    <x v="4"/>
  </r>
  <r>
    <x v="523"/>
    <x v="443"/>
    <x v="141"/>
    <x v="2"/>
    <s v="JS-14861"/>
    <s v="Jeremy Sampson"/>
    <x v="2"/>
    <s v="United States"/>
    <x v="37"/>
    <x v="14"/>
    <x v="3"/>
    <s v="FUR-FU-100317"/>
    <x v="0"/>
    <x v="0"/>
    <s v="Nomad Floor Lamp, Telescoping Adjustable"/>
    <n v="3.9782000000000002"/>
    <n v="6"/>
    <n v="1.8243"/>
    <x v="7"/>
    <x v="2"/>
  </r>
  <r>
    <x v="524"/>
    <x v="444"/>
    <x v="444"/>
    <x v="0"/>
    <s v="MF-19333"/>
    <s v="Michael Farrell"/>
    <x v="0"/>
    <s v="United States"/>
    <x v="5"/>
    <x v="5"/>
    <x v="2"/>
    <s v="FUR-CH-106624"/>
    <x v="0"/>
    <x v="1"/>
    <s v="Adler Fabric Manager's Chair, Slate Gray"/>
    <n v="39.142000000000003"/>
    <n v="3"/>
    <n v="8.9711999999999996"/>
    <x v="0"/>
    <x v="3"/>
  </r>
  <r>
    <x v="525"/>
    <x v="445"/>
    <x v="445"/>
    <x v="2"/>
    <s v="SR-12697"/>
    <s v="Shannon Ramsey"/>
    <x v="2"/>
    <s v="United States"/>
    <x v="74"/>
    <x v="37"/>
    <x v="0"/>
    <s v="FUR-TA-103467"/>
    <x v="0"/>
    <x v="3"/>
    <s v="Kessler Round Bullnose High Table"/>
    <n v="2786.3436000000002"/>
    <n v="4"/>
    <n v="-1108.2425000000001"/>
    <x v="6"/>
    <x v="4"/>
  </r>
  <r>
    <x v="526"/>
    <x v="446"/>
    <x v="446"/>
    <x v="2"/>
    <s v="MD-10434"/>
    <s v="Margaret Hawkins DDS"/>
    <x v="1"/>
    <s v="United States"/>
    <x v="38"/>
    <x v="32"/>
    <x v="3"/>
    <s v="FUR-FU-104558"/>
    <x v="0"/>
    <x v="0"/>
    <s v="Lambert Swing Arm Desk Lamp"/>
    <n v="19.396999999999998"/>
    <n v="2"/>
    <n v="2.8E-3"/>
    <x v="4"/>
    <x v="8"/>
  </r>
  <r>
    <x v="527"/>
    <x v="447"/>
    <x v="447"/>
    <x v="2"/>
    <s v="KR-11312"/>
    <s v="Kayla Rodriguez"/>
    <x v="2"/>
    <s v="United States"/>
    <x v="70"/>
    <x v="38"/>
    <x v="1"/>
    <s v="FUR-FU-104558"/>
    <x v="0"/>
    <x v="0"/>
    <s v="Lambert Swing Arm Desk Lamp"/>
    <n v="12.624700000000001"/>
    <n v="3"/>
    <n v="2.4622000000000002"/>
    <x v="2"/>
    <x v="4"/>
  </r>
  <r>
    <x v="528"/>
    <x v="448"/>
    <x v="448"/>
    <x v="1"/>
    <s v="RG-14092"/>
    <s v="Ryan Gonzalez"/>
    <x v="2"/>
    <s v="United States"/>
    <x v="4"/>
    <x v="4"/>
    <x v="1"/>
    <s v="FUR-BO-107956"/>
    <x v="0"/>
    <x v="2"/>
    <s v="Sterling Wide Bookcase, Charcoal Gray"/>
    <n v="232.71799999999999"/>
    <n v="3"/>
    <n v="-10.3848"/>
    <x v="1"/>
    <x v="7"/>
  </r>
  <r>
    <x v="529"/>
    <x v="449"/>
    <x v="449"/>
    <x v="2"/>
    <s v="NM-10993"/>
    <s v="Nathan Malone"/>
    <x v="2"/>
    <s v="United States"/>
    <x v="19"/>
    <x v="20"/>
    <x v="2"/>
    <s v="FUR-CH-102091"/>
    <x v="0"/>
    <x v="1"/>
    <s v="Vantage Swivel Task Chair, Blue"/>
    <n v="192.84030000000001"/>
    <n v="9"/>
    <n v="65.524900000000002"/>
    <x v="0"/>
    <x v="3"/>
  </r>
  <r>
    <x v="530"/>
    <x v="450"/>
    <x v="450"/>
    <x v="0"/>
    <s v="EW-12060"/>
    <s v="Erin Warner"/>
    <x v="2"/>
    <s v="United States"/>
    <x v="4"/>
    <x v="4"/>
    <x v="1"/>
    <s v="FUR-BO-106371"/>
    <x v="0"/>
    <x v="2"/>
    <s v="Fairmont Ladder Shelf, Black Metal Frame"/>
    <n v="410.71260000000001"/>
    <n v="8"/>
    <n v="35.182200000000002"/>
    <x v="3"/>
    <x v="9"/>
  </r>
  <r>
    <x v="531"/>
    <x v="283"/>
    <x v="301"/>
    <x v="1"/>
    <s v="LS-13501"/>
    <s v="Laurie Sanchez"/>
    <x v="2"/>
    <s v="United States"/>
    <x v="31"/>
    <x v="28"/>
    <x v="2"/>
    <s v="FUR-TA-104262"/>
    <x v="0"/>
    <x v="3"/>
    <s v="Thorne End Table, 20-1/2H x 24W x 20D"/>
    <n v="617.16070000000002"/>
    <n v="1"/>
    <n v="-92.287499999999994"/>
    <x v="1"/>
    <x v="4"/>
  </r>
  <r>
    <x v="532"/>
    <x v="451"/>
    <x v="451"/>
    <x v="2"/>
    <s v="KG-10514"/>
    <s v="Krista Gibson"/>
    <x v="2"/>
    <s v="United States"/>
    <x v="8"/>
    <x v="8"/>
    <x v="1"/>
    <s v="FUR-FU-101341"/>
    <x v="0"/>
    <x v="0"/>
    <s v="Griswold Chairmats for Medium Pile Carpet"/>
    <n v="12.1487"/>
    <n v="3"/>
    <n v="1.3966000000000001"/>
    <x v="0"/>
    <x v="0"/>
  </r>
  <r>
    <x v="533"/>
    <x v="79"/>
    <x v="452"/>
    <x v="2"/>
    <s v="TR-17749"/>
    <s v="Timothy Romero"/>
    <x v="1"/>
    <s v="United States"/>
    <x v="85"/>
    <x v="44"/>
    <x v="0"/>
    <s v="FUR-FU-101341"/>
    <x v="0"/>
    <x v="0"/>
    <s v="Griswold Chairmats for Medium Pile Carpet"/>
    <n v="161.25749999999999"/>
    <n v="3"/>
    <n v="-10.8782"/>
    <x v="5"/>
    <x v="0"/>
  </r>
  <r>
    <x v="534"/>
    <x v="66"/>
    <x v="453"/>
    <x v="2"/>
    <s v="NB-19324"/>
    <s v="Nancy Brown"/>
    <x v="0"/>
    <s v="United States"/>
    <x v="36"/>
    <x v="31"/>
    <x v="2"/>
    <s v="FUR-CH-102091"/>
    <x v="0"/>
    <x v="1"/>
    <s v="Vantage Swivel Task Chair, Blue"/>
    <n v="356.89870000000002"/>
    <n v="3"/>
    <n v="2.3414000000000001"/>
    <x v="3"/>
    <x v="0"/>
  </r>
  <r>
    <x v="535"/>
    <x v="254"/>
    <x v="454"/>
    <x v="1"/>
    <s v="LS-14246"/>
    <s v="Lori Simmons"/>
    <x v="0"/>
    <s v="United States"/>
    <x v="66"/>
    <x v="23"/>
    <x v="2"/>
    <s v="FUR-CH-106624"/>
    <x v="0"/>
    <x v="1"/>
    <s v="Adler Fabric Manager's Chair, Slate Gray"/>
    <n v="825.36170000000004"/>
    <n v="4"/>
    <n v="76.719300000000004"/>
    <x v="7"/>
    <x v="10"/>
  </r>
  <r>
    <x v="536"/>
    <x v="224"/>
    <x v="455"/>
    <x v="1"/>
    <s v="RJ-16797"/>
    <s v="Robert Jackson"/>
    <x v="1"/>
    <s v="United States"/>
    <x v="91"/>
    <x v="45"/>
    <x v="3"/>
    <s v="FUR-FU-104558"/>
    <x v="0"/>
    <x v="0"/>
    <s v="Lambert Swing Arm Desk Lamp"/>
    <n v="26.675000000000001"/>
    <n v="4"/>
    <n v="1.4289000000000001"/>
    <x v="7"/>
    <x v="6"/>
  </r>
  <r>
    <x v="537"/>
    <x v="452"/>
    <x v="233"/>
    <x v="0"/>
    <s v="JV-20510"/>
    <s v="Joshua Vance"/>
    <x v="0"/>
    <s v="United States"/>
    <x v="1"/>
    <x v="1"/>
    <x v="0"/>
    <s v="FUR-FU-100317"/>
    <x v="0"/>
    <x v="0"/>
    <s v="Nomad Floor Lamp, Telescoping Adjustable"/>
    <n v="230.28059999999999"/>
    <n v="2"/>
    <n v="-14.8797"/>
    <x v="1"/>
    <x v="2"/>
  </r>
  <r>
    <x v="538"/>
    <x v="453"/>
    <x v="456"/>
    <x v="2"/>
    <s v="TC-20647"/>
    <s v="Theresa Clark"/>
    <x v="2"/>
    <s v="United States"/>
    <x v="93"/>
    <x v="9"/>
    <x v="0"/>
    <s v="FUR-BO-107140"/>
    <x v="0"/>
    <x v="2"/>
    <s v="Delacroix Lawyers Bookcase, Cherry Finish"/>
    <n v="169.35730000000001"/>
    <n v="3"/>
    <n v="90.392799999999994"/>
    <x v="3"/>
    <x v="6"/>
  </r>
  <r>
    <x v="538"/>
    <x v="453"/>
    <x v="456"/>
    <x v="2"/>
    <s v="TC-20647"/>
    <s v="Theresa Clark"/>
    <x v="2"/>
    <s v="United States"/>
    <x v="93"/>
    <x v="9"/>
    <x v="0"/>
    <s v="FUR-CH-106624"/>
    <x v="0"/>
    <x v="1"/>
    <s v="Adler Fabric Manager's Chair, Slate Gray"/>
    <n v="290.86279999999999"/>
    <n v="6"/>
    <n v="99.580299999999994"/>
    <x v="3"/>
    <x v="6"/>
  </r>
  <r>
    <x v="539"/>
    <x v="454"/>
    <x v="457"/>
    <x v="2"/>
    <s v="MM-12608"/>
    <s v="Monica Miller"/>
    <x v="1"/>
    <s v="United States"/>
    <x v="70"/>
    <x v="38"/>
    <x v="1"/>
    <s v="FUR-BO-107956"/>
    <x v="0"/>
    <x v="2"/>
    <s v="Sterling Wide Bookcase, Charcoal Gray"/>
    <n v="590.4896"/>
    <n v="1"/>
    <n v="33.026600000000002"/>
    <x v="4"/>
    <x v="11"/>
  </r>
  <r>
    <x v="539"/>
    <x v="454"/>
    <x v="457"/>
    <x v="2"/>
    <s v="MM-12608"/>
    <s v="Monica Miller"/>
    <x v="1"/>
    <s v="United States"/>
    <x v="70"/>
    <x v="38"/>
    <x v="1"/>
    <s v="FUR-BO-106371"/>
    <x v="0"/>
    <x v="2"/>
    <s v="Fairmont Ladder Shelf, Black Metal Frame"/>
    <n v="1372.3206"/>
    <n v="7"/>
    <n v="140.91999999999999"/>
    <x v="4"/>
    <x v="11"/>
  </r>
  <r>
    <x v="540"/>
    <x v="455"/>
    <x v="458"/>
    <x v="1"/>
    <s v="RJ-16797"/>
    <s v="Robert Jackson"/>
    <x v="2"/>
    <s v="United States"/>
    <x v="31"/>
    <x v="28"/>
    <x v="2"/>
    <s v="FUR-FU-108837"/>
    <x v="0"/>
    <x v="0"/>
    <s v="Ivanhoe Poster Frame, Aluminum"/>
    <n v="57.164000000000001"/>
    <n v="7"/>
    <n v="26.5398"/>
    <x v="1"/>
    <x v="10"/>
  </r>
  <r>
    <x v="541"/>
    <x v="135"/>
    <x v="459"/>
    <x v="1"/>
    <s v="MT-20021"/>
    <s v="Mary Thompson"/>
    <x v="0"/>
    <s v="United States"/>
    <x v="76"/>
    <x v="34"/>
    <x v="1"/>
    <s v="FUR-FU-106906"/>
    <x v="0"/>
    <x v="0"/>
    <s v="Cobalt LED Magnifier Lamp with Clamp Base"/>
    <n v="280.89749999999998"/>
    <n v="2"/>
    <n v="84.451700000000002"/>
    <x v="7"/>
    <x v="1"/>
  </r>
  <r>
    <x v="542"/>
    <x v="456"/>
    <x v="460"/>
    <x v="1"/>
    <s v="LS-14246"/>
    <s v="Lori Simmons"/>
    <x v="2"/>
    <s v="United States"/>
    <x v="104"/>
    <x v="26"/>
    <x v="3"/>
    <s v="FUR-TA-104262"/>
    <x v="0"/>
    <x v="3"/>
    <s v="Thorne End Table, 20-1/2H x 24W x 20D"/>
    <n v="596.84249999999997"/>
    <n v="4"/>
    <n v="58.537500000000001"/>
    <x v="0"/>
    <x v="9"/>
  </r>
  <r>
    <x v="543"/>
    <x v="350"/>
    <x v="461"/>
    <x v="0"/>
    <s v="MP-17123"/>
    <s v="Michael Powell"/>
    <x v="1"/>
    <s v="United States"/>
    <x v="38"/>
    <x v="32"/>
    <x v="3"/>
    <s v="FUR-TA-107022"/>
    <x v="0"/>
    <x v="3"/>
    <s v="Alden Rectangular Conference Table"/>
    <n v="1494.2701999999999"/>
    <n v="5"/>
    <n v="29.289200000000001"/>
    <x v="3"/>
    <x v="8"/>
  </r>
  <r>
    <x v="544"/>
    <x v="457"/>
    <x v="462"/>
    <x v="2"/>
    <s v="KM-18702"/>
    <s v="Kim Morrow"/>
    <x v="2"/>
    <s v="United States"/>
    <x v="78"/>
    <x v="37"/>
    <x v="0"/>
    <s v="FUR-BO-108947"/>
    <x v="0"/>
    <x v="2"/>
    <s v="Concord Ladder Bookcase, Walnut"/>
    <n v="113.5731"/>
    <n v="4"/>
    <n v="-39.308300000000003"/>
    <x v="3"/>
    <x v="6"/>
  </r>
  <r>
    <x v="545"/>
    <x v="171"/>
    <x v="463"/>
    <x v="1"/>
    <s v="RB-12414"/>
    <s v="Rachel Bradley"/>
    <x v="1"/>
    <s v="United States"/>
    <x v="50"/>
    <x v="21"/>
    <x v="1"/>
    <s v="FUR-FU-107705"/>
    <x v="0"/>
    <x v="0"/>
    <s v="Hawthorne Desk Accessory Set, Oak"/>
    <n v="145.98320000000001"/>
    <n v="2"/>
    <n v="-23.418099999999999"/>
    <x v="7"/>
    <x v="8"/>
  </r>
  <r>
    <x v="546"/>
    <x v="458"/>
    <x v="464"/>
    <x v="3"/>
    <s v="SS-11169"/>
    <s v="Shirley Suarez"/>
    <x v="2"/>
    <s v="United States"/>
    <x v="117"/>
    <x v="44"/>
    <x v="0"/>
    <s v="FUR-CH-105507"/>
    <x v="0"/>
    <x v="1"/>
    <s v="Kingsley Mesh-Back Task Chair"/>
    <n v="269.9205"/>
    <n v="1"/>
    <n v="-78.153099999999995"/>
    <x v="7"/>
    <x v="0"/>
  </r>
  <r>
    <x v="546"/>
    <x v="458"/>
    <x v="464"/>
    <x v="3"/>
    <s v="SS-11169"/>
    <s v="Shirley Suarez"/>
    <x v="2"/>
    <s v="United States"/>
    <x v="117"/>
    <x v="44"/>
    <x v="0"/>
    <s v="FUR-FU-103673"/>
    <x v="0"/>
    <x v="0"/>
    <s v="Corcoran Document Holder, Wood"/>
    <n v="53.928699999999999"/>
    <n v="4"/>
    <n v="-9.7100000000000006E-2"/>
    <x v="7"/>
    <x v="0"/>
  </r>
  <r>
    <x v="547"/>
    <x v="91"/>
    <x v="465"/>
    <x v="1"/>
    <s v="BR-21946"/>
    <s v="Brian Rodriguez"/>
    <x v="0"/>
    <s v="United States"/>
    <x v="75"/>
    <x v="39"/>
    <x v="0"/>
    <s v="FUR-TA-100823"/>
    <x v="0"/>
    <x v="3"/>
    <s v="Redstone Wood Tables, Set of 2"/>
    <n v="708.62810000000002"/>
    <n v="5"/>
    <n v="162.3083"/>
    <x v="7"/>
    <x v="9"/>
  </r>
  <r>
    <x v="548"/>
    <x v="17"/>
    <x v="466"/>
    <x v="0"/>
    <s v="GW-20575"/>
    <s v="Glen Wood"/>
    <x v="2"/>
    <s v="United States"/>
    <x v="127"/>
    <x v="46"/>
    <x v="3"/>
    <s v="FUR-TA-102977"/>
    <x v="0"/>
    <x v="3"/>
    <s v="Caldwell 44 x 96 Conference Table"/>
    <n v="195.1113"/>
    <n v="3"/>
    <n v="-20.284099999999999"/>
    <x v="5"/>
    <x v="4"/>
  </r>
  <r>
    <x v="548"/>
    <x v="17"/>
    <x v="466"/>
    <x v="0"/>
    <s v="GW-20575"/>
    <s v="Glen Wood"/>
    <x v="2"/>
    <s v="United States"/>
    <x v="127"/>
    <x v="46"/>
    <x v="3"/>
    <s v="FUR-FU-104133"/>
    <x v="0"/>
    <x v="0"/>
    <s v="Preston Wood Photo Frame, Mahogany"/>
    <n v="14.2361"/>
    <n v="2"/>
    <n v="-2.3062"/>
    <x v="5"/>
    <x v="4"/>
  </r>
  <r>
    <x v="549"/>
    <x v="459"/>
    <x v="467"/>
    <x v="3"/>
    <s v="BF-14573"/>
    <s v="Brandon Fleming"/>
    <x v="2"/>
    <s v="United States"/>
    <x v="53"/>
    <x v="22"/>
    <x v="2"/>
    <s v="FUR-FU-100317"/>
    <x v="0"/>
    <x v="0"/>
    <s v="Nomad Floor Lamp, Telescoping Adjustable"/>
    <n v="112.997"/>
    <n v="1"/>
    <n v="36.991"/>
    <x v="7"/>
    <x v="9"/>
  </r>
  <r>
    <x v="550"/>
    <x v="72"/>
    <x v="468"/>
    <x v="2"/>
    <s v="SM-17668"/>
    <s v="Stephanie Manning"/>
    <x v="2"/>
    <s v="United States"/>
    <x v="61"/>
    <x v="10"/>
    <x v="1"/>
    <s v="FUR-FU-108837"/>
    <x v="0"/>
    <x v="0"/>
    <s v="Ivanhoe Poster Frame, Aluminum"/>
    <n v="95.872699999999995"/>
    <n v="4"/>
    <n v="-13.693199999999999"/>
    <x v="5"/>
    <x v="7"/>
  </r>
  <r>
    <x v="551"/>
    <x v="340"/>
    <x v="469"/>
    <x v="0"/>
    <s v="DM-12938"/>
    <s v="Dawn Mullins"/>
    <x v="2"/>
    <s v="United States"/>
    <x v="111"/>
    <x v="8"/>
    <x v="1"/>
    <s v="FUR-CH-106624"/>
    <x v="0"/>
    <x v="1"/>
    <s v="Adler Fabric Manager's Chair, Slate Gray"/>
    <n v="1257.5861"/>
    <n v="2"/>
    <n v="79.322699999999998"/>
    <x v="5"/>
    <x v="9"/>
  </r>
  <r>
    <x v="552"/>
    <x v="460"/>
    <x v="7"/>
    <x v="3"/>
    <s v="MP-12045"/>
    <s v="Mark Perez"/>
    <x v="2"/>
    <s v="United States"/>
    <x v="34"/>
    <x v="29"/>
    <x v="0"/>
    <s v="FUR-FU-105733"/>
    <x v="0"/>
    <x v="0"/>
    <s v="Sable Halogen Replacement Bulb, 2-Pack"/>
    <n v="76.656800000000004"/>
    <n v="1"/>
    <n v="-17.524000000000001"/>
    <x v="7"/>
    <x v="5"/>
  </r>
  <r>
    <x v="552"/>
    <x v="460"/>
    <x v="7"/>
    <x v="3"/>
    <s v="MP-12045"/>
    <s v="Mark Perez"/>
    <x v="2"/>
    <s v="United States"/>
    <x v="34"/>
    <x v="29"/>
    <x v="0"/>
    <s v="FUR-FU-106211"/>
    <x v="0"/>
    <x v="0"/>
    <s v="Aurora Brushed Chrome Wall Clock, 14in"/>
    <n v="188.47130000000001"/>
    <n v="5"/>
    <n v="10.238200000000001"/>
    <x v="7"/>
    <x v="5"/>
  </r>
  <r>
    <x v="553"/>
    <x v="461"/>
    <x v="470"/>
    <x v="2"/>
    <s v="WD-14279"/>
    <s v="William Day"/>
    <x v="1"/>
    <s v="United States"/>
    <x v="8"/>
    <x v="8"/>
    <x v="1"/>
    <s v="FUR-CH-109697"/>
    <x v="0"/>
    <x v="1"/>
    <s v="Rowan Mid-Back Tilter Chair"/>
    <n v="492.53469999999999"/>
    <n v="4"/>
    <n v="-54.163699999999999"/>
    <x v="7"/>
    <x v="7"/>
  </r>
  <r>
    <x v="554"/>
    <x v="429"/>
    <x v="471"/>
    <x v="2"/>
    <s v="KH-10406"/>
    <s v="Kaylee Hays"/>
    <x v="2"/>
    <s v="United States"/>
    <x v="0"/>
    <x v="6"/>
    <x v="1"/>
    <s v="FUR-FU-108837"/>
    <x v="0"/>
    <x v="0"/>
    <s v="Ivanhoe Poster Frame, Aluminum"/>
    <n v="59.845999999999997"/>
    <n v="6"/>
    <n v="-6.0670000000000002"/>
    <x v="0"/>
    <x v="11"/>
  </r>
  <r>
    <x v="555"/>
    <x v="462"/>
    <x v="472"/>
    <x v="2"/>
    <s v="JM-14291"/>
    <s v="Jeremy Mitchell"/>
    <x v="2"/>
    <s v="United States"/>
    <x v="28"/>
    <x v="4"/>
    <x v="1"/>
    <s v="FUR-CH-106455"/>
    <x v="0"/>
    <x v="1"/>
    <s v="Nolan Leather Highback Chair, Pneumatic Adjustment"/>
    <n v="155.60429999999999"/>
    <n v="3"/>
    <n v="63.641399999999997"/>
    <x v="2"/>
    <x v="3"/>
  </r>
  <r>
    <x v="555"/>
    <x v="462"/>
    <x v="472"/>
    <x v="2"/>
    <s v="JM-14291"/>
    <s v="Jeremy Mitchell"/>
    <x v="2"/>
    <s v="United States"/>
    <x v="28"/>
    <x v="4"/>
    <x v="1"/>
    <s v="FUR-FU-106906"/>
    <x v="0"/>
    <x v="0"/>
    <s v="Cobalt LED Magnifier Lamp with Clamp Base"/>
    <n v="26.9452"/>
    <n v="1"/>
    <n v="9.0039999999999996"/>
    <x v="2"/>
    <x v="3"/>
  </r>
  <r>
    <x v="556"/>
    <x v="463"/>
    <x v="473"/>
    <x v="2"/>
    <s v="SJ-16201"/>
    <s v="Shannon Jones"/>
    <x v="2"/>
    <s v="United States"/>
    <x v="62"/>
    <x v="25"/>
    <x v="3"/>
    <s v="FUR-TA-102223"/>
    <x v="0"/>
    <x v="3"/>
    <s v="Marchetti Round Conference Table, X-Base"/>
    <n v="774.72739999999999"/>
    <n v="6"/>
    <n v="215.59100000000001"/>
    <x v="3"/>
    <x v="5"/>
  </r>
  <r>
    <x v="557"/>
    <x v="464"/>
    <x v="474"/>
    <x v="2"/>
    <s v="AB-18938"/>
    <s v="Alexander Brown"/>
    <x v="2"/>
    <s v="United States"/>
    <x v="56"/>
    <x v="7"/>
    <x v="2"/>
    <s v="FUR-BO-103613"/>
    <x v="0"/>
    <x v="2"/>
    <s v="Winslow Corner Bookcase, White"/>
    <n v="2254.3065999999999"/>
    <n v="5"/>
    <n v="170.83920000000001"/>
    <x v="1"/>
    <x v="11"/>
  </r>
  <r>
    <x v="558"/>
    <x v="72"/>
    <x v="475"/>
    <x v="2"/>
    <s v="AM-10626"/>
    <s v="Amy Martinez"/>
    <x v="0"/>
    <s v="United States"/>
    <x v="1"/>
    <x v="1"/>
    <x v="0"/>
    <s v="FUR-BO-104471"/>
    <x v="0"/>
    <x v="2"/>
    <s v="Camden Modular Bookcase, Custom Colors"/>
    <n v="359.60629999999998"/>
    <n v="3"/>
    <n v="192.75149999999999"/>
    <x v="1"/>
    <x v="7"/>
  </r>
  <r>
    <x v="559"/>
    <x v="423"/>
    <x v="423"/>
    <x v="2"/>
    <s v="DK-10821"/>
    <s v="Daniel Kane"/>
    <x v="2"/>
    <s v="United States"/>
    <x v="90"/>
    <x v="45"/>
    <x v="3"/>
    <s v="FUR-CH-106624"/>
    <x v="0"/>
    <x v="1"/>
    <s v="Adler Fabric Manager's Chair, Slate Gray"/>
    <n v="243.33600000000001"/>
    <n v="1"/>
    <n v="-16.634899999999998"/>
    <x v="0"/>
    <x v="11"/>
  </r>
  <r>
    <x v="559"/>
    <x v="423"/>
    <x v="423"/>
    <x v="2"/>
    <s v="DK-10821"/>
    <s v="Daniel Kane"/>
    <x v="2"/>
    <s v="United States"/>
    <x v="90"/>
    <x v="45"/>
    <x v="3"/>
    <s v="FUR-TA-105529"/>
    <x v="0"/>
    <x v="3"/>
    <s v="Fenwick Compact Office Desk"/>
    <n v="631.82550000000003"/>
    <n v="1"/>
    <n v="185.9308"/>
    <x v="0"/>
    <x v="11"/>
  </r>
  <r>
    <x v="560"/>
    <x v="275"/>
    <x v="236"/>
    <x v="2"/>
    <s v="JA-15862"/>
    <s v="Jose Allen"/>
    <x v="1"/>
    <s v="United States"/>
    <x v="71"/>
    <x v="4"/>
    <x v="1"/>
    <s v="FUR-FU-107705"/>
    <x v="0"/>
    <x v="0"/>
    <s v="Hawthorne Desk Accessory Set, Oak"/>
    <n v="95.557400000000001"/>
    <n v="5"/>
    <n v="59.361400000000003"/>
    <x v="7"/>
    <x v="10"/>
  </r>
  <r>
    <x v="561"/>
    <x v="465"/>
    <x v="372"/>
    <x v="0"/>
    <s v="RM-21959"/>
    <s v="Rodney Morales"/>
    <x v="0"/>
    <s v="United States"/>
    <x v="123"/>
    <x v="24"/>
    <x v="1"/>
    <s v="FUR-CH-100441"/>
    <x v="0"/>
    <x v="1"/>
    <s v="Dalton Folding Chair, 4/Carton"/>
    <n v="1958.0697"/>
    <n v="2"/>
    <n v="453.76060000000001"/>
    <x v="3"/>
    <x v="1"/>
  </r>
  <r>
    <x v="561"/>
    <x v="465"/>
    <x v="372"/>
    <x v="0"/>
    <s v="RM-21959"/>
    <s v="Rodney Morales"/>
    <x v="0"/>
    <s v="United States"/>
    <x v="123"/>
    <x v="24"/>
    <x v="1"/>
    <s v="FUR-CH-107657"/>
    <x v="0"/>
    <x v="1"/>
    <s v="Hollis Stacking Chair, Rounded Back"/>
    <n v="322.87079999999997"/>
    <n v="3"/>
    <n v="-85.150300000000001"/>
    <x v="3"/>
    <x v="1"/>
  </r>
  <r>
    <x v="561"/>
    <x v="465"/>
    <x v="372"/>
    <x v="0"/>
    <s v="RM-21959"/>
    <s v="Rodney Morales"/>
    <x v="0"/>
    <s v="United States"/>
    <x v="123"/>
    <x v="24"/>
    <x v="1"/>
    <s v="FUR-FU-100317"/>
    <x v="0"/>
    <x v="0"/>
    <s v="Nomad Floor Lamp, Telescoping Adjustable"/>
    <n v="159.14920000000001"/>
    <n v="6"/>
    <n v="41.892899999999997"/>
    <x v="3"/>
    <x v="1"/>
  </r>
  <r>
    <x v="562"/>
    <x v="466"/>
    <x v="19"/>
    <x v="2"/>
    <s v="KS-16932"/>
    <s v="Katherine Salas"/>
    <x v="2"/>
    <s v="United States"/>
    <x v="46"/>
    <x v="28"/>
    <x v="2"/>
    <s v="FUR-FU-101341"/>
    <x v="0"/>
    <x v="0"/>
    <s v="Griswold Chairmats for Medium Pile Carpet"/>
    <n v="16.866800000000001"/>
    <n v="1"/>
    <n v="4.2850000000000001"/>
    <x v="6"/>
    <x v="3"/>
  </r>
  <r>
    <x v="563"/>
    <x v="467"/>
    <x v="476"/>
    <x v="2"/>
    <s v="HF-13346"/>
    <s v="Holly Farmer"/>
    <x v="1"/>
    <s v="United States"/>
    <x v="6"/>
    <x v="6"/>
    <x v="1"/>
    <s v="FUR-FU-100317"/>
    <x v="0"/>
    <x v="0"/>
    <s v="Nomad Floor Lamp, Telescoping Adjustable"/>
    <n v="467.17329999999998"/>
    <n v="2"/>
    <n v="139.64920000000001"/>
    <x v="2"/>
    <x v="4"/>
  </r>
  <r>
    <x v="564"/>
    <x v="468"/>
    <x v="19"/>
    <x v="2"/>
    <s v="PB-14915"/>
    <s v="Paula Bradley"/>
    <x v="1"/>
    <s v="United States"/>
    <x v="88"/>
    <x v="31"/>
    <x v="2"/>
    <s v="FUR-FU-103673"/>
    <x v="0"/>
    <x v="0"/>
    <s v="Corcoran Document Holder, Wood"/>
    <n v="226.42150000000001"/>
    <n v="5"/>
    <n v="66.099199999999996"/>
    <x v="4"/>
    <x v="3"/>
  </r>
  <r>
    <x v="564"/>
    <x v="468"/>
    <x v="19"/>
    <x v="2"/>
    <s v="PB-14915"/>
    <s v="Paula Bradley"/>
    <x v="1"/>
    <s v="United States"/>
    <x v="88"/>
    <x v="31"/>
    <x v="2"/>
    <s v="FUR-FU-106906"/>
    <x v="0"/>
    <x v="0"/>
    <s v="Cobalt LED Magnifier Lamp with Clamp Base"/>
    <n v="54.676200000000001"/>
    <n v="4"/>
    <n v="-10.331300000000001"/>
    <x v="4"/>
    <x v="3"/>
  </r>
  <r>
    <x v="564"/>
    <x v="468"/>
    <x v="19"/>
    <x v="2"/>
    <s v="PB-14915"/>
    <s v="Paula Bradley"/>
    <x v="1"/>
    <s v="United States"/>
    <x v="88"/>
    <x v="31"/>
    <x v="2"/>
    <s v="FUR-FU-100853"/>
    <x v="0"/>
    <x v="0"/>
    <s v="Blaine Cubicle Wall Clock, Black"/>
    <n v="36.907499999999999"/>
    <n v="1"/>
    <n v="11.2066"/>
    <x v="4"/>
    <x v="3"/>
  </r>
  <r>
    <x v="565"/>
    <x v="370"/>
    <x v="477"/>
    <x v="2"/>
    <s v="WB-19016"/>
    <s v="William Barrett"/>
    <x v="2"/>
    <s v="United States"/>
    <x v="17"/>
    <x v="18"/>
    <x v="3"/>
    <s v="FUR-CH-107657"/>
    <x v="0"/>
    <x v="1"/>
    <s v="Hollis Stacking Chair, Rounded Back"/>
    <n v="1653.0123000000001"/>
    <n v="7"/>
    <n v="-226.4752"/>
    <x v="1"/>
    <x v="3"/>
  </r>
  <r>
    <x v="566"/>
    <x v="327"/>
    <x v="478"/>
    <x v="2"/>
    <s v="ML-10241"/>
    <s v="Megan Le"/>
    <x v="1"/>
    <s v="United States"/>
    <x v="98"/>
    <x v="46"/>
    <x v="3"/>
    <s v="FUR-FU-105733"/>
    <x v="0"/>
    <x v="0"/>
    <s v="Sable Halogen Replacement Bulb, 2-Pack"/>
    <n v="44.2089"/>
    <n v="5"/>
    <n v="9.7428000000000008"/>
    <x v="2"/>
    <x v="2"/>
  </r>
  <r>
    <x v="567"/>
    <x v="469"/>
    <x v="84"/>
    <x v="0"/>
    <s v="KS-17744"/>
    <s v="Katie Suarez"/>
    <x v="1"/>
    <s v="United States"/>
    <x v="69"/>
    <x v="41"/>
    <x v="3"/>
    <s v="FUR-FU-106211"/>
    <x v="0"/>
    <x v="0"/>
    <s v="Aurora Brushed Chrome Wall Clock, 14in"/>
    <n v="14.960800000000001"/>
    <n v="4"/>
    <n v="1.3773"/>
    <x v="0"/>
    <x v="9"/>
  </r>
  <r>
    <x v="568"/>
    <x v="470"/>
    <x v="479"/>
    <x v="0"/>
    <s v="MP-13872"/>
    <s v="Maria Parker"/>
    <x v="2"/>
    <s v="United States"/>
    <x v="88"/>
    <x v="31"/>
    <x v="2"/>
    <s v="FUR-FU-106906"/>
    <x v="0"/>
    <x v="0"/>
    <s v="Cobalt LED Magnifier Lamp with Clamp Base"/>
    <n v="65.842600000000004"/>
    <n v="2"/>
    <n v="29.023599999999998"/>
    <x v="1"/>
    <x v="9"/>
  </r>
  <r>
    <x v="569"/>
    <x v="471"/>
    <x v="480"/>
    <x v="2"/>
    <s v="KD-13432"/>
    <s v="Kelly Donovan"/>
    <x v="1"/>
    <s v="United States"/>
    <x v="96"/>
    <x v="15"/>
    <x v="1"/>
    <s v="FUR-CH-102704"/>
    <x v="0"/>
    <x v="1"/>
    <s v="Brookline High-Back Executive Chair, Black Leather"/>
    <n v="459.32499999999999"/>
    <n v="5"/>
    <n v="185.09610000000001"/>
    <x v="7"/>
    <x v="1"/>
  </r>
  <r>
    <x v="570"/>
    <x v="472"/>
    <x v="481"/>
    <x v="0"/>
    <s v="RC-19173"/>
    <s v="Richard Cooper"/>
    <x v="1"/>
    <s v="United States"/>
    <x v="31"/>
    <x v="28"/>
    <x v="2"/>
    <s v="FUR-BO-108947"/>
    <x v="0"/>
    <x v="2"/>
    <s v="Concord Ladder Bookcase, Walnut"/>
    <n v="277.43900000000002"/>
    <n v="3"/>
    <n v="-51.348700000000001"/>
    <x v="5"/>
    <x v="10"/>
  </r>
  <r>
    <x v="571"/>
    <x v="473"/>
    <x v="482"/>
    <x v="2"/>
    <s v="GL-13483"/>
    <s v="Garrett Lin"/>
    <x v="0"/>
    <s v="United States"/>
    <x v="0"/>
    <x v="0"/>
    <x v="0"/>
    <s v="FUR-TA-105355"/>
    <x v="0"/>
    <x v="3"/>
    <s v="Wexford Racetrack Conference Table"/>
    <n v="399.012"/>
    <n v="2"/>
    <n v="-123.79940000000001"/>
    <x v="1"/>
    <x v="7"/>
  </r>
  <r>
    <x v="572"/>
    <x v="474"/>
    <x v="483"/>
    <x v="2"/>
    <s v="LA-20403"/>
    <s v="Lisa Archer"/>
    <x v="2"/>
    <s v="United States"/>
    <x v="122"/>
    <x v="43"/>
    <x v="2"/>
    <s v="FUR-CH-101375"/>
    <x v="0"/>
    <x v="1"/>
    <s v="Sutton Push-Button Manager's Chair, Indigo"/>
    <n v="202.9811"/>
    <n v="1"/>
    <n v="3.7865000000000002"/>
    <x v="0"/>
    <x v="7"/>
  </r>
  <r>
    <x v="573"/>
    <x v="475"/>
    <x v="484"/>
    <x v="2"/>
    <s v="EM-16745"/>
    <s v="Evelyn Martinez"/>
    <x v="2"/>
    <s v="United States"/>
    <x v="115"/>
    <x v="12"/>
    <x v="2"/>
    <s v="FUR-BO-100475"/>
    <x v="0"/>
    <x v="2"/>
    <s v="Overton 3-Shelf Corner Bookcase"/>
    <n v="242.8409"/>
    <n v="3"/>
    <n v="-139.56270000000001"/>
    <x v="2"/>
    <x v="9"/>
  </r>
  <r>
    <x v="574"/>
    <x v="476"/>
    <x v="485"/>
    <x v="2"/>
    <s v="GP-20391"/>
    <s v="Gregory Ponce"/>
    <x v="0"/>
    <s v="United States"/>
    <x v="120"/>
    <x v="42"/>
    <x v="1"/>
    <s v="FUR-BO-106865"/>
    <x v="0"/>
    <x v="2"/>
    <s v="Hartwell Oak 5-Shelf Bookcase"/>
    <n v="198.36949999999999"/>
    <n v="2"/>
    <n v="60.821399999999997"/>
    <x v="6"/>
    <x v="2"/>
  </r>
  <r>
    <x v="575"/>
    <x v="477"/>
    <x v="461"/>
    <x v="2"/>
    <s v="PL-13143"/>
    <s v="Paula Lane"/>
    <x v="2"/>
    <s v="United States"/>
    <x v="7"/>
    <x v="7"/>
    <x v="2"/>
    <s v="FUR-TA-107564"/>
    <x v="0"/>
    <x v="3"/>
    <s v="Bellwood Slim Training Table, Light Gray"/>
    <n v="318.46640000000002"/>
    <n v="3"/>
    <n v="120.8728"/>
    <x v="4"/>
    <x v="8"/>
  </r>
  <r>
    <x v="576"/>
    <x v="478"/>
    <x v="486"/>
    <x v="2"/>
    <s v="DM-12938"/>
    <s v="Dawn Mullins"/>
    <x v="2"/>
    <s v="United States"/>
    <x v="113"/>
    <x v="47"/>
    <x v="0"/>
    <s v="FUR-FU-101124"/>
    <x v="0"/>
    <x v="0"/>
    <s v="Rutledge Desk Organizer Tray, Letter Size"/>
    <n v="14.83"/>
    <n v="2"/>
    <n v="3.5832000000000002"/>
    <x v="4"/>
    <x v="0"/>
  </r>
  <r>
    <x v="576"/>
    <x v="478"/>
    <x v="486"/>
    <x v="2"/>
    <s v="DM-12938"/>
    <s v="Dawn Mullins"/>
    <x v="2"/>
    <s v="United States"/>
    <x v="113"/>
    <x v="47"/>
    <x v="0"/>
    <s v="FUR-FU-106906"/>
    <x v="0"/>
    <x v="0"/>
    <s v="Cobalt LED Magnifier Lamp with Clamp Base"/>
    <n v="50.334699999999998"/>
    <n v="2"/>
    <n v="27.563700000000001"/>
    <x v="4"/>
    <x v="0"/>
  </r>
  <r>
    <x v="577"/>
    <x v="479"/>
    <x v="359"/>
    <x v="0"/>
    <s v="JL-14325"/>
    <s v="Jenna Larson"/>
    <x v="0"/>
    <s v="United States"/>
    <x v="128"/>
    <x v="21"/>
    <x v="1"/>
    <s v="FUR-BO-104471"/>
    <x v="0"/>
    <x v="2"/>
    <s v="Camden Modular Bookcase, Custom Colors"/>
    <n v="411.33659999999998"/>
    <n v="4"/>
    <n v="-152.2627"/>
    <x v="1"/>
    <x v="0"/>
  </r>
  <r>
    <x v="578"/>
    <x v="71"/>
    <x v="487"/>
    <x v="3"/>
    <s v="EW-12060"/>
    <s v="Erin Warner"/>
    <x v="2"/>
    <s v="United States"/>
    <x v="125"/>
    <x v="11"/>
    <x v="2"/>
    <s v="FUR-CH-109697"/>
    <x v="0"/>
    <x v="1"/>
    <s v="Rowan Mid-Back Tilter Chair"/>
    <n v="498.76310000000001"/>
    <n v="2"/>
    <n v="-73.614699999999999"/>
    <x v="7"/>
    <x v="10"/>
  </r>
  <r>
    <x v="579"/>
    <x v="480"/>
    <x v="488"/>
    <x v="2"/>
    <s v="HF-13346"/>
    <s v="Holly Farmer"/>
    <x v="0"/>
    <s v="United States"/>
    <x v="96"/>
    <x v="15"/>
    <x v="1"/>
    <s v="FUR-CH-106624"/>
    <x v="0"/>
    <x v="1"/>
    <s v="Adler Fabric Manager's Chair, Slate Gray"/>
    <n v="362.4683"/>
    <n v="1"/>
    <n v="-9.1800999999999995"/>
    <x v="7"/>
    <x v="6"/>
  </r>
  <r>
    <x v="580"/>
    <x v="481"/>
    <x v="373"/>
    <x v="0"/>
    <s v="MH-14040"/>
    <s v="Michelle Harmon"/>
    <x v="1"/>
    <s v="United States"/>
    <x v="31"/>
    <x v="28"/>
    <x v="2"/>
    <s v="FUR-FU-106906"/>
    <x v="0"/>
    <x v="0"/>
    <s v="Cobalt LED Magnifier Lamp with Clamp Base"/>
    <n v="45.810400000000001"/>
    <n v="2"/>
    <n v="13.951700000000001"/>
    <x v="7"/>
    <x v="9"/>
  </r>
  <r>
    <x v="581"/>
    <x v="482"/>
    <x v="63"/>
    <x v="3"/>
    <s v="DM-17527"/>
    <s v="Danny Morgan"/>
    <x v="0"/>
    <s v="United States"/>
    <x v="7"/>
    <x v="7"/>
    <x v="2"/>
    <s v="FUR-FU-104558"/>
    <x v="0"/>
    <x v="0"/>
    <s v="Lambert Swing Arm Desk Lamp"/>
    <n v="318.90609999999998"/>
    <n v="6"/>
    <n v="110.5033"/>
    <x v="7"/>
    <x v="4"/>
  </r>
  <r>
    <x v="582"/>
    <x v="115"/>
    <x v="116"/>
    <x v="2"/>
    <s v="VR-14349"/>
    <s v="Vincent Reynolds"/>
    <x v="2"/>
    <s v="United States"/>
    <x v="47"/>
    <x v="25"/>
    <x v="3"/>
    <s v="FUR-FU-108837"/>
    <x v="0"/>
    <x v="0"/>
    <s v="Ivanhoe Poster Frame, Aluminum"/>
    <n v="80.484700000000004"/>
    <n v="1"/>
    <n v="-17.167999999999999"/>
    <x v="3"/>
    <x v="5"/>
  </r>
  <r>
    <x v="583"/>
    <x v="342"/>
    <x v="201"/>
    <x v="2"/>
    <s v="JW-14543"/>
    <s v="James Webster"/>
    <x v="2"/>
    <s v="United States"/>
    <x v="129"/>
    <x v="2"/>
    <x v="0"/>
    <s v="FUR-BO-104471"/>
    <x v="0"/>
    <x v="2"/>
    <s v="Camden Modular Bookcase, Custom Colors"/>
    <n v="191.39410000000001"/>
    <n v="8"/>
    <n v="-10.319599999999999"/>
    <x v="2"/>
    <x v="3"/>
  </r>
  <r>
    <x v="584"/>
    <x v="483"/>
    <x v="489"/>
    <x v="0"/>
    <s v="MC-12925"/>
    <s v="Michael Cooper"/>
    <x v="2"/>
    <s v="United States"/>
    <x v="25"/>
    <x v="24"/>
    <x v="1"/>
    <s v="FUR-CH-109697"/>
    <x v="0"/>
    <x v="1"/>
    <s v="Rowan Mid-Back Tilter Chair"/>
    <n v="1071.5145"/>
    <n v="3"/>
    <n v="7.7759"/>
    <x v="1"/>
    <x v="2"/>
  </r>
  <r>
    <x v="585"/>
    <x v="484"/>
    <x v="490"/>
    <x v="3"/>
    <s v="DJ-12621"/>
    <s v="David Douglas Jr."/>
    <x v="1"/>
    <s v="United States"/>
    <x v="99"/>
    <x v="20"/>
    <x v="2"/>
    <s v="FUR-FU-106211"/>
    <x v="0"/>
    <x v="0"/>
    <s v="Aurora Brushed Chrome Wall Clock, 14in"/>
    <n v="166.8793"/>
    <n v="2"/>
    <n v="-74.643100000000004"/>
    <x v="7"/>
    <x v="8"/>
  </r>
  <r>
    <x v="586"/>
    <x v="485"/>
    <x v="491"/>
    <x v="2"/>
    <s v="MH-11424"/>
    <s v="Monica Herrera"/>
    <x v="1"/>
    <s v="United States"/>
    <x v="65"/>
    <x v="41"/>
    <x v="3"/>
    <s v="FUR-CH-105507"/>
    <x v="0"/>
    <x v="1"/>
    <s v="Kingsley Mesh-Back Task Chair"/>
    <n v="300.81349999999998"/>
    <n v="3"/>
    <n v="45.641399999999997"/>
    <x v="1"/>
    <x v="9"/>
  </r>
  <r>
    <x v="587"/>
    <x v="486"/>
    <x v="492"/>
    <x v="1"/>
    <s v="DR-17244"/>
    <s v="Dale Ryan"/>
    <x v="2"/>
    <s v="United States"/>
    <x v="8"/>
    <x v="8"/>
    <x v="1"/>
    <s v="FUR-CH-101375"/>
    <x v="0"/>
    <x v="1"/>
    <s v="Sutton Push-Button Manager's Chair, Indigo"/>
    <n v="126.9862"/>
    <n v="3"/>
    <n v="102.3334"/>
    <x v="1"/>
    <x v="10"/>
  </r>
  <r>
    <x v="588"/>
    <x v="302"/>
    <x v="302"/>
    <x v="2"/>
    <s v="GD-21087"/>
    <s v="Gabrielle Davis"/>
    <x v="0"/>
    <s v="United States"/>
    <x v="107"/>
    <x v="40"/>
    <x v="0"/>
    <s v="FUR-FU-105733"/>
    <x v="0"/>
    <x v="0"/>
    <s v="Sable Halogen Replacement Bulb, 2-Pack"/>
    <n v="72.219099999999997"/>
    <n v="1"/>
    <n v="-9.0777999999999999"/>
    <x v="5"/>
    <x v="11"/>
  </r>
  <r>
    <x v="588"/>
    <x v="302"/>
    <x v="302"/>
    <x v="2"/>
    <s v="GD-21087"/>
    <s v="Gabrielle Davis"/>
    <x v="0"/>
    <s v="United States"/>
    <x v="107"/>
    <x v="40"/>
    <x v="0"/>
    <s v="FUR-FU-101124"/>
    <x v="0"/>
    <x v="0"/>
    <s v="Rutledge Desk Organizer Tray, Letter Size"/>
    <n v="81.224599999999995"/>
    <n v="1"/>
    <n v="18.621200000000002"/>
    <x v="5"/>
    <x v="11"/>
  </r>
  <r>
    <x v="589"/>
    <x v="487"/>
    <x v="493"/>
    <x v="2"/>
    <s v="EP-11133"/>
    <s v="Elizabeth Perkins"/>
    <x v="0"/>
    <s v="United States"/>
    <x v="92"/>
    <x v="46"/>
    <x v="3"/>
    <s v="FUR-TA-102977"/>
    <x v="0"/>
    <x v="3"/>
    <s v="Caldwell 44 x 96 Conference Table"/>
    <n v="289.11009999999999"/>
    <n v="2"/>
    <n v="12.527100000000001"/>
    <x v="1"/>
    <x v="2"/>
  </r>
  <r>
    <x v="590"/>
    <x v="173"/>
    <x v="179"/>
    <x v="1"/>
    <s v="DE-13114"/>
    <s v="Dr. Michael Evans"/>
    <x v="2"/>
    <s v="United States"/>
    <x v="51"/>
    <x v="37"/>
    <x v="0"/>
    <s v="FUR-CH-102091"/>
    <x v="0"/>
    <x v="1"/>
    <s v="Vantage Swivel Task Chair, Blue"/>
    <n v="314.59269999999998"/>
    <n v="3"/>
    <n v="63.287700000000001"/>
    <x v="1"/>
    <x v="3"/>
  </r>
  <r>
    <x v="591"/>
    <x v="350"/>
    <x v="494"/>
    <x v="2"/>
    <s v="GH-19459"/>
    <s v="Gerald Hensley"/>
    <x v="0"/>
    <s v="United States"/>
    <x v="14"/>
    <x v="15"/>
    <x v="1"/>
    <s v="FUR-FU-108837"/>
    <x v="0"/>
    <x v="0"/>
    <s v="Ivanhoe Poster Frame, Aluminum"/>
    <n v="199.89080000000001"/>
    <n v="2"/>
    <n v="35.351100000000002"/>
    <x v="7"/>
    <x v="8"/>
  </r>
  <r>
    <x v="592"/>
    <x v="488"/>
    <x v="495"/>
    <x v="2"/>
    <s v="JA-15862"/>
    <s v="Jose Allen"/>
    <x v="2"/>
    <s v="United States"/>
    <x v="79"/>
    <x v="16"/>
    <x v="0"/>
    <s v="FUR-FU-105733"/>
    <x v="0"/>
    <x v="0"/>
    <s v="Sable Halogen Replacement Bulb, 2-Pack"/>
    <n v="20.5078"/>
    <n v="4"/>
    <n v="5.7933000000000003"/>
    <x v="3"/>
    <x v="10"/>
  </r>
  <r>
    <x v="593"/>
    <x v="489"/>
    <x v="496"/>
    <x v="2"/>
    <s v="AB-11200"/>
    <s v="Adam Burgess"/>
    <x v="1"/>
    <s v="United States"/>
    <x v="2"/>
    <x v="2"/>
    <x v="0"/>
    <s v="FUR-CH-106624"/>
    <x v="0"/>
    <x v="1"/>
    <s v="Adler Fabric Manager's Chair, Slate Gray"/>
    <n v="144.65360000000001"/>
    <n v="5"/>
    <n v="-2.3687"/>
    <x v="5"/>
    <x v="11"/>
  </r>
  <r>
    <x v="593"/>
    <x v="489"/>
    <x v="496"/>
    <x v="2"/>
    <s v="AB-11200"/>
    <s v="Adam Burgess"/>
    <x v="1"/>
    <s v="United States"/>
    <x v="2"/>
    <x v="2"/>
    <x v="0"/>
    <s v="FUR-CH-100441"/>
    <x v="0"/>
    <x v="1"/>
    <s v="Dalton Folding Chair, 4/Carton"/>
    <n v="586.01170000000002"/>
    <n v="4"/>
    <n v="106.83499999999999"/>
    <x v="5"/>
    <x v="11"/>
  </r>
  <r>
    <x v="594"/>
    <x v="21"/>
    <x v="21"/>
    <x v="2"/>
    <s v="JW-17573"/>
    <s v="John Whitehead"/>
    <x v="2"/>
    <s v="United States"/>
    <x v="84"/>
    <x v="29"/>
    <x v="0"/>
    <s v="FUR-TA-103467"/>
    <x v="0"/>
    <x v="3"/>
    <s v="Kessler Round Bullnose High Table"/>
    <n v="282.37040000000002"/>
    <n v="4"/>
    <n v="-92.884600000000006"/>
    <x v="4"/>
    <x v="6"/>
  </r>
  <r>
    <x v="595"/>
    <x v="158"/>
    <x v="497"/>
    <x v="1"/>
    <s v="JA-16939"/>
    <s v="Jasmin Alvarado"/>
    <x v="1"/>
    <s v="United States"/>
    <x v="43"/>
    <x v="7"/>
    <x v="2"/>
    <s v="FUR-TA-107564"/>
    <x v="0"/>
    <x v="3"/>
    <s v="Bellwood Slim Training Table, Light Gray"/>
    <n v="381.54759999999999"/>
    <n v="5"/>
    <n v="-36.358800000000002"/>
    <x v="0"/>
    <x v="4"/>
  </r>
  <r>
    <x v="596"/>
    <x v="490"/>
    <x v="498"/>
    <x v="0"/>
    <s v="AO-15000"/>
    <s v="Austin Osborne"/>
    <x v="1"/>
    <s v="United States"/>
    <x v="60"/>
    <x v="40"/>
    <x v="0"/>
    <s v="FUR-FU-100853"/>
    <x v="0"/>
    <x v="0"/>
    <s v="Blaine Cubicle Wall Clock, Black"/>
    <n v="18.535499999999999"/>
    <n v="2"/>
    <n v="2.2450999999999999"/>
    <x v="5"/>
    <x v="11"/>
  </r>
  <r>
    <x v="597"/>
    <x v="281"/>
    <x v="282"/>
    <x v="2"/>
    <s v="BP-16790"/>
    <s v="Bryan Parker"/>
    <x v="0"/>
    <s v="United States"/>
    <x v="65"/>
    <x v="41"/>
    <x v="3"/>
    <s v="FUR-CH-102091"/>
    <x v="0"/>
    <x v="1"/>
    <s v="Vantage Swivel Task Chair, Blue"/>
    <n v="790.44560000000001"/>
    <n v="7"/>
    <n v="20.110900000000001"/>
    <x v="7"/>
    <x v="7"/>
  </r>
  <r>
    <x v="598"/>
    <x v="491"/>
    <x v="499"/>
    <x v="2"/>
    <s v="HF-18856"/>
    <s v="Heather Fields"/>
    <x v="2"/>
    <s v="United States"/>
    <x v="49"/>
    <x v="36"/>
    <x v="0"/>
    <s v="FUR-CH-101375"/>
    <x v="0"/>
    <x v="1"/>
    <s v="Sutton Push-Button Manager's Chair, Indigo"/>
    <n v="35.585299999999997"/>
    <n v="2"/>
    <n v="14.139799999999999"/>
    <x v="3"/>
    <x v="5"/>
  </r>
  <r>
    <x v="598"/>
    <x v="491"/>
    <x v="499"/>
    <x v="2"/>
    <s v="HF-18856"/>
    <s v="Heather Fields"/>
    <x v="2"/>
    <s v="United States"/>
    <x v="49"/>
    <x v="36"/>
    <x v="0"/>
    <s v="FUR-TA-102223"/>
    <x v="0"/>
    <x v="3"/>
    <s v="Marchetti Round Conference Table, X-Base"/>
    <n v="351.1395"/>
    <n v="2"/>
    <n v="-162.71850000000001"/>
    <x v="3"/>
    <x v="5"/>
  </r>
  <r>
    <x v="599"/>
    <x v="492"/>
    <x v="500"/>
    <x v="2"/>
    <s v="WB-11307"/>
    <s v="William Baker"/>
    <x v="0"/>
    <s v="United States"/>
    <x v="43"/>
    <x v="7"/>
    <x v="2"/>
    <s v="FUR-FU-108837"/>
    <x v="0"/>
    <x v="0"/>
    <s v="Ivanhoe Poster Frame, Aluminum"/>
    <n v="121.67310000000001"/>
    <n v="4"/>
    <n v="-6.4790999999999999"/>
    <x v="6"/>
    <x v="7"/>
  </r>
  <r>
    <x v="599"/>
    <x v="492"/>
    <x v="500"/>
    <x v="2"/>
    <s v="WB-11307"/>
    <s v="William Baker"/>
    <x v="0"/>
    <s v="United States"/>
    <x v="43"/>
    <x v="7"/>
    <x v="2"/>
    <s v="FUR-FU-105733"/>
    <x v="0"/>
    <x v="0"/>
    <s v="Sable Halogen Replacement Bulb, 2-Pack"/>
    <n v="52.218400000000003"/>
    <n v="3"/>
    <n v="-0.60799999999999998"/>
    <x v="6"/>
    <x v="7"/>
  </r>
  <r>
    <x v="600"/>
    <x v="410"/>
    <x v="501"/>
    <x v="2"/>
    <s v="WD-14279"/>
    <s v="William Day"/>
    <x v="1"/>
    <s v="United States"/>
    <x v="88"/>
    <x v="31"/>
    <x v="2"/>
    <s v="FUR-FU-105733"/>
    <x v="0"/>
    <x v="0"/>
    <s v="Sable Halogen Replacement Bulb, 2-Pack"/>
    <n v="37.944099999999999"/>
    <n v="4"/>
    <n v="-12.291600000000001"/>
    <x v="4"/>
    <x v="10"/>
  </r>
  <r>
    <x v="601"/>
    <x v="493"/>
    <x v="101"/>
    <x v="3"/>
    <s v="SJ-13608"/>
    <s v="Sara Johnston"/>
    <x v="0"/>
    <s v="United States"/>
    <x v="6"/>
    <x v="6"/>
    <x v="1"/>
    <s v="FUR-FU-103673"/>
    <x v="0"/>
    <x v="0"/>
    <s v="Corcoran Document Holder, Wood"/>
    <n v="37.360199999999999"/>
    <n v="4"/>
    <n v="-4.7092000000000001"/>
    <x v="7"/>
    <x v="6"/>
  </r>
  <r>
    <x v="601"/>
    <x v="493"/>
    <x v="101"/>
    <x v="3"/>
    <s v="SJ-13608"/>
    <s v="Sara Johnston"/>
    <x v="0"/>
    <s v="United States"/>
    <x v="6"/>
    <x v="6"/>
    <x v="1"/>
    <s v="FUR-BO-108947"/>
    <x v="0"/>
    <x v="2"/>
    <s v="Concord Ladder Bookcase, Walnut"/>
    <n v="207.63229999999999"/>
    <n v="1"/>
    <n v="88.724900000000005"/>
    <x v="7"/>
    <x v="6"/>
  </r>
  <r>
    <x v="602"/>
    <x v="4"/>
    <x v="114"/>
    <x v="2"/>
    <s v="TB-15279"/>
    <s v="Tina Ballard"/>
    <x v="1"/>
    <s v="United States"/>
    <x v="72"/>
    <x v="6"/>
    <x v="1"/>
    <s v="FUR-FU-105733"/>
    <x v="0"/>
    <x v="0"/>
    <s v="Sable Halogen Replacement Bulb, 2-Pack"/>
    <n v="26.4331"/>
    <n v="4"/>
    <n v="0.21479999999999999"/>
    <x v="0"/>
    <x v="2"/>
  </r>
  <r>
    <x v="603"/>
    <x v="494"/>
    <x v="502"/>
    <x v="1"/>
    <s v="SG-21489"/>
    <s v="Samantha Gardner"/>
    <x v="2"/>
    <s v="United States"/>
    <x v="69"/>
    <x v="41"/>
    <x v="3"/>
    <s v="FUR-CH-107657"/>
    <x v="0"/>
    <x v="1"/>
    <s v="Hollis Stacking Chair, Rounded Back"/>
    <n v="664.00819999999999"/>
    <n v="8"/>
    <n v="-60.954500000000003"/>
    <x v="7"/>
    <x v="6"/>
  </r>
  <r>
    <x v="603"/>
    <x v="494"/>
    <x v="502"/>
    <x v="1"/>
    <s v="SG-21489"/>
    <s v="Samantha Gardner"/>
    <x v="2"/>
    <s v="United States"/>
    <x v="69"/>
    <x v="41"/>
    <x v="3"/>
    <s v="FUR-CH-101375"/>
    <x v="0"/>
    <x v="1"/>
    <s v="Sutton Push-Button Manager's Chair, Indigo"/>
    <n v="321.26459999999997"/>
    <n v="7"/>
    <n v="37.979300000000002"/>
    <x v="7"/>
    <x v="6"/>
  </r>
  <r>
    <x v="603"/>
    <x v="494"/>
    <x v="502"/>
    <x v="1"/>
    <s v="SG-21489"/>
    <s v="Samantha Gardner"/>
    <x v="2"/>
    <s v="United States"/>
    <x v="69"/>
    <x v="41"/>
    <x v="3"/>
    <s v="FUR-FU-105733"/>
    <x v="0"/>
    <x v="0"/>
    <s v="Sable Halogen Replacement Bulb, 2-Pack"/>
    <n v="42.034500000000001"/>
    <n v="3"/>
    <n v="12.3422"/>
    <x v="7"/>
    <x v="6"/>
  </r>
  <r>
    <x v="604"/>
    <x v="495"/>
    <x v="503"/>
    <x v="2"/>
    <s v="JK-17066"/>
    <s v="Johnny Khan"/>
    <x v="1"/>
    <s v="United States"/>
    <x v="115"/>
    <x v="12"/>
    <x v="2"/>
    <s v="FUR-CH-105507"/>
    <x v="0"/>
    <x v="1"/>
    <s v="Kingsley Mesh-Back Task Chair"/>
    <n v="437.42149999999998"/>
    <n v="5"/>
    <n v="-137.26320000000001"/>
    <x v="7"/>
    <x v="9"/>
  </r>
  <r>
    <x v="605"/>
    <x v="496"/>
    <x v="504"/>
    <x v="2"/>
    <s v="LM-12170"/>
    <s v="Laura Mckinney"/>
    <x v="2"/>
    <s v="United States"/>
    <x v="69"/>
    <x v="41"/>
    <x v="3"/>
    <s v="FUR-FU-106906"/>
    <x v="0"/>
    <x v="0"/>
    <s v="Cobalt LED Magnifier Lamp with Clamp Base"/>
    <n v="136.0147"/>
    <n v="2"/>
    <n v="32.834299999999999"/>
    <x v="1"/>
    <x v="2"/>
  </r>
  <r>
    <x v="606"/>
    <x v="497"/>
    <x v="505"/>
    <x v="0"/>
    <s v="MJ-13388"/>
    <s v="Mary Jensen"/>
    <x v="2"/>
    <s v="United States"/>
    <x v="52"/>
    <x v="38"/>
    <x v="1"/>
    <s v="FUR-CH-100441"/>
    <x v="0"/>
    <x v="1"/>
    <s v="Dalton Folding Chair, 4/Carton"/>
    <n v="583.26160000000004"/>
    <n v="2"/>
    <n v="-107.2423"/>
    <x v="1"/>
    <x v="10"/>
  </r>
  <r>
    <x v="607"/>
    <x v="498"/>
    <x v="506"/>
    <x v="2"/>
    <s v="AT-19224"/>
    <s v="Aimee Turner"/>
    <x v="0"/>
    <s v="United States"/>
    <x v="103"/>
    <x v="46"/>
    <x v="3"/>
    <s v="FUR-FU-100317"/>
    <x v="0"/>
    <x v="0"/>
    <s v="Nomad Floor Lamp, Telescoping Adjustable"/>
    <n v="137.05340000000001"/>
    <n v="2"/>
    <n v="-33.140999999999998"/>
    <x v="5"/>
    <x v="11"/>
  </r>
  <r>
    <x v="608"/>
    <x v="499"/>
    <x v="161"/>
    <x v="2"/>
    <s v="CW-13150"/>
    <s v="Connor West"/>
    <x v="2"/>
    <s v="United States"/>
    <x v="125"/>
    <x v="11"/>
    <x v="2"/>
    <s v="FUR-BO-107140"/>
    <x v="0"/>
    <x v="2"/>
    <s v="Delacroix Lawyers Bookcase, Cherry Finish"/>
    <n v="62.695900000000002"/>
    <n v="2"/>
    <n v="-11.2789"/>
    <x v="5"/>
    <x v="0"/>
  </r>
  <r>
    <x v="608"/>
    <x v="499"/>
    <x v="161"/>
    <x v="2"/>
    <s v="CW-13150"/>
    <s v="Connor West"/>
    <x v="2"/>
    <s v="United States"/>
    <x v="125"/>
    <x v="11"/>
    <x v="2"/>
    <s v="FUR-FU-103673"/>
    <x v="0"/>
    <x v="0"/>
    <s v="Corcoran Document Holder, Wood"/>
    <n v="14.5684"/>
    <n v="2"/>
    <n v="3.3727999999999998"/>
    <x v="5"/>
    <x v="0"/>
  </r>
  <r>
    <x v="609"/>
    <x v="500"/>
    <x v="507"/>
    <x v="2"/>
    <s v="LR-20894"/>
    <s v="Lisa Randall"/>
    <x v="1"/>
    <s v="United States"/>
    <x v="75"/>
    <x v="39"/>
    <x v="0"/>
    <s v="FUR-TA-107564"/>
    <x v="0"/>
    <x v="3"/>
    <s v="Bellwood Slim Training Table, Light Gray"/>
    <n v="503.84070000000003"/>
    <n v="1"/>
    <n v="312.23849999999999"/>
    <x v="0"/>
    <x v="3"/>
  </r>
  <r>
    <x v="609"/>
    <x v="500"/>
    <x v="507"/>
    <x v="2"/>
    <s v="LR-20894"/>
    <s v="Lisa Randall"/>
    <x v="1"/>
    <s v="United States"/>
    <x v="75"/>
    <x v="39"/>
    <x v="0"/>
    <s v="FUR-CH-102704"/>
    <x v="0"/>
    <x v="1"/>
    <s v="Brookline High-Back Executive Chair, Black Leather"/>
    <n v="269.51490000000001"/>
    <n v="5"/>
    <n v="81.210700000000003"/>
    <x v="0"/>
    <x v="3"/>
  </r>
  <r>
    <x v="610"/>
    <x v="501"/>
    <x v="508"/>
    <x v="0"/>
    <s v="LR-20894"/>
    <s v="Lisa Randall"/>
    <x v="2"/>
    <s v="United States"/>
    <x v="17"/>
    <x v="18"/>
    <x v="3"/>
    <s v="FUR-FU-108837"/>
    <x v="0"/>
    <x v="0"/>
    <s v="Ivanhoe Poster Frame, Aluminum"/>
    <n v="18.283300000000001"/>
    <n v="8"/>
    <n v="1.1144000000000001"/>
    <x v="0"/>
    <x v="8"/>
  </r>
  <r>
    <x v="611"/>
    <x v="502"/>
    <x v="509"/>
    <x v="2"/>
    <s v="JH-16381"/>
    <s v="Joseph Hill"/>
    <x v="2"/>
    <s v="United States"/>
    <x v="96"/>
    <x v="15"/>
    <x v="1"/>
    <s v="FUR-FU-105733"/>
    <x v="0"/>
    <x v="0"/>
    <s v="Sable Halogen Replacement Bulb, 2-Pack"/>
    <n v="100.3806"/>
    <n v="2"/>
    <n v="42.078699999999998"/>
    <x v="3"/>
    <x v="3"/>
  </r>
  <r>
    <x v="612"/>
    <x v="503"/>
    <x v="510"/>
    <x v="1"/>
    <s v="BR-21946"/>
    <s v="Brian Rodriguez"/>
    <x v="2"/>
    <s v="United States"/>
    <x v="37"/>
    <x v="14"/>
    <x v="3"/>
    <s v="FUR-FU-107705"/>
    <x v="0"/>
    <x v="0"/>
    <s v="Hawthorne Desk Accessory Set, Oak"/>
    <n v="29.064399999999999"/>
    <n v="2"/>
    <n v="6.1265999999999998"/>
    <x v="7"/>
    <x v="8"/>
  </r>
  <r>
    <x v="613"/>
    <x v="504"/>
    <x v="113"/>
    <x v="0"/>
    <s v="AH-20037"/>
    <s v="Andrew Harper"/>
    <x v="2"/>
    <s v="United States"/>
    <x v="46"/>
    <x v="28"/>
    <x v="2"/>
    <s v="FUR-TA-107449"/>
    <x v="0"/>
    <x v="3"/>
    <s v="Pembroke 36 x 72 Conference Table"/>
    <n v="1856.6683"/>
    <n v="3"/>
    <n v="-1327.9166"/>
    <x v="1"/>
    <x v="11"/>
  </r>
  <r>
    <x v="614"/>
    <x v="505"/>
    <x v="511"/>
    <x v="2"/>
    <s v="RP-11489"/>
    <s v="Robert Potter"/>
    <x v="1"/>
    <s v="United States"/>
    <x v="29"/>
    <x v="13"/>
    <x v="3"/>
    <s v="FUR-TA-105529"/>
    <x v="0"/>
    <x v="3"/>
    <s v="Fenwick Compact Office Desk"/>
    <n v="157.17740000000001"/>
    <n v="8"/>
    <n v="-6.9524999999999997"/>
    <x v="7"/>
    <x v="4"/>
  </r>
  <r>
    <x v="615"/>
    <x v="506"/>
    <x v="159"/>
    <x v="1"/>
    <s v="MT-20021"/>
    <s v="Mary Thompson"/>
    <x v="1"/>
    <s v="United States"/>
    <x v="48"/>
    <x v="35"/>
    <x v="3"/>
    <s v="FUR-CH-100441"/>
    <x v="0"/>
    <x v="1"/>
    <s v="Dalton Folding Chair, 4/Carton"/>
    <n v="156.67160000000001"/>
    <n v="3"/>
    <n v="42.942700000000002"/>
    <x v="1"/>
    <x v="2"/>
  </r>
  <r>
    <x v="616"/>
    <x v="507"/>
    <x v="512"/>
    <x v="2"/>
    <s v="JC-14669"/>
    <s v="Jennifer Collins"/>
    <x v="2"/>
    <s v="United States"/>
    <x v="65"/>
    <x v="41"/>
    <x v="3"/>
    <s v="FUR-CH-105507"/>
    <x v="0"/>
    <x v="1"/>
    <s v="Kingsley Mesh-Back Task Chair"/>
    <n v="588.29409999999996"/>
    <n v="4"/>
    <n v="350.9427"/>
    <x v="5"/>
    <x v="8"/>
  </r>
  <r>
    <x v="617"/>
    <x v="462"/>
    <x v="513"/>
    <x v="3"/>
    <s v="DS-13946"/>
    <s v="Daniel Salinas"/>
    <x v="2"/>
    <s v="United States"/>
    <x v="105"/>
    <x v="10"/>
    <x v="1"/>
    <s v="FUR-BO-104471"/>
    <x v="0"/>
    <x v="2"/>
    <s v="Camden Modular Bookcase, Custom Colors"/>
    <n v="689.50720000000001"/>
    <n v="3"/>
    <n v="168.91579999999999"/>
    <x v="7"/>
    <x v="3"/>
  </r>
  <r>
    <x v="617"/>
    <x v="462"/>
    <x v="513"/>
    <x v="3"/>
    <s v="DS-13946"/>
    <s v="Daniel Salinas"/>
    <x v="2"/>
    <s v="United States"/>
    <x v="105"/>
    <x v="10"/>
    <x v="1"/>
    <s v="FUR-FU-101124"/>
    <x v="0"/>
    <x v="0"/>
    <s v="Rutledge Desk Organizer Tray, Letter Size"/>
    <n v="45.510899999999999"/>
    <n v="3"/>
    <n v="-7.5743"/>
    <x v="7"/>
    <x v="3"/>
  </r>
  <r>
    <x v="617"/>
    <x v="462"/>
    <x v="513"/>
    <x v="3"/>
    <s v="DS-13946"/>
    <s v="Daniel Salinas"/>
    <x v="2"/>
    <s v="United States"/>
    <x v="105"/>
    <x v="10"/>
    <x v="1"/>
    <s v="FUR-FU-106211"/>
    <x v="0"/>
    <x v="0"/>
    <s v="Aurora Brushed Chrome Wall Clock, 14in"/>
    <n v="46.814700000000002"/>
    <n v="3"/>
    <n v="-2.8946999999999998"/>
    <x v="7"/>
    <x v="3"/>
  </r>
  <r>
    <x v="618"/>
    <x v="309"/>
    <x v="275"/>
    <x v="0"/>
    <s v="CJ-15155"/>
    <s v="Crystal Johnson"/>
    <x v="0"/>
    <s v="United States"/>
    <x v="81"/>
    <x v="43"/>
    <x v="2"/>
    <s v="FUR-FU-106906"/>
    <x v="0"/>
    <x v="0"/>
    <s v="Cobalt LED Magnifier Lamp with Clamp Base"/>
    <n v="56.424900000000001"/>
    <n v="3"/>
    <n v="-21.514800000000001"/>
    <x v="3"/>
    <x v="5"/>
  </r>
  <r>
    <x v="619"/>
    <x v="237"/>
    <x v="86"/>
    <x v="2"/>
    <s v="TH-20834"/>
    <s v="Tracy House"/>
    <x v="2"/>
    <s v="United States"/>
    <x v="110"/>
    <x v="47"/>
    <x v="0"/>
    <s v="FUR-FU-100853"/>
    <x v="0"/>
    <x v="0"/>
    <s v="Blaine Cubicle Wall Clock, Black"/>
    <n v="99.094499999999996"/>
    <n v="3"/>
    <n v="27.468699999999998"/>
    <x v="7"/>
    <x v="8"/>
  </r>
  <r>
    <x v="619"/>
    <x v="237"/>
    <x v="86"/>
    <x v="2"/>
    <s v="TH-20834"/>
    <s v="Tracy House"/>
    <x v="2"/>
    <s v="United States"/>
    <x v="110"/>
    <x v="47"/>
    <x v="0"/>
    <s v="FUR-FU-103673"/>
    <x v="0"/>
    <x v="0"/>
    <s v="Corcoran Document Holder, Wood"/>
    <n v="33.011699999999998"/>
    <n v="8"/>
    <n v="-9.34"/>
    <x v="7"/>
    <x v="8"/>
  </r>
  <r>
    <x v="619"/>
    <x v="237"/>
    <x v="86"/>
    <x v="2"/>
    <s v="TH-20834"/>
    <s v="Tracy House"/>
    <x v="2"/>
    <s v="United States"/>
    <x v="110"/>
    <x v="47"/>
    <x v="0"/>
    <s v="FUR-FU-108837"/>
    <x v="0"/>
    <x v="0"/>
    <s v="Ivanhoe Poster Frame, Aluminum"/>
    <n v="107.16679999999999"/>
    <n v="1"/>
    <n v="48.289000000000001"/>
    <x v="7"/>
    <x v="8"/>
  </r>
  <r>
    <x v="619"/>
    <x v="237"/>
    <x v="86"/>
    <x v="2"/>
    <s v="TH-20834"/>
    <s v="Tracy House"/>
    <x v="2"/>
    <s v="United States"/>
    <x v="110"/>
    <x v="47"/>
    <x v="0"/>
    <s v="FUR-BO-103595"/>
    <x v="0"/>
    <x v="2"/>
    <s v="Pinehurst 6-Shelf Industrial Bookcase"/>
    <n v="284.72379999999998"/>
    <n v="6"/>
    <n v="96.561300000000003"/>
    <x v="7"/>
    <x v="8"/>
  </r>
  <r>
    <x v="620"/>
    <x v="276"/>
    <x v="514"/>
    <x v="0"/>
    <s v="VH-10958"/>
    <s v="Vanessa Howard"/>
    <x v="2"/>
    <s v="United States"/>
    <x v="46"/>
    <x v="28"/>
    <x v="2"/>
    <s v="FUR-TA-107022"/>
    <x v="0"/>
    <x v="3"/>
    <s v="Alden Rectangular Conference Table"/>
    <n v="310.55099999999999"/>
    <n v="2"/>
    <n v="-93.931700000000006"/>
    <x v="5"/>
    <x v="0"/>
  </r>
  <r>
    <x v="621"/>
    <x v="508"/>
    <x v="515"/>
    <x v="2"/>
    <s v="SW-14073"/>
    <s v="Stephanie Williams"/>
    <x v="0"/>
    <s v="United States"/>
    <x v="5"/>
    <x v="5"/>
    <x v="2"/>
    <s v="FUR-FU-106211"/>
    <x v="0"/>
    <x v="0"/>
    <s v="Aurora Brushed Chrome Wall Clock, 14in"/>
    <n v="9.7410999999999994"/>
    <n v="2"/>
    <n v="-2.4197000000000002"/>
    <x v="4"/>
    <x v="6"/>
  </r>
  <r>
    <x v="622"/>
    <x v="509"/>
    <x v="516"/>
    <x v="2"/>
    <s v="AL-15977"/>
    <s v="Angela Lopez"/>
    <x v="0"/>
    <s v="United States"/>
    <x v="49"/>
    <x v="36"/>
    <x v="0"/>
    <s v="FUR-TA-107022"/>
    <x v="0"/>
    <x v="3"/>
    <s v="Alden Rectangular Conference Table"/>
    <n v="338.4058"/>
    <n v="6"/>
    <n v="18.1586"/>
    <x v="0"/>
    <x v="6"/>
  </r>
  <r>
    <x v="623"/>
    <x v="286"/>
    <x v="409"/>
    <x v="1"/>
    <s v="SM-12167"/>
    <s v="Susan Murray MD"/>
    <x v="2"/>
    <s v="United States"/>
    <x v="22"/>
    <x v="22"/>
    <x v="2"/>
    <s v="FUR-CH-106624"/>
    <x v="0"/>
    <x v="1"/>
    <s v="Adler Fabric Manager's Chair, Slate Gray"/>
    <n v="315.67739999999998"/>
    <n v="4"/>
    <n v="192.38550000000001"/>
    <x v="0"/>
    <x v="6"/>
  </r>
  <r>
    <x v="624"/>
    <x v="510"/>
    <x v="218"/>
    <x v="1"/>
    <s v="DF-20485"/>
    <s v="Deborah Figueroa"/>
    <x v="1"/>
    <s v="United States"/>
    <x v="119"/>
    <x v="41"/>
    <x v="3"/>
    <s v="FUR-FU-104558"/>
    <x v="0"/>
    <x v="0"/>
    <s v="Lambert Swing Arm Desk Lamp"/>
    <n v="3.3428"/>
    <n v="2"/>
    <n v="0.63570000000000004"/>
    <x v="0"/>
    <x v="8"/>
  </r>
  <r>
    <x v="625"/>
    <x v="511"/>
    <x v="258"/>
    <x v="0"/>
    <s v="AB-18938"/>
    <s v="Alexander Brown"/>
    <x v="2"/>
    <s v="United States"/>
    <x v="10"/>
    <x v="11"/>
    <x v="2"/>
    <s v="FUR-FU-100317"/>
    <x v="0"/>
    <x v="0"/>
    <s v="Nomad Floor Lamp, Telescoping Adjustable"/>
    <n v="55.270400000000002"/>
    <n v="8"/>
    <n v="16.123799999999999"/>
    <x v="3"/>
    <x v="10"/>
  </r>
  <r>
    <x v="626"/>
    <x v="512"/>
    <x v="517"/>
    <x v="2"/>
    <s v="SJ-13608"/>
    <s v="Sara Johnston"/>
    <x v="0"/>
    <s v="United States"/>
    <x v="17"/>
    <x v="18"/>
    <x v="3"/>
    <s v="FUR-FU-107705"/>
    <x v="0"/>
    <x v="0"/>
    <s v="Hawthorne Desk Accessory Set, Oak"/>
    <n v="18.006599999999999"/>
    <n v="3"/>
    <n v="3.5284"/>
    <x v="2"/>
    <x v="3"/>
  </r>
  <r>
    <x v="626"/>
    <x v="512"/>
    <x v="517"/>
    <x v="2"/>
    <s v="SJ-13608"/>
    <s v="Sara Johnston"/>
    <x v="0"/>
    <s v="United States"/>
    <x v="17"/>
    <x v="18"/>
    <x v="3"/>
    <s v="FUR-FU-103673"/>
    <x v="0"/>
    <x v="0"/>
    <s v="Corcoran Document Holder, Wood"/>
    <n v="89.246399999999994"/>
    <n v="3"/>
    <n v="-4.2023000000000001"/>
    <x v="2"/>
    <x v="3"/>
  </r>
  <r>
    <x v="627"/>
    <x v="347"/>
    <x v="518"/>
    <x v="2"/>
    <s v="AM-18379"/>
    <s v="Angel May"/>
    <x v="2"/>
    <s v="United States"/>
    <x v="129"/>
    <x v="2"/>
    <x v="0"/>
    <s v="FUR-FU-105733"/>
    <x v="0"/>
    <x v="0"/>
    <s v="Sable Halogen Replacement Bulb, 2-Pack"/>
    <n v="187.3117"/>
    <n v="3"/>
    <n v="-61.139600000000002"/>
    <x v="0"/>
    <x v="5"/>
  </r>
  <r>
    <x v="628"/>
    <x v="513"/>
    <x v="382"/>
    <x v="2"/>
    <s v="NP-19260"/>
    <s v="Nicole Parrish"/>
    <x v="2"/>
    <s v="United States"/>
    <x v="81"/>
    <x v="43"/>
    <x v="2"/>
    <s v="FUR-CH-100441"/>
    <x v="0"/>
    <x v="1"/>
    <s v="Dalton Folding Chair, 4/Carton"/>
    <n v="1200.0934999999999"/>
    <n v="2"/>
    <n v="3.6305999999999998"/>
    <x v="7"/>
    <x v="10"/>
  </r>
  <r>
    <x v="629"/>
    <x v="88"/>
    <x v="90"/>
    <x v="2"/>
    <s v="SH-14673"/>
    <s v="Stephen Hoffman"/>
    <x v="1"/>
    <s v="United States"/>
    <x v="49"/>
    <x v="36"/>
    <x v="0"/>
    <s v="FUR-FU-100853"/>
    <x v="0"/>
    <x v="0"/>
    <s v="Blaine Cubicle Wall Clock, Black"/>
    <n v="353.68509999999998"/>
    <n v="2"/>
    <n v="32.659799999999997"/>
    <x v="4"/>
    <x v="4"/>
  </r>
  <r>
    <x v="630"/>
    <x v="207"/>
    <x v="210"/>
    <x v="2"/>
    <s v="BJ-20299"/>
    <s v="Brent Jordan"/>
    <x v="2"/>
    <s v="United States"/>
    <x v="90"/>
    <x v="45"/>
    <x v="3"/>
    <s v="FUR-CH-106624"/>
    <x v="0"/>
    <x v="1"/>
    <s v="Adler Fabric Manager's Chair, Slate Gray"/>
    <n v="207.43870000000001"/>
    <n v="3"/>
    <n v="-2.7789000000000001"/>
    <x v="5"/>
    <x v="6"/>
  </r>
  <r>
    <x v="631"/>
    <x v="483"/>
    <x v="519"/>
    <x v="2"/>
    <s v="JH-12503"/>
    <s v="Jennifer Hernandez"/>
    <x v="2"/>
    <s v="United States"/>
    <x v="11"/>
    <x v="12"/>
    <x v="2"/>
    <s v="FUR-TA-107564"/>
    <x v="0"/>
    <x v="3"/>
    <s v="Bellwood Slim Training Table, Light Gray"/>
    <n v="436.64879999999999"/>
    <n v="2"/>
    <n v="-14.8222"/>
    <x v="4"/>
    <x v="2"/>
  </r>
  <r>
    <x v="632"/>
    <x v="514"/>
    <x v="520"/>
    <x v="0"/>
    <s v="AH-16224"/>
    <s v="Anthony Humphrey"/>
    <x v="2"/>
    <s v="United States"/>
    <x v="130"/>
    <x v="17"/>
    <x v="3"/>
    <s v="FUR-CH-101375"/>
    <x v="0"/>
    <x v="1"/>
    <s v="Sutton Push-Button Manager's Chair, Indigo"/>
    <n v="881.69920000000002"/>
    <n v="3"/>
    <n v="-303.8467"/>
    <x v="5"/>
    <x v="0"/>
  </r>
  <r>
    <x v="633"/>
    <x v="356"/>
    <x v="521"/>
    <x v="2"/>
    <s v="CS-14342"/>
    <s v="Christopher Smith"/>
    <x v="2"/>
    <s v="United States"/>
    <x v="58"/>
    <x v="32"/>
    <x v="3"/>
    <s v="FUR-CH-106455"/>
    <x v="0"/>
    <x v="1"/>
    <s v="Nolan Leather Highback Chair, Pneumatic Adjustment"/>
    <n v="448.52949999999998"/>
    <n v="5"/>
    <n v="213.6806"/>
    <x v="7"/>
    <x v="4"/>
  </r>
  <r>
    <x v="634"/>
    <x v="515"/>
    <x v="522"/>
    <x v="2"/>
    <s v="AT-11584"/>
    <s v="Angelica Tucker"/>
    <x v="0"/>
    <s v="United States"/>
    <x v="93"/>
    <x v="9"/>
    <x v="0"/>
    <s v="FUR-CH-109697"/>
    <x v="0"/>
    <x v="1"/>
    <s v="Rowan Mid-Back Tilter Chair"/>
    <n v="229.34960000000001"/>
    <n v="9"/>
    <n v="40.309199999999997"/>
    <x v="3"/>
    <x v="5"/>
  </r>
  <r>
    <x v="635"/>
    <x v="516"/>
    <x v="508"/>
    <x v="1"/>
    <s v="MB-21991"/>
    <s v="Melissa Brewer"/>
    <x v="2"/>
    <s v="United States"/>
    <x v="121"/>
    <x v="3"/>
    <x v="1"/>
    <s v="FUR-FU-104558"/>
    <x v="0"/>
    <x v="0"/>
    <s v="Lambert Swing Arm Desk Lamp"/>
    <n v="122.6099"/>
    <n v="4"/>
    <n v="22.9971"/>
    <x v="7"/>
    <x v="8"/>
  </r>
  <r>
    <x v="636"/>
    <x v="421"/>
    <x v="523"/>
    <x v="2"/>
    <s v="SR-12697"/>
    <s v="Shannon Ramsey"/>
    <x v="2"/>
    <s v="United States"/>
    <x v="25"/>
    <x v="24"/>
    <x v="1"/>
    <s v="FUR-BO-108947"/>
    <x v="0"/>
    <x v="2"/>
    <s v="Concord Ladder Bookcase, Walnut"/>
    <n v="1065.8311000000001"/>
    <n v="3"/>
    <n v="365.23559999999998"/>
    <x v="2"/>
    <x v="4"/>
  </r>
  <r>
    <x v="636"/>
    <x v="421"/>
    <x v="523"/>
    <x v="2"/>
    <s v="SR-12697"/>
    <s v="Shannon Ramsey"/>
    <x v="2"/>
    <s v="United States"/>
    <x v="25"/>
    <x v="24"/>
    <x v="1"/>
    <s v="FUR-FU-106906"/>
    <x v="0"/>
    <x v="0"/>
    <s v="Cobalt LED Magnifier Lamp with Clamp Base"/>
    <n v="42.447200000000002"/>
    <n v="4"/>
    <n v="35.955399999999997"/>
    <x v="2"/>
    <x v="4"/>
  </r>
  <r>
    <x v="637"/>
    <x v="517"/>
    <x v="524"/>
    <x v="2"/>
    <s v="CG-15967"/>
    <s v="Cindy Gomez"/>
    <x v="2"/>
    <s v="United States"/>
    <x v="25"/>
    <x v="24"/>
    <x v="1"/>
    <s v="FUR-FU-105733"/>
    <x v="0"/>
    <x v="0"/>
    <s v="Sable Halogen Replacement Bulb, 2-Pack"/>
    <n v="2.7524999999999999"/>
    <n v="5"/>
    <n v="-1.0663"/>
    <x v="5"/>
    <x v="7"/>
  </r>
  <r>
    <x v="637"/>
    <x v="517"/>
    <x v="524"/>
    <x v="2"/>
    <s v="CG-15967"/>
    <s v="Cindy Gomez"/>
    <x v="2"/>
    <s v="United States"/>
    <x v="25"/>
    <x v="24"/>
    <x v="1"/>
    <s v="FUR-CH-109697"/>
    <x v="0"/>
    <x v="1"/>
    <s v="Rowan Mid-Back Tilter Chair"/>
    <n v="341.53050000000002"/>
    <n v="4"/>
    <n v="148.28"/>
    <x v="5"/>
    <x v="7"/>
  </r>
  <r>
    <x v="638"/>
    <x v="518"/>
    <x v="525"/>
    <x v="2"/>
    <s v="AH-10936"/>
    <s v="Andrea Hubbard"/>
    <x v="2"/>
    <s v="United States"/>
    <x v="116"/>
    <x v="38"/>
    <x v="1"/>
    <s v="FUR-FU-105733"/>
    <x v="0"/>
    <x v="0"/>
    <s v="Sable Halogen Replacement Bulb, 2-Pack"/>
    <n v="14.185600000000001"/>
    <n v="6"/>
    <n v="-4.3E-3"/>
    <x v="0"/>
    <x v="0"/>
  </r>
  <r>
    <x v="639"/>
    <x v="439"/>
    <x v="526"/>
    <x v="2"/>
    <s v="AM-10626"/>
    <s v="Amy Martinez"/>
    <x v="2"/>
    <s v="United States"/>
    <x v="20"/>
    <x v="21"/>
    <x v="1"/>
    <s v="FUR-TA-105363"/>
    <x v="0"/>
    <x v="3"/>
    <s v="Ashcombe Rectangular Table Top"/>
    <n v="1764.989"/>
    <n v="6"/>
    <n v="114.35469999999999"/>
    <x v="4"/>
    <x v="8"/>
  </r>
  <r>
    <x v="640"/>
    <x v="464"/>
    <x v="527"/>
    <x v="1"/>
    <s v="JB-10887"/>
    <s v="Joyce Bowen"/>
    <x v="1"/>
    <s v="United States"/>
    <x v="62"/>
    <x v="25"/>
    <x v="3"/>
    <s v="FUR-CH-102091"/>
    <x v="0"/>
    <x v="1"/>
    <s v="Vantage Swivel Task Chair, Blue"/>
    <n v="138.6679"/>
    <n v="2"/>
    <n v="-27.278099999999998"/>
    <x v="0"/>
    <x v="11"/>
  </r>
  <r>
    <x v="640"/>
    <x v="464"/>
    <x v="527"/>
    <x v="1"/>
    <s v="JB-10887"/>
    <s v="Joyce Bowen"/>
    <x v="1"/>
    <s v="United States"/>
    <x v="62"/>
    <x v="25"/>
    <x v="3"/>
    <s v="FUR-TA-106211"/>
    <x v="0"/>
    <x v="3"/>
    <s v="Grantham Half-Moon Meeting Table"/>
    <n v="185.4701"/>
    <n v="3"/>
    <n v="78.393500000000003"/>
    <x v="0"/>
    <x v="11"/>
  </r>
  <r>
    <x v="641"/>
    <x v="359"/>
    <x v="360"/>
    <x v="2"/>
    <s v="MF-20177"/>
    <s v="Mr. Andrew Foster"/>
    <x v="2"/>
    <s v="United States"/>
    <x v="13"/>
    <x v="14"/>
    <x v="3"/>
    <s v="FUR-BO-107140"/>
    <x v="0"/>
    <x v="2"/>
    <s v="Delacroix Lawyers Bookcase, Cherry Finish"/>
    <n v="195.828"/>
    <n v="2"/>
    <n v="-19.958500000000001"/>
    <x v="4"/>
    <x v="1"/>
  </r>
  <r>
    <x v="642"/>
    <x v="519"/>
    <x v="528"/>
    <x v="1"/>
    <s v="RA-10058"/>
    <s v="Ralph Anderson"/>
    <x v="2"/>
    <s v="United States"/>
    <x v="99"/>
    <x v="20"/>
    <x v="2"/>
    <s v="FUR-BO-104471"/>
    <x v="0"/>
    <x v="2"/>
    <s v="Camden Modular Bookcase, Custom Colors"/>
    <n v="871.09839999999997"/>
    <n v="7"/>
    <n v="-130.29179999999999"/>
    <x v="0"/>
    <x v="9"/>
  </r>
  <r>
    <x v="643"/>
    <x v="520"/>
    <x v="529"/>
    <x v="2"/>
    <s v="WD-14050"/>
    <s v="William David DDS"/>
    <x v="2"/>
    <s v="United States"/>
    <x v="32"/>
    <x v="26"/>
    <x v="3"/>
    <s v="FUR-FU-104558"/>
    <x v="0"/>
    <x v="0"/>
    <s v="Lambert Swing Arm Desk Lamp"/>
    <n v="29.769200000000001"/>
    <n v="2"/>
    <n v="3.2786"/>
    <x v="0"/>
    <x v="6"/>
  </r>
  <r>
    <x v="644"/>
    <x v="346"/>
    <x v="362"/>
    <x v="0"/>
    <s v="RB-20972"/>
    <s v="Renee Bruce"/>
    <x v="2"/>
    <s v="United States"/>
    <x v="35"/>
    <x v="30"/>
    <x v="0"/>
    <s v="FUR-FU-103673"/>
    <x v="0"/>
    <x v="0"/>
    <s v="Corcoran Document Holder, Wood"/>
    <n v="6.3335999999999997"/>
    <n v="6"/>
    <n v="0.55279999999999996"/>
    <x v="1"/>
    <x v="0"/>
  </r>
  <r>
    <x v="645"/>
    <x v="167"/>
    <x v="530"/>
    <x v="2"/>
    <s v="EW-19431"/>
    <s v="Emily Wilson"/>
    <x v="0"/>
    <s v="United States"/>
    <x v="120"/>
    <x v="42"/>
    <x v="1"/>
    <s v="FUR-TA-106211"/>
    <x v="0"/>
    <x v="3"/>
    <s v="Grantham Half-Moon Meeting Table"/>
    <n v="482.44959999999998"/>
    <n v="2"/>
    <n v="123.29559999999999"/>
    <x v="4"/>
    <x v="3"/>
  </r>
  <r>
    <x v="646"/>
    <x v="521"/>
    <x v="531"/>
    <x v="2"/>
    <s v="SP-20975"/>
    <s v="Steve Paul"/>
    <x v="1"/>
    <s v="United States"/>
    <x v="57"/>
    <x v="0"/>
    <x v="0"/>
    <s v="FUR-TA-103467"/>
    <x v="0"/>
    <x v="3"/>
    <s v="Kessler Round Bullnose High Table"/>
    <n v="117.5132"/>
    <n v="7"/>
    <n v="-79.380300000000005"/>
    <x v="5"/>
    <x v="6"/>
  </r>
  <r>
    <x v="647"/>
    <x v="522"/>
    <x v="532"/>
    <x v="0"/>
    <s v="JP-11113"/>
    <s v="James Parks"/>
    <x v="1"/>
    <s v="United States"/>
    <x v="9"/>
    <x v="10"/>
    <x v="1"/>
    <s v="FUR-TA-103467"/>
    <x v="0"/>
    <x v="3"/>
    <s v="Kessler Round Bullnose High Table"/>
    <n v="618.45100000000002"/>
    <n v="2"/>
    <n v="143.29849999999999"/>
    <x v="5"/>
    <x v="0"/>
  </r>
  <r>
    <x v="648"/>
    <x v="523"/>
    <x v="228"/>
    <x v="2"/>
    <s v="PR-21149"/>
    <s v="Patricia Rodriguez"/>
    <x v="1"/>
    <s v="United States"/>
    <x v="75"/>
    <x v="39"/>
    <x v="0"/>
    <s v="FUR-TA-105355"/>
    <x v="0"/>
    <x v="3"/>
    <s v="Wexford Racetrack Conference Table"/>
    <n v="927.59119999999996"/>
    <n v="1"/>
    <n v="301.91500000000002"/>
    <x v="4"/>
    <x v="1"/>
  </r>
  <r>
    <x v="649"/>
    <x v="524"/>
    <x v="533"/>
    <x v="3"/>
    <s v="LS-10998"/>
    <s v="Linda Smith"/>
    <x v="1"/>
    <s v="United States"/>
    <x v="13"/>
    <x v="14"/>
    <x v="3"/>
    <s v="FUR-FU-105733"/>
    <x v="0"/>
    <x v="0"/>
    <s v="Sable Halogen Replacement Bulb, 2-Pack"/>
    <n v="38.7239"/>
    <n v="2"/>
    <n v="13.108499999999999"/>
    <x v="7"/>
    <x v="6"/>
  </r>
  <r>
    <x v="649"/>
    <x v="524"/>
    <x v="533"/>
    <x v="3"/>
    <s v="LS-10998"/>
    <s v="Linda Smith"/>
    <x v="1"/>
    <s v="United States"/>
    <x v="13"/>
    <x v="14"/>
    <x v="3"/>
    <s v="FUR-FU-105733"/>
    <x v="0"/>
    <x v="0"/>
    <s v="Sable Halogen Replacement Bulb, 2-Pack"/>
    <n v="46.119900000000001"/>
    <n v="2"/>
    <n v="15.920999999999999"/>
    <x v="7"/>
    <x v="6"/>
  </r>
  <r>
    <x v="649"/>
    <x v="524"/>
    <x v="533"/>
    <x v="3"/>
    <s v="LS-10998"/>
    <s v="Linda Smith"/>
    <x v="1"/>
    <s v="United States"/>
    <x v="13"/>
    <x v="14"/>
    <x v="3"/>
    <s v="FUR-FU-100317"/>
    <x v="0"/>
    <x v="0"/>
    <s v="Nomad Floor Lamp, Telescoping Adjustable"/>
    <n v="22.151800000000001"/>
    <n v="3"/>
    <n v="-1.2238"/>
    <x v="7"/>
    <x v="6"/>
  </r>
  <r>
    <x v="649"/>
    <x v="524"/>
    <x v="533"/>
    <x v="3"/>
    <s v="LS-10998"/>
    <s v="Linda Smith"/>
    <x v="1"/>
    <s v="United States"/>
    <x v="13"/>
    <x v="14"/>
    <x v="3"/>
    <s v="FUR-CH-100441"/>
    <x v="0"/>
    <x v="1"/>
    <s v="Dalton Folding Chair, 4/Carton"/>
    <n v="152.73150000000001"/>
    <n v="1"/>
    <n v="22.77"/>
    <x v="7"/>
    <x v="6"/>
  </r>
  <r>
    <x v="650"/>
    <x v="525"/>
    <x v="534"/>
    <x v="0"/>
    <s v="DC-15947"/>
    <s v="Debra Christian"/>
    <x v="2"/>
    <s v="United States"/>
    <x v="4"/>
    <x v="4"/>
    <x v="1"/>
    <s v="FUR-BO-107140"/>
    <x v="0"/>
    <x v="2"/>
    <s v="Delacroix Lawyers Bookcase, Cherry Finish"/>
    <n v="97.723399999999998"/>
    <n v="4"/>
    <n v="19.406099999999999"/>
    <x v="1"/>
    <x v="8"/>
  </r>
  <r>
    <x v="651"/>
    <x v="526"/>
    <x v="73"/>
    <x v="2"/>
    <s v="JT-14892"/>
    <s v="James Tran"/>
    <x v="1"/>
    <s v="United States"/>
    <x v="13"/>
    <x v="14"/>
    <x v="3"/>
    <s v="FUR-CH-100444"/>
    <x v="0"/>
    <x v="1"/>
    <s v="Harborview Mesh Task Chair, Adjustable Arms"/>
    <n v="250.2895"/>
    <n v="2"/>
    <n v="135.0275"/>
    <x v="2"/>
    <x v="2"/>
  </r>
  <r>
    <x v="652"/>
    <x v="119"/>
    <x v="119"/>
    <x v="1"/>
    <s v="JM-13441"/>
    <s v="Jeffrey Mendez"/>
    <x v="2"/>
    <s v="United States"/>
    <x v="37"/>
    <x v="14"/>
    <x v="3"/>
    <s v="FUR-FU-106906"/>
    <x v="0"/>
    <x v="0"/>
    <s v="Cobalt LED Magnifier Lamp with Clamp Base"/>
    <n v="20.0562"/>
    <n v="7"/>
    <n v="-2.3235000000000001"/>
    <x v="0"/>
    <x v="2"/>
  </r>
  <r>
    <x v="653"/>
    <x v="527"/>
    <x v="448"/>
    <x v="1"/>
    <s v="LS-16267"/>
    <s v="Lance Simmons"/>
    <x v="1"/>
    <s v="United States"/>
    <x v="53"/>
    <x v="22"/>
    <x v="2"/>
    <s v="FUR-FU-108837"/>
    <x v="0"/>
    <x v="0"/>
    <s v="Ivanhoe Poster Frame, Aluminum"/>
    <n v="12.177099999999999"/>
    <n v="5"/>
    <n v="0.58750000000000002"/>
    <x v="0"/>
    <x v="7"/>
  </r>
  <r>
    <x v="654"/>
    <x v="528"/>
    <x v="354"/>
    <x v="2"/>
    <s v="JD-15491"/>
    <s v="Jennifer Simpson DVM"/>
    <x v="2"/>
    <s v="United States"/>
    <x v="46"/>
    <x v="28"/>
    <x v="2"/>
    <s v="FUR-FU-105733"/>
    <x v="0"/>
    <x v="0"/>
    <s v="Sable Halogen Replacement Bulb, 2-Pack"/>
    <n v="102.18"/>
    <n v="2"/>
    <n v="-29.268899999999999"/>
    <x v="1"/>
    <x v="4"/>
  </r>
  <r>
    <x v="655"/>
    <x v="529"/>
    <x v="535"/>
    <x v="2"/>
    <s v="GP-19502"/>
    <s v="Gregory Peck"/>
    <x v="0"/>
    <s v="United States"/>
    <x v="43"/>
    <x v="7"/>
    <x v="2"/>
    <s v="FUR-FU-108837"/>
    <x v="0"/>
    <x v="0"/>
    <s v="Ivanhoe Poster Frame, Aluminum"/>
    <n v="152.9237"/>
    <n v="4"/>
    <n v="4.4885999999999999"/>
    <x v="0"/>
    <x v="8"/>
  </r>
  <r>
    <x v="656"/>
    <x v="530"/>
    <x v="536"/>
    <x v="2"/>
    <s v="RY-21526"/>
    <s v="Robin Young"/>
    <x v="1"/>
    <s v="United States"/>
    <x v="85"/>
    <x v="44"/>
    <x v="0"/>
    <s v="FUR-FU-106906"/>
    <x v="0"/>
    <x v="0"/>
    <s v="Cobalt LED Magnifier Lamp with Clamp Base"/>
    <n v="192.18700000000001"/>
    <n v="4"/>
    <n v="-12.8301"/>
    <x v="2"/>
    <x v="2"/>
  </r>
  <r>
    <x v="657"/>
    <x v="531"/>
    <x v="537"/>
    <x v="2"/>
    <s v="MT-20021"/>
    <s v="Mary Thompson"/>
    <x v="1"/>
    <s v="United States"/>
    <x v="62"/>
    <x v="25"/>
    <x v="3"/>
    <s v="FUR-BO-106371"/>
    <x v="0"/>
    <x v="2"/>
    <s v="Fairmont Ladder Shelf, Black Metal Frame"/>
    <n v="96.703400000000002"/>
    <n v="5"/>
    <n v="15.8276"/>
    <x v="3"/>
    <x v="2"/>
  </r>
  <r>
    <x v="658"/>
    <x v="532"/>
    <x v="538"/>
    <x v="0"/>
    <s v="MJ-21757"/>
    <s v="Maria Jones"/>
    <x v="0"/>
    <s v="United States"/>
    <x v="58"/>
    <x v="32"/>
    <x v="3"/>
    <s v="FUR-CH-106455"/>
    <x v="0"/>
    <x v="1"/>
    <s v="Nolan Leather Highback Chair, Pneumatic Adjustment"/>
    <n v="957.92629999999997"/>
    <n v="6"/>
    <n v="135.4623"/>
    <x v="3"/>
    <x v="1"/>
  </r>
  <r>
    <x v="659"/>
    <x v="533"/>
    <x v="539"/>
    <x v="0"/>
    <s v="MM-19938"/>
    <s v="Melissa Martinez"/>
    <x v="2"/>
    <s v="United States"/>
    <x v="66"/>
    <x v="23"/>
    <x v="2"/>
    <s v="FUR-FU-104133"/>
    <x v="0"/>
    <x v="0"/>
    <s v="Preston Wood Photo Frame, Mahogany"/>
    <n v="646.6902"/>
    <n v="2"/>
    <n v="-264.3809"/>
    <x v="5"/>
    <x v="2"/>
  </r>
  <r>
    <x v="660"/>
    <x v="2"/>
    <x v="540"/>
    <x v="0"/>
    <s v="MH-11424"/>
    <s v="Monica Herrera"/>
    <x v="2"/>
    <s v="United States"/>
    <x v="73"/>
    <x v="30"/>
    <x v="0"/>
    <s v="FUR-BO-100475"/>
    <x v="0"/>
    <x v="2"/>
    <s v="Overton 3-Shelf Corner Bookcase"/>
    <n v="144.7843"/>
    <n v="6"/>
    <n v="5.3727"/>
    <x v="5"/>
    <x v="1"/>
  </r>
  <r>
    <x v="661"/>
    <x v="534"/>
    <x v="541"/>
    <x v="1"/>
    <s v="CR-16916"/>
    <s v="Christopher Rubio"/>
    <x v="2"/>
    <s v="United States"/>
    <x v="118"/>
    <x v="38"/>
    <x v="1"/>
    <s v="FUR-CH-109697"/>
    <x v="0"/>
    <x v="1"/>
    <s v="Rowan Mid-Back Tilter Chair"/>
    <n v="433.46120000000002"/>
    <n v="4"/>
    <n v="207.10220000000001"/>
    <x v="1"/>
    <x v="8"/>
  </r>
  <r>
    <x v="662"/>
    <x v="535"/>
    <x v="542"/>
    <x v="2"/>
    <s v="LB-15820"/>
    <s v="Lisa Barnes"/>
    <x v="1"/>
    <s v="United States"/>
    <x v="16"/>
    <x v="17"/>
    <x v="3"/>
    <s v="FUR-FU-103673"/>
    <x v="0"/>
    <x v="0"/>
    <s v="Corcoran Document Holder, Wood"/>
    <n v="72.203400000000002"/>
    <n v="5"/>
    <n v="-5.4349999999999996"/>
    <x v="4"/>
    <x v="1"/>
  </r>
  <r>
    <x v="663"/>
    <x v="61"/>
    <x v="61"/>
    <x v="2"/>
    <s v="AB-18938"/>
    <s v="Alexander Brown"/>
    <x v="1"/>
    <s v="United States"/>
    <x v="91"/>
    <x v="45"/>
    <x v="3"/>
    <s v="FUR-BO-103595"/>
    <x v="0"/>
    <x v="2"/>
    <s v="Pinehurst 6-Shelf Industrial Bookcase"/>
    <n v="753.38499999999999"/>
    <n v="4"/>
    <n v="194.7647"/>
    <x v="7"/>
    <x v="2"/>
  </r>
  <r>
    <x v="664"/>
    <x v="220"/>
    <x v="543"/>
    <x v="2"/>
    <s v="MF-20177"/>
    <s v="Mr. Andrew Foster"/>
    <x v="0"/>
    <s v="United States"/>
    <x v="129"/>
    <x v="2"/>
    <x v="0"/>
    <s v="FUR-CH-100444"/>
    <x v="0"/>
    <x v="1"/>
    <s v="Harborview Mesh Task Chair, Adjustable Arms"/>
    <n v="1561.2061000000001"/>
    <n v="7"/>
    <n v="513.12959999999998"/>
    <x v="7"/>
    <x v="5"/>
  </r>
  <r>
    <x v="665"/>
    <x v="42"/>
    <x v="544"/>
    <x v="2"/>
    <s v="JS-21274"/>
    <s v="Jessica Smith"/>
    <x v="1"/>
    <s v="United States"/>
    <x v="60"/>
    <x v="40"/>
    <x v="0"/>
    <s v="FUR-CH-100444"/>
    <x v="0"/>
    <x v="1"/>
    <s v="Harborview Mesh Task Chair, Adjustable Arms"/>
    <n v="90.181100000000001"/>
    <n v="2"/>
    <n v="25.052800000000001"/>
    <x v="0"/>
    <x v="8"/>
  </r>
  <r>
    <x v="666"/>
    <x v="517"/>
    <x v="138"/>
    <x v="2"/>
    <s v="RM-21792"/>
    <s v="Robert Morgan"/>
    <x v="2"/>
    <s v="United States"/>
    <x v="42"/>
    <x v="11"/>
    <x v="2"/>
    <s v="FUR-BO-100475"/>
    <x v="0"/>
    <x v="2"/>
    <s v="Overton 3-Shelf Corner Bookcase"/>
    <n v="113.0471"/>
    <n v="4"/>
    <n v="-51.007599999999996"/>
    <x v="4"/>
    <x v="7"/>
  </r>
  <r>
    <x v="667"/>
    <x v="536"/>
    <x v="545"/>
    <x v="0"/>
    <s v="AH-17179"/>
    <s v="Ashley Hicks"/>
    <x v="2"/>
    <s v="United States"/>
    <x v="2"/>
    <x v="2"/>
    <x v="0"/>
    <s v="FUR-FU-100317"/>
    <x v="0"/>
    <x v="0"/>
    <s v="Nomad Floor Lamp, Telescoping Adjustable"/>
    <n v="71.278800000000004"/>
    <n v="2"/>
    <n v="4.0023"/>
    <x v="1"/>
    <x v="11"/>
  </r>
  <r>
    <x v="668"/>
    <x v="537"/>
    <x v="546"/>
    <x v="2"/>
    <s v="RH-13752"/>
    <s v="Richard Henson"/>
    <x v="1"/>
    <s v="United States"/>
    <x v="59"/>
    <x v="39"/>
    <x v="0"/>
    <s v="FUR-FU-101124"/>
    <x v="0"/>
    <x v="0"/>
    <s v="Rutledge Desk Organizer Tray, Letter Size"/>
    <n v="5.0481999999999996"/>
    <n v="3"/>
    <n v="1.5247999999999999"/>
    <x v="2"/>
    <x v="10"/>
  </r>
  <r>
    <x v="669"/>
    <x v="538"/>
    <x v="313"/>
    <x v="2"/>
    <s v="RO-19977"/>
    <s v="Robert Oconnell"/>
    <x v="1"/>
    <s v="United States"/>
    <x v="40"/>
    <x v="15"/>
    <x v="1"/>
    <s v="FUR-FU-100317"/>
    <x v="0"/>
    <x v="0"/>
    <s v="Nomad Floor Lamp, Telescoping Adjustable"/>
    <n v="15.981"/>
    <n v="8"/>
    <n v="-0.34760000000000002"/>
    <x v="7"/>
    <x v="10"/>
  </r>
  <r>
    <x v="670"/>
    <x v="539"/>
    <x v="547"/>
    <x v="0"/>
    <s v="DD-11889"/>
    <s v="Dr. Kelly Hammond DVM"/>
    <x v="1"/>
    <s v="United States"/>
    <x v="62"/>
    <x v="25"/>
    <x v="3"/>
    <s v="FUR-FU-104133"/>
    <x v="0"/>
    <x v="0"/>
    <s v="Preston Wood Photo Frame, Mahogany"/>
    <n v="19.941700000000001"/>
    <n v="4"/>
    <n v="3.2932000000000001"/>
    <x v="7"/>
    <x v="4"/>
  </r>
  <r>
    <x v="671"/>
    <x v="109"/>
    <x v="548"/>
    <x v="2"/>
    <s v="GH-19459"/>
    <s v="Gerald Hensley"/>
    <x v="2"/>
    <s v="United States"/>
    <x v="46"/>
    <x v="28"/>
    <x v="2"/>
    <s v="FUR-CH-101375"/>
    <x v="0"/>
    <x v="1"/>
    <s v="Sutton Push-Button Manager's Chair, Indigo"/>
    <n v="433.2894"/>
    <n v="5"/>
    <n v="-55.345199999999998"/>
    <x v="5"/>
    <x v="9"/>
  </r>
  <r>
    <x v="672"/>
    <x v="540"/>
    <x v="549"/>
    <x v="2"/>
    <s v="DK-10821"/>
    <s v="Daniel Kane"/>
    <x v="2"/>
    <s v="United States"/>
    <x v="96"/>
    <x v="15"/>
    <x v="1"/>
    <s v="FUR-CH-105507"/>
    <x v="0"/>
    <x v="1"/>
    <s v="Kingsley Mesh-Back Task Chair"/>
    <n v="370.3252"/>
    <n v="4"/>
    <n v="-49.775300000000001"/>
    <x v="2"/>
    <x v="8"/>
  </r>
  <r>
    <x v="673"/>
    <x v="541"/>
    <x v="550"/>
    <x v="1"/>
    <s v="AH-13853"/>
    <s v="Ana Hill"/>
    <x v="2"/>
    <s v="United States"/>
    <x v="130"/>
    <x v="17"/>
    <x v="3"/>
    <s v="FUR-FU-100317"/>
    <x v="0"/>
    <x v="0"/>
    <s v="Nomad Floor Lamp, Telescoping Adjustable"/>
    <n v="43.062800000000003"/>
    <n v="5"/>
    <n v="-6.7739000000000003"/>
    <x v="1"/>
    <x v="6"/>
  </r>
  <r>
    <x v="674"/>
    <x v="542"/>
    <x v="233"/>
    <x v="2"/>
    <s v="SG-19813"/>
    <s v="Samantha Garcia"/>
    <x v="2"/>
    <s v="United States"/>
    <x v="65"/>
    <x v="41"/>
    <x v="3"/>
    <s v="FUR-FU-104133"/>
    <x v="0"/>
    <x v="0"/>
    <s v="Preston Wood Photo Frame, Mahogany"/>
    <n v="163.6352"/>
    <n v="8"/>
    <n v="35.2545"/>
    <x v="5"/>
    <x v="2"/>
  </r>
  <r>
    <x v="675"/>
    <x v="379"/>
    <x v="487"/>
    <x v="2"/>
    <s v="MW-20468"/>
    <s v="Michael Wang"/>
    <x v="1"/>
    <s v="United States"/>
    <x v="7"/>
    <x v="9"/>
    <x v="0"/>
    <s v="FUR-FU-104133"/>
    <x v="0"/>
    <x v="0"/>
    <s v="Preston Wood Photo Frame, Mahogany"/>
    <n v="105.4614"/>
    <n v="6"/>
    <n v="11.3164"/>
    <x v="6"/>
    <x v="10"/>
  </r>
  <r>
    <x v="676"/>
    <x v="437"/>
    <x v="551"/>
    <x v="3"/>
    <s v="CH-21769"/>
    <s v="Casey Hernandez"/>
    <x v="2"/>
    <s v="United States"/>
    <x v="4"/>
    <x v="4"/>
    <x v="1"/>
    <s v="FUR-FU-108837"/>
    <x v="0"/>
    <x v="0"/>
    <s v="Ivanhoe Poster Frame, Aluminum"/>
    <n v="68.868799999999993"/>
    <n v="5"/>
    <n v="-13.726000000000001"/>
    <x v="7"/>
    <x v="8"/>
  </r>
  <r>
    <x v="677"/>
    <x v="382"/>
    <x v="552"/>
    <x v="2"/>
    <s v="JT-19086"/>
    <s v="Jeremy Turner"/>
    <x v="2"/>
    <s v="United States"/>
    <x v="56"/>
    <x v="7"/>
    <x v="2"/>
    <s v="FUR-FU-108837"/>
    <x v="0"/>
    <x v="0"/>
    <s v="Ivanhoe Poster Frame, Aluminum"/>
    <n v="40.067799999999998"/>
    <n v="3"/>
    <n v="19.6937"/>
    <x v="2"/>
    <x v="9"/>
  </r>
  <r>
    <x v="678"/>
    <x v="206"/>
    <x v="209"/>
    <x v="2"/>
    <s v="CG-15464"/>
    <s v="Christopher Guerra"/>
    <x v="0"/>
    <s v="United States"/>
    <x v="124"/>
    <x v="4"/>
    <x v="1"/>
    <s v="FUR-TA-105363"/>
    <x v="0"/>
    <x v="3"/>
    <s v="Ashcombe Rectangular Table Top"/>
    <n v="173.42179999999999"/>
    <n v="1"/>
    <n v="26.874199999999998"/>
    <x v="1"/>
    <x v="5"/>
  </r>
  <r>
    <x v="679"/>
    <x v="543"/>
    <x v="472"/>
    <x v="0"/>
    <s v="KE-16653"/>
    <s v="Kelly Edwards"/>
    <x v="1"/>
    <s v="United States"/>
    <x v="58"/>
    <x v="32"/>
    <x v="3"/>
    <s v="FUR-CH-105507"/>
    <x v="0"/>
    <x v="1"/>
    <s v="Kingsley Mesh-Back Task Chair"/>
    <n v="450.89929999999998"/>
    <n v="5"/>
    <n v="223.4162"/>
    <x v="0"/>
    <x v="0"/>
  </r>
  <r>
    <x v="680"/>
    <x v="544"/>
    <x v="553"/>
    <x v="2"/>
    <s v="ZM-15378"/>
    <s v="Zachary Mitchell"/>
    <x v="2"/>
    <s v="United States"/>
    <x v="99"/>
    <x v="20"/>
    <x v="2"/>
    <s v="FUR-FU-100317"/>
    <x v="0"/>
    <x v="0"/>
    <s v="Nomad Floor Lamp, Telescoping Adjustable"/>
    <n v="25.235600000000002"/>
    <n v="3"/>
    <n v="5.6783999999999999"/>
    <x v="3"/>
    <x v="11"/>
  </r>
  <r>
    <x v="681"/>
    <x v="545"/>
    <x v="554"/>
    <x v="3"/>
    <s v="TD-14002"/>
    <s v="Tamara Davis"/>
    <x v="0"/>
    <s v="United States"/>
    <x v="93"/>
    <x v="9"/>
    <x v="0"/>
    <s v="FUR-FU-107705"/>
    <x v="0"/>
    <x v="0"/>
    <s v="Hawthorne Desk Accessory Set, Oak"/>
    <n v="18.9541"/>
    <n v="6"/>
    <n v="2.8328000000000002"/>
    <x v="7"/>
    <x v="1"/>
  </r>
  <r>
    <x v="682"/>
    <x v="546"/>
    <x v="555"/>
    <x v="1"/>
    <s v="AH-20037"/>
    <s v="Andrew Harper"/>
    <x v="1"/>
    <s v="United States"/>
    <x v="108"/>
    <x v="17"/>
    <x v="3"/>
    <s v="FUR-TA-104262"/>
    <x v="0"/>
    <x v="3"/>
    <s v="Thorne End Table, 20-1/2H x 24W x 20D"/>
    <n v="369.88080000000002"/>
    <n v="4"/>
    <n v="316.03840000000002"/>
    <x v="1"/>
    <x v="4"/>
  </r>
  <r>
    <x v="683"/>
    <x v="547"/>
    <x v="556"/>
    <x v="3"/>
    <s v="JW-16275"/>
    <s v="Justin Walker"/>
    <x v="1"/>
    <s v="United States"/>
    <x v="4"/>
    <x v="4"/>
    <x v="1"/>
    <s v="FUR-CH-109246"/>
    <x v="0"/>
    <x v="1"/>
    <s v="Beckett Steno Chair, Gray"/>
    <n v="59.099600000000002"/>
    <n v="5"/>
    <n v="-17.375599999999999"/>
    <x v="7"/>
    <x v="3"/>
  </r>
  <r>
    <x v="684"/>
    <x v="548"/>
    <x v="458"/>
    <x v="2"/>
    <s v="LH-16912"/>
    <s v="Lisa Hensley"/>
    <x v="2"/>
    <s v="United States"/>
    <x v="108"/>
    <x v="17"/>
    <x v="3"/>
    <s v="FUR-CH-100441"/>
    <x v="0"/>
    <x v="1"/>
    <s v="Dalton Folding Chair, 4/Carton"/>
    <n v="222.89"/>
    <n v="3"/>
    <n v="-19.201899999999998"/>
    <x v="0"/>
    <x v="10"/>
  </r>
  <r>
    <x v="685"/>
    <x v="549"/>
    <x v="557"/>
    <x v="0"/>
    <s v="DD-19355"/>
    <s v="Denise Davenport"/>
    <x v="1"/>
    <s v="United States"/>
    <x v="55"/>
    <x v="12"/>
    <x v="2"/>
    <s v="FUR-FU-107705"/>
    <x v="0"/>
    <x v="0"/>
    <s v="Hawthorne Desk Accessory Set, Oak"/>
    <n v="249.42570000000001"/>
    <n v="2"/>
    <n v="111.342"/>
    <x v="7"/>
    <x v="2"/>
  </r>
  <r>
    <x v="686"/>
    <x v="179"/>
    <x v="558"/>
    <x v="3"/>
    <s v="JA-13470"/>
    <s v="Julie Alexander"/>
    <x v="0"/>
    <s v="United States"/>
    <x v="46"/>
    <x v="28"/>
    <x v="2"/>
    <s v="FUR-BO-108818"/>
    <x v="0"/>
    <x v="2"/>
    <s v="Meridian Glass-Door Bookcase, Espresso Finish"/>
    <n v="1610.3296"/>
    <n v="2"/>
    <n v="-456.5856"/>
    <x v="7"/>
    <x v="11"/>
  </r>
  <r>
    <x v="687"/>
    <x v="550"/>
    <x v="559"/>
    <x v="2"/>
    <s v="BW-17144"/>
    <s v="Bianca Wood"/>
    <x v="2"/>
    <s v="United States"/>
    <x v="111"/>
    <x v="8"/>
    <x v="1"/>
    <s v="FUR-CH-102704"/>
    <x v="0"/>
    <x v="1"/>
    <s v="Brookline High-Back Executive Chair, Black Leather"/>
    <n v="263.42169999999999"/>
    <n v="2"/>
    <n v="44.567900000000002"/>
    <x v="1"/>
    <x v="4"/>
  </r>
  <r>
    <x v="688"/>
    <x v="551"/>
    <x v="560"/>
    <x v="2"/>
    <s v="EW-15050"/>
    <s v="Eric Williams"/>
    <x v="1"/>
    <s v="United States"/>
    <x v="49"/>
    <x v="36"/>
    <x v="0"/>
    <s v="FUR-CH-100441"/>
    <x v="0"/>
    <x v="1"/>
    <s v="Dalton Folding Chair, 4/Carton"/>
    <n v="946.06889999999999"/>
    <n v="6"/>
    <n v="76.601100000000002"/>
    <x v="1"/>
    <x v="11"/>
  </r>
  <r>
    <x v="689"/>
    <x v="552"/>
    <x v="561"/>
    <x v="2"/>
    <s v="AY-21784"/>
    <s v="Amber Yang"/>
    <x v="2"/>
    <s v="United States"/>
    <x v="3"/>
    <x v="3"/>
    <x v="1"/>
    <s v="FUR-FU-108837"/>
    <x v="0"/>
    <x v="0"/>
    <s v="Ivanhoe Poster Frame, Aluminum"/>
    <n v="172.2901"/>
    <n v="5"/>
    <n v="98.865899999999996"/>
    <x v="0"/>
    <x v="9"/>
  </r>
  <r>
    <x v="690"/>
    <x v="553"/>
    <x v="562"/>
    <x v="0"/>
    <s v="RM-18935"/>
    <s v="Ryan Munoz"/>
    <x v="2"/>
    <s v="United States"/>
    <x v="109"/>
    <x v="17"/>
    <x v="3"/>
    <s v="FUR-TA-107022"/>
    <x v="0"/>
    <x v="3"/>
    <s v="Alden Rectangular Conference Table"/>
    <n v="2504.3209999999999"/>
    <n v="2"/>
    <n v="-467.44569999999999"/>
    <x v="7"/>
    <x v="10"/>
  </r>
  <r>
    <x v="691"/>
    <x v="408"/>
    <x v="156"/>
    <x v="2"/>
    <s v="JB-13728"/>
    <s v="James Bradley"/>
    <x v="2"/>
    <s v="United States"/>
    <x v="4"/>
    <x v="4"/>
    <x v="1"/>
    <s v="FUR-FU-107705"/>
    <x v="0"/>
    <x v="0"/>
    <s v="Hawthorne Desk Accessory Set, Oak"/>
    <n v="39.977499999999999"/>
    <n v="11"/>
    <n v="-2.0251999999999999"/>
    <x v="4"/>
    <x v="5"/>
  </r>
  <r>
    <x v="691"/>
    <x v="408"/>
    <x v="156"/>
    <x v="2"/>
    <s v="JB-13728"/>
    <s v="James Bradley"/>
    <x v="2"/>
    <s v="United States"/>
    <x v="4"/>
    <x v="4"/>
    <x v="1"/>
    <s v="FUR-FU-100317"/>
    <x v="0"/>
    <x v="0"/>
    <s v="Nomad Floor Lamp, Telescoping Adjustable"/>
    <n v="64.707999999999998"/>
    <n v="2"/>
    <n v="21.9496"/>
    <x v="4"/>
    <x v="5"/>
  </r>
  <r>
    <x v="691"/>
    <x v="408"/>
    <x v="156"/>
    <x v="2"/>
    <s v="JB-13728"/>
    <s v="James Bradley"/>
    <x v="2"/>
    <s v="United States"/>
    <x v="4"/>
    <x v="4"/>
    <x v="1"/>
    <s v="FUR-FU-107705"/>
    <x v="0"/>
    <x v="0"/>
    <s v="Hawthorne Desk Accessory Set, Oak"/>
    <n v="12.8216"/>
    <n v="8"/>
    <n v="1.7458"/>
    <x v="4"/>
    <x v="5"/>
  </r>
  <r>
    <x v="691"/>
    <x v="408"/>
    <x v="156"/>
    <x v="2"/>
    <s v="JB-13728"/>
    <s v="James Bradley"/>
    <x v="2"/>
    <s v="United States"/>
    <x v="4"/>
    <x v="4"/>
    <x v="1"/>
    <s v="FUR-FU-104558"/>
    <x v="0"/>
    <x v="0"/>
    <s v="Lambert Swing Arm Desk Lamp"/>
    <n v="142.88079999999999"/>
    <n v="1"/>
    <n v="35.080500000000001"/>
    <x v="4"/>
    <x v="5"/>
  </r>
  <r>
    <x v="692"/>
    <x v="554"/>
    <x v="470"/>
    <x v="2"/>
    <s v="LH-12200"/>
    <s v="Lisa Hunter"/>
    <x v="1"/>
    <s v="United States"/>
    <x v="74"/>
    <x v="37"/>
    <x v="0"/>
    <s v="FUR-FU-104133"/>
    <x v="0"/>
    <x v="0"/>
    <s v="Preston Wood Photo Frame, Mahogany"/>
    <n v="215.601"/>
    <n v="2"/>
    <n v="118.9786"/>
    <x v="3"/>
    <x v="7"/>
  </r>
  <r>
    <x v="692"/>
    <x v="554"/>
    <x v="470"/>
    <x v="2"/>
    <s v="LH-12200"/>
    <s v="Lisa Hunter"/>
    <x v="1"/>
    <s v="United States"/>
    <x v="74"/>
    <x v="37"/>
    <x v="0"/>
    <s v="FUR-CH-109246"/>
    <x v="0"/>
    <x v="1"/>
    <s v="Beckett Steno Chair, Gray"/>
    <n v="115.54989999999999"/>
    <n v="3"/>
    <n v="-53.830399999999997"/>
    <x v="3"/>
    <x v="7"/>
  </r>
  <r>
    <x v="692"/>
    <x v="554"/>
    <x v="470"/>
    <x v="2"/>
    <s v="LH-12200"/>
    <s v="Lisa Hunter"/>
    <x v="1"/>
    <s v="United States"/>
    <x v="74"/>
    <x v="37"/>
    <x v="0"/>
    <s v="FUR-FU-108837"/>
    <x v="0"/>
    <x v="0"/>
    <s v="Ivanhoe Poster Frame, Aluminum"/>
    <n v="127.2663"/>
    <n v="3"/>
    <n v="12.132300000000001"/>
    <x v="3"/>
    <x v="7"/>
  </r>
  <r>
    <x v="693"/>
    <x v="555"/>
    <x v="268"/>
    <x v="2"/>
    <s v="KR-18849"/>
    <s v="Kristen Rowe"/>
    <x v="2"/>
    <s v="United States"/>
    <x v="114"/>
    <x v="42"/>
    <x v="1"/>
    <s v="FUR-FU-103673"/>
    <x v="0"/>
    <x v="0"/>
    <s v="Corcoran Document Holder, Wood"/>
    <n v="16.7852"/>
    <n v="6"/>
    <n v="9.5637000000000008"/>
    <x v="7"/>
    <x v="4"/>
  </r>
  <r>
    <x v="693"/>
    <x v="555"/>
    <x v="268"/>
    <x v="2"/>
    <s v="KR-18849"/>
    <s v="Kristen Rowe"/>
    <x v="2"/>
    <s v="United States"/>
    <x v="114"/>
    <x v="42"/>
    <x v="1"/>
    <s v="FUR-TA-107449"/>
    <x v="0"/>
    <x v="3"/>
    <s v="Pembroke 36 x 72 Conference Table"/>
    <n v="295.86770000000001"/>
    <n v="1"/>
    <n v="-3.5124"/>
    <x v="7"/>
    <x v="4"/>
  </r>
  <r>
    <x v="693"/>
    <x v="555"/>
    <x v="268"/>
    <x v="2"/>
    <s v="KR-18849"/>
    <s v="Kristen Rowe"/>
    <x v="2"/>
    <s v="United States"/>
    <x v="114"/>
    <x v="42"/>
    <x v="1"/>
    <s v="FUR-TA-105529"/>
    <x v="0"/>
    <x v="3"/>
    <s v="Fenwick Compact Office Desk"/>
    <n v="214.76179999999999"/>
    <n v="3"/>
    <n v="6.2293000000000003"/>
    <x v="7"/>
    <x v="4"/>
  </r>
  <r>
    <x v="694"/>
    <x v="307"/>
    <x v="563"/>
    <x v="0"/>
    <s v="JP-19740"/>
    <s v="Jesse Perry"/>
    <x v="2"/>
    <s v="United States"/>
    <x v="36"/>
    <x v="31"/>
    <x v="2"/>
    <s v="FUR-FU-100853"/>
    <x v="0"/>
    <x v="0"/>
    <s v="Blaine Cubicle Wall Clock, Black"/>
    <n v="56.8337"/>
    <n v="1"/>
    <n v="-27.1374"/>
    <x v="1"/>
    <x v="9"/>
  </r>
  <r>
    <x v="695"/>
    <x v="556"/>
    <x v="564"/>
    <x v="3"/>
    <s v="EK-16543"/>
    <s v="Elizabeth Kelley"/>
    <x v="2"/>
    <s v="United States"/>
    <x v="32"/>
    <x v="26"/>
    <x v="3"/>
    <s v="FUR-TA-105363"/>
    <x v="0"/>
    <x v="3"/>
    <s v="Ashcombe Rectangular Table Top"/>
    <n v="271.5641"/>
    <n v="2"/>
    <n v="-45.456600000000002"/>
    <x v="7"/>
    <x v="1"/>
  </r>
  <r>
    <x v="695"/>
    <x v="556"/>
    <x v="564"/>
    <x v="3"/>
    <s v="EK-16543"/>
    <s v="Elizabeth Kelley"/>
    <x v="2"/>
    <s v="United States"/>
    <x v="32"/>
    <x v="26"/>
    <x v="3"/>
    <s v="FUR-FU-108837"/>
    <x v="0"/>
    <x v="0"/>
    <s v="Ivanhoe Poster Frame, Aluminum"/>
    <n v="7.1944999999999997"/>
    <n v="1"/>
    <n v="5.3228"/>
    <x v="7"/>
    <x v="1"/>
  </r>
  <r>
    <x v="695"/>
    <x v="556"/>
    <x v="564"/>
    <x v="3"/>
    <s v="EK-16543"/>
    <s v="Elizabeth Kelley"/>
    <x v="2"/>
    <s v="United States"/>
    <x v="32"/>
    <x v="26"/>
    <x v="3"/>
    <s v="FUR-FU-104133"/>
    <x v="0"/>
    <x v="0"/>
    <s v="Preston Wood Photo Frame, Mahogany"/>
    <n v="22.047899999999998"/>
    <n v="3"/>
    <n v="6.5098000000000003"/>
    <x v="7"/>
    <x v="1"/>
  </r>
  <r>
    <x v="696"/>
    <x v="144"/>
    <x v="541"/>
    <x v="3"/>
    <s v="NH-11743"/>
    <s v="Nicole Herring"/>
    <x v="1"/>
    <s v="United States"/>
    <x v="65"/>
    <x v="41"/>
    <x v="3"/>
    <s v="FUR-FU-107705"/>
    <x v="0"/>
    <x v="0"/>
    <s v="Hawthorne Desk Accessory Set, Oak"/>
    <n v="47.842500000000001"/>
    <n v="1"/>
    <n v="-18.994499999999999"/>
    <x v="7"/>
    <x v="8"/>
  </r>
  <r>
    <x v="697"/>
    <x v="557"/>
    <x v="565"/>
    <x v="0"/>
    <s v="BS-17177"/>
    <s v="Benjamin Smith"/>
    <x v="1"/>
    <s v="United States"/>
    <x v="36"/>
    <x v="31"/>
    <x v="2"/>
    <s v="FUR-TA-105529"/>
    <x v="0"/>
    <x v="3"/>
    <s v="Fenwick Compact Office Desk"/>
    <n v="1553.6969999999999"/>
    <n v="2"/>
    <n v="-324.62959999999998"/>
    <x v="3"/>
    <x v="5"/>
  </r>
  <r>
    <x v="698"/>
    <x v="558"/>
    <x v="566"/>
    <x v="2"/>
    <s v="MT-21069"/>
    <s v="Melissa Taylor"/>
    <x v="1"/>
    <s v="United States"/>
    <x v="16"/>
    <x v="17"/>
    <x v="3"/>
    <s v="FUR-FU-100317"/>
    <x v="0"/>
    <x v="0"/>
    <s v="Nomad Floor Lamp, Telescoping Adjustable"/>
    <n v="91.092699999999994"/>
    <n v="2"/>
    <n v="15.143000000000001"/>
    <x v="2"/>
    <x v="4"/>
  </r>
  <r>
    <x v="699"/>
    <x v="559"/>
    <x v="567"/>
    <x v="2"/>
    <s v="JR-11545"/>
    <s v="Joshua Reed"/>
    <x v="2"/>
    <s v="United States"/>
    <x v="119"/>
    <x v="41"/>
    <x v="3"/>
    <s v="FUR-CH-108751"/>
    <x v="0"/>
    <x v="1"/>
    <s v="Prescott Ergonomic Chair with Lumbar Support"/>
    <n v="207.14349999999999"/>
    <n v="5"/>
    <n v="31.040299999999998"/>
    <x v="5"/>
    <x v="6"/>
  </r>
  <r>
    <x v="700"/>
    <x v="560"/>
    <x v="568"/>
    <x v="2"/>
    <s v="SW-18288"/>
    <s v="Scott Williams"/>
    <x v="1"/>
    <s v="United States"/>
    <x v="104"/>
    <x v="26"/>
    <x v="3"/>
    <s v="FUR-FU-107705"/>
    <x v="0"/>
    <x v="0"/>
    <s v="Hawthorne Desk Accessory Set, Oak"/>
    <n v="176.6343"/>
    <n v="2"/>
    <n v="31.648499999999999"/>
    <x v="5"/>
    <x v="10"/>
  </r>
  <r>
    <x v="700"/>
    <x v="560"/>
    <x v="568"/>
    <x v="2"/>
    <s v="SW-18288"/>
    <s v="Scott Williams"/>
    <x v="1"/>
    <s v="United States"/>
    <x v="104"/>
    <x v="26"/>
    <x v="3"/>
    <s v="FUR-FU-103673"/>
    <x v="0"/>
    <x v="0"/>
    <s v="Corcoran Document Holder, Wood"/>
    <n v="21.747800000000002"/>
    <n v="3"/>
    <n v="8.3331999999999997"/>
    <x v="5"/>
    <x v="10"/>
  </r>
  <r>
    <x v="701"/>
    <x v="513"/>
    <x v="569"/>
    <x v="1"/>
    <s v="SC-11084"/>
    <s v="Sharon Cochran"/>
    <x v="2"/>
    <s v="United States"/>
    <x v="5"/>
    <x v="5"/>
    <x v="2"/>
    <s v="FUR-TA-105363"/>
    <x v="0"/>
    <x v="3"/>
    <s v="Ashcombe Rectangular Table Top"/>
    <n v="443.4957"/>
    <n v="3"/>
    <n v="-152.18549999999999"/>
    <x v="0"/>
    <x v="10"/>
  </r>
  <r>
    <x v="701"/>
    <x v="513"/>
    <x v="569"/>
    <x v="1"/>
    <s v="SC-11084"/>
    <s v="Sharon Cochran"/>
    <x v="2"/>
    <s v="United States"/>
    <x v="5"/>
    <x v="5"/>
    <x v="2"/>
    <s v="FUR-CH-102091"/>
    <x v="0"/>
    <x v="1"/>
    <s v="Vantage Swivel Task Chair, Blue"/>
    <n v="428.82130000000001"/>
    <n v="6"/>
    <n v="71.454400000000007"/>
    <x v="0"/>
    <x v="10"/>
  </r>
  <r>
    <x v="702"/>
    <x v="561"/>
    <x v="78"/>
    <x v="2"/>
    <s v="DM-20015"/>
    <s v="David Molina"/>
    <x v="2"/>
    <s v="United States"/>
    <x v="32"/>
    <x v="26"/>
    <x v="3"/>
    <s v="FUR-FU-100317"/>
    <x v="0"/>
    <x v="0"/>
    <s v="Nomad Floor Lamp, Telescoping Adjustable"/>
    <n v="639.44860000000006"/>
    <n v="2"/>
    <n v="-44.773499999999999"/>
    <x v="5"/>
    <x v="11"/>
  </r>
  <r>
    <x v="703"/>
    <x v="562"/>
    <x v="570"/>
    <x v="0"/>
    <s v="JP-11876"/>
    <s v="Joshua Perry"/>
    <x v="0"/>
    <s v="United States"/>
    <x v="0"/>
    <x v="0"/>
    <x v="0"/>
    <s v="FUR-FU-108837"/>
    <x v="0"/>
    <x v="0"/>
    <s v="Ivanhoe Poster Frame, Aluminum"/>
    <n v="140.51560000000001"/>
    <n v="4"/>
    <n v="-14.3409"/>
    <x v="7"/>
    <x v="8"/>
  </r>
  <r>
    <x v="703"/>
    <x v="562"/>
    <x v="570"/>
    <x v="0"/>
    <s v="JP-11876"/>
    <s v="Joshua Perry"/>
    <x v="0"/>
    <s v="United States"/>
    <x v="0"/>
    <x v="0"/>
    <x v="0"/>
    <s v="FUR-FU-101341"/>
    <x v="0"/>
    <x v="0"/>
    <s v="Griswold Chairmats for Medium Pile Carpet"/>
    <n v="84.320300000000003"/>
    <n v="1"/>
    <n v="16.697800000000001"/>
    <x v="7"/>
    <x v="8"/>
  </r>
  <r>
    <x v="704"/>
    <x v="275"/>
    <x v="236"/>
    <x v="3"/>
    <s v="EA-13257"/>
    <s v="Ethan Adams"/>
    <x v="1"/>
    <s v="United States"/>
    <x v="8"/>
    <x v="8"/>
    <x v="1"/>
    <s v="FUR-CH-109697"/>
    <x v="0"/>
    <x v="1"/>
    <s v="Rowan Mid-Back Tilter Chair"/>
    <n v="553.83230000000003"/>
    <n v="6"/>
    <n v="32.392200000000003"/>
    <x v="7"/>
    <x v="10"/>
  </r>
  <r>
    <x v="705"/>
    <x v="16"/>
    <x v="571"/>
    <x v="2"/>
    <s v="NF-11403"/>
    <s v="Nathan Freeman"/>
    <x v="1"/>
    <s v="United States"/>
    <x v="42"/>
    <x v="11"/>
    <x v="2"/>
    <s v="FUR-FU-108837"/>
    <x v="0"/>
    <x v="0"/>
    <s v="Ivanhoe Poster Frame, Aluminum"/>
    <n v="24.739699999999999"/>
    <n v="2"/>
    <n v="-5.8734000000000002"/>
    <x v="7"/>
    <x v="0"/>
  </r>
  <r>
    <x v="705"/>
    <x v="16"/>
    <x v="571"/>
    <x v="2"/>
    <s v="NF-11403"/>
    <s v="Nathan Freeman"/>
    <x v="1"/>
    <s v="United States"/>
    <x v="42"/>
    <x v="11"/>
    <x v="2"/>
    <s v="FUR-FU-105733"/>
    <x v="0"/>
    <x v="0"/>
    <s v="Sable Halogen Replacement Bulb, 2-Pack"/>
    <n v="281.86349999999999"/>
    <n v="3"/>
    <n v="-9.8285999999999998"/>
    <x v="7"/>
    <x v="0"/>
  </r>
  <r>
    <x v="706"/>
    <x v="348"/>
    <x v="348"/>
    <x v="1"/>
    <s v="MC-17541"/>
    <s v="Meghan Cisneros"/>
    <x v="2"/>
    <s v="United States"/>
    <x v="7"/>
    <x v="9"/>
    <x v="0"/>
    <s v="FUR-BO-106371"/>
    <x v="0"/>
    <x v="2"/>
    <s v="Fairmont Ladder Shelf, Black Metal Frame"/>
    <n v="88.043800000000005"/>
    <n v="2"/>
    <n v="6.5388999999999999"/>
    <x v="7"/>
    <x v="11"/>
  </r>
  <r>
    <x v="707"/>
    <x v="563"/>
    <x v="96"/>
    <x v="0"/>
    <s v="MJ-13388"/>
    <s v="Mary Jensen"/>
    <x v="1"/>
    <s v="United States"/>
    <x v="117"/>
    <x v="44"/>
    <x v="0"/>
    <s v="FUR-BO-104471"/>
    <x v="0"/>
    <x v="2"/>
    <s v="Camden Modular Bookcase, Custom Colors"/>
    <n v="1018.4393"/>
    <n v="6"/>
    <n v="-212.8391"/>
    <x v="0"/>
    <x v="1"/>
  </r>
  <r>
    <x v="707"/>
    <x v="563"/>
    <x v="96"/>
    <x v="0"/>
    <s v="MJ-13388"/>
    <s v="Mary Jensen"/>
    <x v="1"/>
    <s v="United States"/>
    <x v="117"/>
    <x v="44"/>
    <x v="0"/>
    <s v="FUR-CH-105507"/>
    <x v="0"/>
    <x v="1"/>
    <s v="Kingsley Mesh-Back Task Chair"/>
    <n v="540.55589999999995"/>
    <n v="6"/>
    <n v="-178.29220000000001"/>
    <x v="0"/>
    <x v="1"/>
  </r>
  <r>
    <x v="708"/>
    <x v="564"/>
    <x v="572"/>
    <x v="2"/>
    <s v="DL-13262"/>
    <s v="David Lopez"/>
    <x v="2"/>
    <s v="United States"/>
    <x v="83"/>
    <x v="27"/>
    <x v="0"/>
    <s v="FUR-CH-102091"/>
    <x v="0"/>
    <x v="1"/>
    <s v="Vantage Swivel Task Chair, Blue"/>
    <n v="1640.7474"/>
    <n v="3"/>
    <n v="388.4212"/>
    <x v="7"/>
    <x v="0"/>
  </r>
  <r>
    <x v="709"/>
    <x v="318"/>
    <x v="573"/>
    <x v="2"/>
    <s v="NL-17206"/>
    <s v="Nathaniel Lee"/>
    <x v="1"/>
    <s v="United States"/>
    <x v="17"/>
    <x v="18"/>
    <x v="3"/>
    <s v="FUR-CH-106624"/>
    <x v="0"/>
    <x v="1"/>
    <s v="Adler Fabric Manager's Chair, Slate Gray"/>
    <n v="603.66859999999997"/>
    <n v="1"/>
    <n v="277.14909999999998"/>
    <x v="6"/>
    <x v="4"/>
  </r>
  <r>
    <x v="710"/>
    <x v="565"/>
    <x v="203"/>
    <x v="2"/>
    <s v="ET-12607"/>
    <s v="Eric Thomas"/>
    <x v="1"/>
    <s v="United States"/>
    <x v="74"/>
    <x v="37"/>
    <x v="0"/>
    <s v="FUR-FU-105733"/>
    <x v="0"/>
    <x v="0"/>
    <s v="Sable Halogen Replacement Bulb, 2-Pack"/>
    <n v="96.076599999999999"/>
    <n v="1"/>
    <n v="17.455400000000001"/>
    <x v="6"/>
    <x v="10"/>
  </r>
  <r>
    <x v="711"/>
    <x v="566"/>
    <x v="475"/>
    <x v="2"/>
    <s v="LH-15728"/>
    <s v="Lawrence Harrington"/>
    <x v="0"/>
    <s v="United States"/>
    <x v="46"/>
    <x v="28"/>
    <x v="2"/>
    <s v="FUR-FU-100853"/>
    <x v="0"/>
    <x v="0"/>
    <s v="Blaine Cubicle Wall Clock, Black"/>
    <n v="46.076999999999998"/>
    <n v="2"/>
    <n v="-0.60609999999999997"/>
    <x v="0"/>
    <x v="7"/>
  </r>
  <r>
    <x v="712"/>
    <x v="121"/>
    <x v="574"/>
    <x v="1"/>
    <s v="MD-10434"/>
    <s v="Margaret Hawkins DDS"/>
    <x v="2"/>
    <s v="United States"/>
    <x v="101"/>
    <x v="11"/>
    <x v="2"/>
    <s v="FUR-FU-104558"/>
    <x v="0"/>
    <x v="0"/>
    <s v="Lambert Swing Arm Desk Lamp"/>
    <n v="28.455300000000001"/>
    <n v="2"/>
    <n v="2.8809"/>
    <x v="1"/>
    <x v="7"/>
  </r>
  <r>
    <x v="713"/>
    <x v="111"/>
    <x v="112"/>
    <x v="2"/>
    <s v="DP-18689"/>
    <s v="Dr. Hannah Patterson"/>
    <x v="0"/>
    <s v="United States"/>
    <x v="74"/>
    <x v="37"/>
    <x v="0"/>
    <s v="FUR-CH-107657"/>
    <x v="0"/>
    <x v="1"/>
    <s v="Hollis Stacking Chair, Rounded Back"/>
    <n v="30.472999999999999"/>
    <n v="9"/>
    <n v="0.84109999999999996"/>
    <x v="4"/>
    <x v="1"/>
  </r>
  <r>
    <x v="714"/>
    <x v="567"/>
    <x v="575"/>
    <x v="2"/>
    <s v="AM-12803"/>
    <s v="Aimee Montoya"/>
    <x v="1"/>
    <s v="United States"/>
    <x v="119"/>
    <x v="41"/>
    <x v="3"/>
    <s v="FUR-CH-100444"/>
    <x v="0"/>
    <x v="1"/>
    <s v="Harborview Mesh Task Chair, Adjustable Arms"/>
    <n v="434.9178"/>
    <n v="2"/>
    <n v="36.339799999999997"/>
    <x v="4"/>
    <x v="0"/>
  </r>
  <r>
    <x v="714"/>
    <x v="567"/>
    <x v="575"/>
    <x v="2"/>
    <s v="AM-12803"/>
    <s v="Aimee Montoya"/>
    <x v="1"/>
    <s v="United States"/>
    <x v="119"/>
    <x v="41"/>
    <x v="3"/>
    <s v="FUR-BO-103613"/>
    <x v="0"/>
    <x v="2"/>
    <s v="Winslow Corner Bookcase, White"/>
    <n v="1641.0902000000001"/>
    <n v="8"/>
    <n v="238.0033"/>
    <x v="4"/>
    <x v="0"/>
  </r>
  <r>
    <x v="714"/>
    <x v="567"/>
    <x v="575"/>
    <x v="2"/>
    <s v="AM-12803"/>
    <s v="Aimee Montoya"/>
    <x v="1"/>
    <s v="United States"/>
    <x v="119"/>
    <x v="41"/>
    <x v="3"/>
    <s v="FUR-BO-107140"/>
    <x v="0"/>
    <x v="2"/>
    <s v="Delacroix Lawyers Bookcase, Cherry Finish"/>
    <n v="333.81020000000001"/>
    <n v="9"/>
    <n v="53.692399999999999"/>
    <x v="4"/>
    <x v="0"/>
  </r>
  <r>
    <x v="715"/>
    <x v="479"/>
    <x v="576"/>
    <x v="0"/>
    <s v="CR-16916"/>
    <s v="Christopher Rubio"/>
    <x v="1"/>
    <s v="United States"/>
    <x v="0"/>
    <x v="6"/>
    <x v="1"/>
    <s v="FUR-BO-106865"/>
    <x v="0"/>
    <x v="2"/>
    <s v="Hartwell Oak 5-Shelf Bookcase"/>
    <n v="199.98150000000001"/>
    <n v="3"/>
    <n v="-110.79649999999999"/>
    <x v="3"/>
    <x v="0"/>
  </r>
  <r>
    <x v="716"/>
    <x v="568"/>
    <x v="577"/>
    <x v="2"/>
    <s v="DC-15947"/>
    <s v="Debra Christian"/>
    <x v="2"/>
    <s v="United States"/>
    <x v="49"/>
    <x v="36"/>
    <x v="0"/>
    <s v="FUR-FU-104558"/>
    <x v="0"/>
    <x v="0"/>
    <s v="Lambert Swing Arm Desk Lamp"/>
    <n v="59.466299999999997"/>
    <n v="4"/>
    <n v="10.781599999999999"/>
    <x v="3"/>
    <x v="8"/>
  </r>
  <r>
    <x v="717"/>
    <x v="569"/>
    <x v="578"/>
    <x v="2"/>
    <s v="KG-11588"/>
    <s v="Kimberly Gibson"/>
    <x v="2"/>
    <s v="United States"/>
    <x v="117"/>
    <x v="44"/>
    <x v="0"/>
    <s v="FUR-FU-106906"/>
    <x v="0"/>
    <x v="0"/>
    <s v="Cobalt LED Magnifier Lamp with Clamp Base"/>
    <n v="153.3468"/>
    <n v="1"/>
    <n v="-29.4511"/>
    <x v="3"/>
    <x v="7"/>
  </r>
  <r>
    <x v="718"/>
    <x v="448"/>
    <x v="448"/>
    <x v="0"/>
    <s v="BP-16227"/>
    <s v="Brittney Phillips"/>
    <x v="1"/>
    <s v="United States"/>
    <x v="14"/>
    <x v="15"/>
    <x v="1"/>
    <s v="FUR-FU-100853"/>
    <x v="0"/>
    <x v="0"/>
    <s v="Blaine Cubicle Wall Clock, Black"/>
    <n v="367.71010000000001"/>
    <n v="1"/>
    <n v="16.535399999999999"/>
    <x v="1"/>
    <x v="7"/>
  </r>
  <r>
    <x v="719"/>
    <x v="76"/>
    <x v="579"/>
    <x v="2"/>
    <s v="NJ-14114"/>
    <s v="Nancy Jennings"/>
    <x v="0"/>
    <s v="United States"/>
    <x v="8"/>
    <x v="8"/>
    <x v="1"/>
    <s v="FUR-CH-106624"/>
    <x v="0"/>
    <x v="1"/>
    <s v="Adler Fabric Manager's Chair, Slate Gray"/>
    <n v="156.4135"/>
    <n v="2"/>
    <n v="17.331399999999999"/>
    <x v="5"/>
    <x v="8"/>
  </r>
  <r>
    <x v="720"/>
    <x v="570"/>
    <x v="185"/>
    <x v="0"/>
    <s v="CT-13733"/>
    <s v="Carol Tucker"/>
    <x v="2"/>
    <s v="United States"/>
    <x v="38"/>
    <x v="32"/>
    <x v="3"/>
    <s v="FUR-CH-105507"/>
    <x v="0"/>
    <x v="1"/>
    <s v="Kingsley Mesh-Back Task Chair"/>
    <n v="570.48680000000002"/>
    <n v="2"/>
    <n v="220.9265"/>
    <x v="0"/>
    <x v="4"/>
  </r>
  <r>
    <x v="720"/>
    <x v="570"/>
    <x v="185"/>
    <x v="0"/>
    <s v="CT-13733"/>
    <s v="Carol Tucker"/>
    <x v="2"/>
    <s v="United States"/>
    <x v="38"/>
    <x v="32"/>
    <x v="3"/>
    <s v="FUR-BO-109883"/>
    <x v="0"/>
    <x v="2"/>
    <s v="Ashford Mobile 4-Shelf Bookcase"/>
    <n v="226.57220000000001"/>
    <n v="3"/>
    <n v="38.209000000000003"/>
    <x v="0"/>
    <x v="4"/>
  </r>
  <r>
    <x v="721"/>
    <x v="571"/>
    <x v="150"/>
    <x v="2"/>
    <s v="ME-14304"/>
    <s v="Michelle Evans"/>
    <x v="2"/>
    <s v="United States"/>
    <x v="4"/>
    <x v="4"/>
    <x v="1"/>
    <s v="FUR-FU-100853"/>
    <x v="0"/>
    <x v="0"/>
    <s v="Blaine Cubicle Wall Clock, Black"/>
    <n v="164.27619999999999"/>
    <n v="1"/>
    <n v="153.68219999999999"/>
    <x v="4"/>
    <x v="5"/>
  </r>
  <r>
    <x v="722"/>
    <x v="572"/>
    <x v="580"/>
    <x v="1"/>
    <s v="EC-10711"/>
    <s v="Eric Carney"/>
    <x v="2"/>
    <s v="United States"/>
    <x v="103"/>
    <x v="43"/>
    <x v="2"/>
    <s v="FUR-TA-107449"/>
    <x v="0"/>
    <x v="3"/>
    <s v="Pembroke 36 x 72 Conference Table"/>
    <n v="406.34030000000001"/>
    <n v="3"/>
    <n v="34.5077"/>
    <x v="1"/>
    <x v="3"/>
  </r>
  <r>
    <x v="722"/>
    <x v="572"/>
    <x v="580"/>
    <x v="1"/>
    <s v="EC-10711"/>
    <s v="Eric Carney"/>
    <x v="2"/>
    <s v="United States"/>
    <x v="103"/>
    <x v="43"/>
    <x v="2"/>
    <s v="FUR-FU-100317"/>
    <x v="0"/>
    <x v="0"/>
    <s v="Nomad Floor Lamp, Telescoping Adjustable"/>
    <n v="35.479399999999998"/>
    <n v="2"/>
    <n v="11.378"/>
    <x v="1"/>
    <x v="3"/>
  </r>
  <r>
    <x v="722"/>
    <x v="572"/>
    <x v="580"/>
    <x v="1"/>
    <s v="EC-10711"/>
    <s v="Eric Carney"/>
    <x v="2"/>
    <s v="United States"/>
    <x v="103"/>
    <x v="43"/>
    <x v="2"/>
    <s v="FUR-TA-107564"/>
    <x v="0"/>
    <x v="3"/>
    <s v="Bellwood Slim Training Table, Light Gray"/>
    <n v="609.60419999999999"/>
    <n v="3"/>
    <n v="-176.25120000000001"/>
    <x v="1"/>
    <x v="3"/>
  </r>
  <r>
    <x v="723"/>
    <x v="573"/>
    <x v="581"/>
    <x v="2"/>
    <s v="MA-10096"/>
    <s v="Michael Abbott"/>
    <x v="1"/>
    <s v="United States"/>
    <x v="30"/>
    <x v="27"/>
    <x v="0"/>
    <s v="FUR-FU-107705"/>
    <x v="0"/>
    <x v="0"/>
    <s v="Hawthorne Desk Accessory Set, Oak"/>
    <n v="171.25890000000001"/>
    <n v="2"/>
    <n v="106.47969999999999"/>
    <x v="3"/>
    <x v="9"/>
  </r>
  <r>
    <x v="724"/>
    <x v="4"/>
    <x v="582"/>
    <x v="3"/>
    <s v="MJ-13388"/>
    <s v="Mary Jensen"/>
    <x v="1"/>
    <s v="United States"/>
    <x v="122"/>
    <x v="43"/>
    <x v="2"/>
    <s v="FUR-TA-100823"/>
    <x v="0"/>
    <x v="3"/>
    <s v="Redstone Wood Tables, Set of 2"/>
    <n v="666.74339999999995"/>
    <n v="4"/>
    <n v="-21.133099999999999"/>
    <x v="7"/>
    <x v="2"/>
  </r>
  <r>
    <x v="725"/>
    <x v="574"/>
    <x v="583"/>
    <x v="0"/>
    <s v="SR-12697"/>
    <s v="Shannon Ramsey"/>
    <x v="1"/>
    <s v="United States"/>
    <x v="27"/>
    <x v="26"/>
    <x v="3"/>
    <s v="FUR-BO-109883"/>
    <x v="0"/>
    <x v="2"/>
    <s v="Ashford Mobile 4-Shelf Bookcase"/>
    <n v="218.03749999999999"/>
    <n v="3"/>
    <n v="-81.194400000000002"/>
    <x v="7"/>
    <x v="8"/>
  </r>
  <r>
    <x v="726"/>
    <x v="176"/>
    <x v="296"/>
    <x v="1"/>
    <s v="MT-21069"/>
    <s v="Melissa Taylor"/>
    <x v="2"/>
    <s v="United States"/>
    <x v="0"/>
    <x v="6"/>
    <x v="1"/>
    <s v="FUR-TA-103467"/>
    <x v="0"/>
    <x v="3"/>
    <s v="Kessler Round Bullnose High Table"/>
    <n v="704.07270000000005"/>
    <n v="4"/>
    <n v="-258.85590000000002"/>
    <x v="7"/>
    <x v="3"/>
  </r>
  <r>
    <x v="726"/>
    <x v="176"/>
    <x v="296"/>
    <x v="1"/>
    <s v="MT-21069"/>
    <s v="Melissa Taylor"/>
    <x v="2"/>
    <s v="United States"/>
    <x v="0"/>
    <x v="6"/>
    <x v="1"/>
    <s v="FUR-FU-106906"/>
    <x v="0"/>
    <x v="0"/>
    <s v="Cobalt LED Magnifier Lamp with Clamp Base"/>
    <n v="27.418800000000001"/>
    <n v="1"/>
    <n v="-17.715800000000002"/>
    <x v="7"/>
    <x v="3"/>
  </r>
  <r>
    <x v="726"/>
    <x v="176"/>
    <x v="296"/>
    <x v="1"/>
    <s v="MT-21069"/>
    <s v="Melissa Taylor"/>
    <x v="2"/>
    <s v="United States"/>
    <x v="0"/>
    <x v="6"/>
    <x v="1"/>
    <s v="FUR-TA-103467"/>
    <x v="0"/>
    <x v="3"/>
    <s v="Kessler Round Bullnose High Table"/>
    <n v="309.85669999999999"/>
    <n v="6"/>
    <n v="-209.17339999999999"/>
    <x v="7"/>
    <x v="3"/>
  </r>
  <r>
    <x v="727"/>
    <x v="364"/>
    <x v="584"/>
    <x v="0"/>
    <s v="AG-19064"/>
    <s v="Antonio Garcia"/>
    <x v="2"/>
    <s v="United States"/>
    <x v="0"/>
    <x v="0"/>
    <x v="0"/>
    <s v="FUR-CH-101375"/>
    <x v="0"/>
    <x v="1"/>
    <s v="Sutton Push-Button Manager's Chair, Indigo"/>
    <n v="338.92829999999998"/>
    <n v="1"/>
    <n v="-100.3811"/>
    <x v="3"/>
    <x v="4"/>
  </r>
  <r>
    <x v="728"/>
    <x v="575"/>
    <x v="492"/>
    <x v="1"/>
    <s v="LP-21409"/>
    <s v="Lisa Perry"/>
    <x v="2"/>
    <s v="United States"/>
    <x v="83"/>
    <x v="27"/>
    <x v="0"/>
    <s v="FUR-FU-100853"/>
    <x v="0"/>
    <x v="0"/>
    <s v="Blaine Cubicle Wall Clock, Black"/>
    <n v="75.735699999999994"/>
    <n v="6"/>
    <n v="-3.4255"/>
    <x v="7"/>
    <x v="10"/>
  </r>
  <r>
    <x v="729"/>
    <x v="299"/>
    <x v="585"/>
    <x v="2"/>
    <s v="TT-20392"/>
    <s v="Travis Tucker"/>
    <x v="2"/>
    <s v="United States"/>
    <x v="35"/>
    <x v="30"/>
    <x v="0"/>
    <s v="FUR-FU-104558"/>
    <x v="0"/>
    <x v="0"/>
    <s v="Lambert Swing Arm Desk Lamp"/>
    <n v="137.5642"/>
    <n v="2"/>
    <n v="46.645800000000001"/>
    <x v="5"/>
    <x v="2"/>
  </r>
  <r>
    <x v="729"/>
    <x v="299"/>
    <x v="585"/>
    <x v="2"/>
    <s v="TT-20392"/>
    <s v="Travis Tucker"/>
    <x v="2"/>
    <s v="United States"/>
    <x v="35"/>
    <x v="30"/>
    <x v="0"/>
    <s v="FUR-CH-106455"/>
    <x v="0"/>
    <x v="1"/>
    <s v="Nolan Leather Highback Chair, Pneumatic Adjustment"/>
    <n v="749.80550000000005"/>
    <n v="3"/>
    <n v="555.01070000000004"/>
    <x v="5"/>
    <x v="2"/>
  </r>
  <r>
    <x v="730"/>
    <x v="576"/>
    <x v="525"/>
    <x v="1"/>
    <s v="JT-13295"/>
    <s v="Justin Torres"/>
    <x v="2"/>
    <s v="United States"/>
    <x v="22"/>
    <x v="22"/>
    <x v="2"/>
    <s v="FUR-FU-108837"/>
    <x v="0"/>
    <x v="0"/>
    <s v="Ivanhoe Poster Frame, Aluminum"/>
    <n v="28.985099999999999"/>
    <n v="1"/>
    <n v="-11.9483"/>
    <x v="1"/>
    <x v="0"/>
  </r>
  <r>
    <x v="731"/>
    <x v="242"/>
    <x v="318"/>
    <x v="2"/>
    <s v="BJ-20299"/>
    <s v="Brent Jordan"/>
    <x v="2"/>
    <s v="United States"/>
    <x v="23"/>
    <x v="5"/>
    <x v="2"/>
    <s v="FUR-FU-100317"/>
    <x v="0"/>
    <x v="0"/>
    <s v="Nomad Floor Lamp, Telescoping Adjustable"/>
    <n v="59.463500000000003"/>
    <n v="3"/>
    <n v="4.3784999999999998"/>
    <x v="7"/>
    <x v="9"/>
  </r>
  <r>
    <x v="732"/>
    <x v="577"/>
    <x v="422"/>
    <x v="2"/>
    <s v="CW-10916"/>
    <s v="Christine Wright"/>
    <x v="2"/>
    <s v="United States"/>
    <x v="129"/>
    <x v="2"/>
    <x v="0"/>
    <s v="FUR-FU-101341"/>
    <x v="0"/>
    <x v="0"/>
    <s v="Griswold Chairmats for Medium Pile Carpet"/>
    <n v="105.6808"/>
    <n v="3"/>
    <n v="-13.248699999999999"/>
    <x v="6"/>
    <x v="2"/>
  </r>
  <r>
    <x v="733"/>
    <x v="578"/>
    <x v="586"/>
    <x v="2"/>
    <s v="JG-18666"/>
    <s v="Joann Glass"/>
    <x v="2"/>
    <s v="United States"/>
    <x v="111"/>
    <x v="8"/>
    <x v="1"/>
    <s v="FUR-TA-105363"/>
    <x v="0"/>
    <x v="3"/>
    <s v="Ashcombe Rectangular Table Top"/>
    <n v="447.82900000000001"/>
    <n v="5"/>
    <n v="284.36840000000001"/>
    <x v="3"/>
    <x v="6"/>
  </r>
  <r>
    <x v="734"/>
    <x v="295"/>
    <x v="587"/>
    <x v="2"/>
    <s v="BG-19562"/>
    <s v="Bryan Gomez"/>
    <x v="1"/>
    <s v="United States"/>
    <x v="97"/>
    <x v="32"/>
    <x v="3"/>
    <s v="FUR-CH-100441"/>
    <x v="0"/>
    <x v="1"/>
    <s v="Dalton Folding Chair, 4/Carton"/>
    <n v="837.90160000000003"/>
    <n v="3"/>
    <n v="279.67180000000002"/>
    <x v="5"/>
    <x v="4"/>
  </r>
  <r>
    <x v="735"/>
    <x v="356"/>
    <x v="588"/>
    <x v="2"/>
    <s v="MP-17123"/>
    <s v="Michael Powell"/>
    <x v="1"/>
    <s v="United States"/>
    <x v="88"/>
    <x v="31"/>
    <x v="2"/>
    <s v="FUR-FU-101124"/>
    <x v="0"/>
    <x v="0"/>
    <s v="Rutledge Desk Organizer Tray, Letter Size"/>
    <n v="63.904400000000003"/>
    <n v="6"/>
    <n v="16.583300000000001"/>
    <x v="6"/>
    <x v="4"/>
  </r>
  <r>
    <x v="736"/>
    <x v="560"/>
    <x v="589"/>
    <x v="3"/>
    <s v="JB-20868"/>
    <s v="Jesse Brown"/>
    <x v="2"/>
    <s v="United States"/>
    <x v="86"/>
    <x v="43"/>
    <x v="2"/>
    <s v="FUR-CH-108751"/>
    <x v="0"/>
    <x v="1"/>
    <s v="Prescott Ergonomic Chair with Lumbar Support"/>
    <n v="486.5788"/>
    <n v="4"/>
    <n v="-35.759799999999998"/>
    <x v="7"/>
    <x v="10"/>
  </r>
  <r>
    <x v="737"/>
    <x v="579"/>
    <x v="590"/>
    <x v="2"/>
    <s v="JO-19432"/>
    <s v="Joseph Ochoa"/>
    <x v="2"/>
    <s v="United States"/>
    <x v="111"/>
    <x v="8"/>
    <x v="1"/>
    <s v="FUR-BO-103595"/>
    <x v="0"/>
    <x v="2"/>
    <s v="Pinehurst 6-Shelf Industrial Bookcase"/>
    <n v="144.00380000000001"/>
    <n v="2"/>
    <n v="-38.844900000000003"/>
    <x v="3"/>
    <x v="11"/>
  </r>
  <r>
    <x v="738"/>
    <x v="580"/>
    <x v="591"/>
    <x v="3"/>
    <s v="SK-17119"/>
    <s v="Sarah King"/>
    <x v="2"/>
    <s v="United States"/>
    <x v="3"/>
    <x v="3"/>
    <x v="1"/>
    <s v="FUR-FU-104133"/>
    <x v="0"/>
    <x v="0"/>
    <s v="Preston Wood Photo Frame, Mahogany"/>
    <n v="543.86649999999997"/>
    <n v="6"/>
    <n v="-41.0777"/>
    <x v="7"/>
    <x v="8"/>
  </r>
  <r>
    <x v="739"/>
    <x v="581"/>
    <x v="592"/>
    <x v="2"/>
    <s v="AP-10452"/>
    <s v="Angelica Parker"/>
    <x v="1"/>
    <s v="United States"/>
    <x v="0"/>
    <x v="0"/>
    <x v="0"/>
    <s v="FUR-CH-107657"/>
    <x v="0"/>
    <x v="1"/>
    <s v="Hollis Stacking Chair, Rounded Back"/>
    <n v="438.97899999999998"/>
    <n v="1"/>
    <n v="46.713299999999997"/>
    <x v="1"/>
    <x v="0"/>
  </r>
  <r>
    <x v="740"/>
    <x v="582"/>
    <x v="593"/>
    <x v="2"/>
    <s v="LJ-18279"/>
    <s v="Lisa Jackson"/>
    <x v="1"/>
    <s v="United States"/>
    <x v="127"/>
    <x v="46"/>
    <x v="3"/>
    <s v="FUR-FU-104133"/>
    <x v="0"/>
    <x v="0"/>
    <s v="Preston Wood Photo Frame, Mahogany"/>
    <n v="204.71940000000001"/>
    <n v="2"/>
    <n v="111.1782"/>
    <x v="3"/>
    <x v="11"/>
  </r>
  <r>
    <x v="741"/>
    <x v="228"/>
    <x v="594"/>
    <x v="2"/>
    <s v="HW-10634"/>
    <s v="Heather Williams"/>
    <x v="2"/>
    <s v="United States"/>
    <x v="36"/>
    <x v="31"/>
    <x v="2"/>
    <s v="FUR-FU-101124"/>
    <x v="0"/>
    <x v="0"/>
    <s v="Rutledge Desk Organizer Tray, Letter Size"/>
    <n v="192.23220000000001"/>
    <n v="3"/>
    <n v="84.933099999999996"/>
    <x v="3"/>
    <x v="4"/>
  </r>
  <r>
    <x v="742"/>
    <x v="409"/>
    <x v="595"/>
    <x v="2"/>
    <s v="TJ-13111"/>
    <s v="Trevor Johnson"/>
    <x v="0"/>
    <s v="United States"/>
    <x v="51"/>
    <x v="37"/>
    <x v="0"/>
    <s v="FUR-TA-107449"/>
    <x v="0"/>
    <x v="3"/>
    <s v="Pembroke 36 x 72 Conference Table"/>
    <n v="1290.9674"/>
    <n v="6"/>
    <n v="174.06"/>
    <x v="4"/>
    <x v="8"/>
  </r>
  <r>
    <x v="743"/>
    <x v="583"/>
    <x v="182"/>
    <x v="2"/>
    <s v="JG-18005"/>
    <s v="Jessica Gross"/>
    <x v="2"/>
    <s v="United States"/>
    <x v="23"/>
    <x v="5"/>
    <x v="2"/>
    <s v="FUR-FU-106906"/>
    <x v="0"/>
    <x v="0"/>
    <s v="Cobalt LED Magnifier Lamp with Clamp Base"/>
    <n v="34.872700000000002"/>
    <n v="3"/>
    <n v="9.6691000000000003"/>
    <x v="0"/>
    <x v="3"/>
  </r>
  <r>
    <x v="744"/>
    <x v="356"/>
    <x v="596"/>
    <x v="2"/>
    <s v="AH-15147"/>
    <s v="Allison Hickman"/>
    <x v="1"/>
    <s v="United States"/>
    <x v="61"/>
    <x v="10"/>
    <x v="1"/>
    <s v="FUR-BO-100475"/>
    <x v="0"/>
    <x v="2"/>
    <s v="Overton 3-Shelf Corner Bookcase"/>
    <n v="2320.9517000000001"/>
    <n v="3"/>
    <n v="518.44219999999996"/>
    <x v="2"/>
    <x v="4"/>
  </r>
  <r>
    <x v="745"/>
    <x v="584"/>
    <x v="597"/>
    <x v="1"/>
    <s v="SD-11519"/>
    <s v="Sherry Decker"/>
    <x v="1"/>
    <s v="United States"/>
    <x v="93"/>
    <x v="9"/>
    <x v="0"/>
    <s v="FUR-FU-101341"/>
    <x v="0"/>
    <x v="0"/>
    <s v="Griswold Chairmats for Medium Pile Carpet"/>
    <n v="124.06059999999999"/>
    <n v="2"/>
    <n v="-45.381900000000002"/>
    <x v="7"/>
    <x v="8"/>
  </r>
  <r>
    <x v="745"/>
    <x v="584"/>
    <x v="597"/>
    <x v="1"/>
    <s v="SD-11519"/>
    <s v="Sherry Decker"/>
    <x v="1"/>
    <s v="United States"/>
    <x v="93"/>
    <x v="9"/>
    <x v="0"/>
    <s v="FUR-FU-104133"/>
    <x v="0"/>
    <x v="0"/>
    <s v="Preston Wood Photo Frame, Mahogany"/>
    <n v="54.1066"/>
    <n v="3"/>
    <n v="23.9862"/>
    <x v="7"/>
    <x v="8"/>
  </r>
  <r>
    <x v="746"/>
    <x v="268"/>
    <x v="598"/>
    <x v="2"/>
    <s v="AT-11584"/>
    <s v="Angelica Tucker"/>
    <x v="2"/>
    <s v="United States"/>
    <x v="44"/>
    <x v="19"/>
    <x v="2"/>
    <s v="FUR-TA-105529"/>
    <x v="0"/>
    <x v="3"/>
    <s v="Fenwick Compact Office Desk"/>
    <n v="268.41829999999999"/>
    <n v="5"/>
    <n v="73.144000000000005"/>
    <x v="4"/>
    <x v="2"/>
  </r>
  <r>
    <x v="746"/>
    <x v="268"/>
    <x v="598"/>
    <x v="2"/>
    <s v="AT-11584"/>
    <s v="Angelica Tucker"/>
    <x v="2"/>
    <s v="United States"/>
    <x v="44"/>
    <x v="19"/>
    <x v="2"/>
    <s v="FUR-CH-100441"/>
    <x v="0"/>
    <x v="1"/>
    <s v="Dalton Folding Chair, 4/Carton"/>
    <n v="159.75450000000001"/>
    <n v="3"/>
    <n v="35.848300000000002"/>
    <x v="4"/>
    <x v="2"/>
  </r>
  <r>
    <x v="747"/>
    <x v="585"/>
    <x v="52"/>
    <x v="0"/>
    <s v="NJ-14114"/>
    <s v="Nancy Jennings"/>
    <x v="1"/>
    <s v="United States"/>
    <x v="37"/>
    <x v="14"/>
    <x v="3"/>
    <s v="FUR-FU-106211"/>
    <x v="0"/>
    <x v="0"/>
    <s v="Aurora Brushed Chrome Wall Clock, 14in"/>
    <n v="312.40440000000001"/>
    <n v="3"/>
    <n v="-92.558400000000006"/>
    <x v="0"/>
    <x v="8"/>
  </r>
  <r>
    <x v="748"/>
    <x v="586"/>
    <x v="599"/>
    <x v="0"/>
    <s v="JT-19086"/>
    <s v="Jeremy Turner"/>
    <x v="2"/>
    <s v="United States"/>
    <x v="37"/>
    <x v="14"/>
    <x v="3"/>
    <s v="FUR-CH-109246"/>
    <x v="0"/>
    <x v="1"/>
    <s v="Beckett Steno Chair, Gray"/>
    <n v="1866.1750999999999"/>
    <n v="2"/>
    <n v="-101.46339999999999"/>
    <x v="5"/>
    <x v="4"/>
  </r>
  <r>
    <x v="749"/>
    <x v="587"/>
    <x v="600"/>
    <x v="1"/>
    <s v="MP-15310"/>
    <s v="Madison Poole"/>
    <x v="2"/>
    <s v="United States"/>
    <x v="1"/>
    <x v="1"/>
    <x v="0"/>
    <s v="FUR-FU-100853"/>
    <x v="0"/>
    <x v="0"/>
    <s v="Blaine Cubicle Wall Clock, Black"/>
    <n v="10.8933"/>
    <n v="2"/>
    <n v="-0.53900000000000003"/>
    <x v="1"/>
    <x v="3"/>
  </r>
  <r>
    <x v="750"/>
    <x v="573"/>
    <x v="601"/>
    <x v="2"/>
    <s v="BS-17177"/>
    <s v="Benjamin Smith"/>
    <x v="2"/>
    <s v="United States"/>
    <x v="6"/>
    <x v="6"/>
    <x v="1"/>
    <s v="FUR-CH-100444"/>
    <x v="0"/>
    <x v="1"/>
    <s v="Harborview Mesh Task Chair, Adjustable Arms"/>
    <n v="302.72059999999999"/>
    <n v="5"/>
    <n v="-98.750699999999995"/>
    <x v="7"/>
    <x v="9"/>
  </r>
  <r>
    <x v="751"/>
    <x v="337"/>
    <x v="593"/>
    <x v="3"/>
    <s v="RP-11489"/>
    <s v="Robert Potter"/>
    <x v="2"/>
    <s v="United States"/>
    <x v="130"/>
    <x v="17"/>
    <x v="3"/>
    <s v="FUR-CH-100444"/>
    <x v="0"/>
    <x v="1"/>
    <s v="Harborview Mesh Task Chair, Adjustable Arms"/>
    <n v="138.0652"/>
    <n v="3"/>
    <n v="-15.9801"/>
    <x v="7"/>
    <x v="11"/>
  </r>
  <r>
    <x v="752"/>
    <x v="588"/>
    <x v="602"/>
    <x v="1"/>
    <s v="JB-18883"/>
    <s v="Jordan Bates"/>
    <x v="2"/>
    <s v="United States"/>
    <x v="116"/>
    <x v="38"/>
    <x v="1"/>
    <s v="FUR-BO-106865"/>
    <x v="0"/>
    <x v="2"/>
    <s v="Hartwell Oak 5-Shelf Bookcase"/>
    <n v="141.0754"/>
    <n v="2"/>
    <n v="-21.266999999999999"/>
    <x v="0"/>
    <x v="2"/>
  </r>
  <r>
    <x v="753"/>
    <x v="589"/>
    <x v="603"/>
    <x v="0"/>
    <s v="JK-13116"/>
    <s v="Joseph Knight"/>
    <x v="2"/>
    <s v="United States"/>
    <x v="48"/>
    <x v="35"/>
    <x v="3"/>
    <s v="FUR-CH-100444"/>
    <x v="0"/>
    <x v="1"/>
    <s v="Harborview Mesh Task Chair, Adjustable Arms"/>
    <n v="682.23950000000002"/>
    <n v="2"/>
    <n v="133.2191"/>
    <x v="5"/>
    <x v="2"/>
  </r>
  <r>
    <x v="753"/>
    <x v="589"/>
    <x v="603"/>
    <x v="0"/>
    <s v="JK-13116"/>
    <s v="Joseph Knight"/>
    <x v="2"/>
    <s v="United States"/>
    <x v="48"/>
    <x v="35"/>
    <x v="3"/>
    <s v="FUR-FU-100853"/>
    <x v="0"/>
    <x v="0"/>
    <s v="Blaine Cubicle Wall Clock, Black"/>
    <n v="61.452399999999997"/>
    <n v="4"/>
    <n v="49.6661"/>
    <x v="5"/>
    <x v="2"/>
  </r>
  <r>
    <x v="754"/>
    <x v="590"/>
    <x v="60"/>
    <x v="2"/>
    <s v="BS-17177"/>
    <s v="Benjamin Smith"/>
    <x v="2"/>
    <s v="United States"/>
    <x v="54"/>
    <x v="1"/>
    <x v="0"/>
    <s v="FUR-TA-107564"/>
    <x v="0"/>
    <x v="3"/>
    <s v="Bellwood Slim Training Table, Light Gray"/>
    <n v="473.92380000000003"/>
    <n v="2"/>
    <n v="-36.067999999999998"/>
    <x v="5"/>
    <x v="5"/>
  </r>
  <r>
    <x v="755"/>
    <x v="591"/>
    <x v="604"/>
    <x v="2"/>
    <s v="ER-15753"/>
    <s v="Emma Reed"/>
    <x v="2"/>
    <s v="United States"/>
    <x v="0"/>
    <x v="0"/>
    <x v="0"/>
    <s v="FUR-CH-102091"/>
    <x v="0"/>
    <x v="1"/>
    <s v="Vantage Swivel Task Chair, Blue"/>
    <n v="508.87599999999998"/>
    <n v="4"/>
    <n v="23.508700000000001"/>
    <x v="6"/>
    <x v="10"/>
  </r>
  <r>
    <x v="755"/>
    <x v="591"/>
    <x v="604"/>
    <x v="2"/>
    <s v="ER-15753"/>
    <s v="Emma Reed"/>
    <x v="2"/>
    <s v="United States"/>
    <x v="0"/>
    <x v="0"/>
    <x v="0"/>
    <s v="FUR-BO-108947"/>
    <x v="0"/>
    <x v="2"/>
    <s v="Concord Ladder Bookcase, Walnut"/>
    <n v="435.56529999999998"/>
    <n v="6"/>
    <n v="95.012299999999996"/>
    <x v="6"/>
    <x v="10"/>
  </r>
  <r>
    <x v="756"/>
    <x v="526"/>
    <x v="33"/>
    <x v="2"/>
    <s v="MA-10096"/>
    <s v="Michael Abbott"/>
    <x v="1"/>
    <s v="United States"/>
    <x v="13"/>
    <x v="14"/>
    <x v="3"/>
    <s v="FUR-FU-104558"/>
    <x v="0"/>
    <x v="0"/>
    <s v="Lambert Swing Arm Desk Lamp"/>
    <n v="44.544800000000002"/>
    <n v="4"/>
    <n v="11.696400000000001"/>
    <x v="6"/>
    <x v="2"/>
  </r>
  <r>
    <x v="756"/>
    <x v="526"/>
    <x v="33"/>
    <x v="2"/>
    <s v="MA-10096"/>
    <s v="Michael Abbott"/>
    <x v="1"/>
    <s v="United States"/>
    <x v="13"/>
    <x v="14"/>
    <x v="3"/>
    <s v="FUR-FU-106906"/>
    <x v="0"/>
    <x v="0"/>
    <s v="Cobalt LED Magnifier Lamp with Clamp Base"/>
    <n v="23.488199999999999"/>
    <n v="5"/>
    <n v="11.4473"/>
    <x v="6"/>
    <x v="2"/>
  </r>
  <r>
    <x v="757"/>
    <x v="592"/>
    <x v="605"/>
    <x v="2"/>
    <s v="AB-11200"/>
    <s v="Adam Burgess"/>
    <x v="2"/>
    <s v="United States"/>
    <x v="98"/>
    <x v="46"/>
    <x v="3"/>
    <s v="FUR-FU-105733"/>
    <x v="0"/>
    <x v="0"/>
    <s v="Sable Halogen Replacement Bulb, 2-Pack"/>
    <n v="48.520899999999997"/>
    <n v="3"/>
    <n v="3.9245000000000001"/>
    <x v="0"/>
    <x v="7"/>
  </r>
  <r>
    <x v="758"/>
    <x v="593"/>
    <x v="606"/>
    <x v="2"/>
    <s v="EG-14386"/>
    <s v="Evelyn Galvan"/>
    <x v="1"/>
    <s v="United States"/>
    <x v="121"/>
    <x v="3"/>
    <x v="1"/>
    <s v="FUR-CH-106455"/>
    <x v="0"/>
    <x v="1"/>
    <s v="Nolan Leather Highback Chair, Pneumatic Adjustment"/>
    <n v="1726.5187000000001"/>
    <n v="3"/>
    <n v="629.31330000000003"/>
    <x v="6"/>
    <x v="7"/>
  </r>
  <r>
    <x v="759"/>
    <x v="30"/>
    <x v="30"/>
    <x v="2"/>
    <s v="RA-14803"/>
    <s v="Richard Aguirre"/>
    <x v="1"/>
    <s v="United States"/>
    <x v="14"/>
    <x v="15"/>
    <x v="1"/>
    <s v="FUR-CH-109697"/>
    <x v="0"/>
    <x v="1"/>
    <s v="Rowan Mid-Back Tilter Chair"/>
    <n v="431.07319999999999"/>
    <n v="6"/>
    <n v="45.520099999999999"/>
    <x v="7"/>
    <x v="4"/>
  </r>
  <r>
    <x v="760"/>
    <x v="594"/>
    <x v="607"/>
    <x v="2"/>
    <s v="NR-11824"/>
    <s v="Noah Rhodes"/>
    <x v="0"/>
    <s v="United States"/>
    <x v="47"/>
    <x v="25"/>
    <x v="3"/>
    <s v="FUR-CH-100444"/>
    <x v="0"/>
    <x v="1"/>
    <s v="Harborview Mesh Task Chair, Adjustable Arms"/>
    <n v="1726.5459000000001"/>
    <n v="2"/>
    <n v="1209.5965000000001"/>
    <x v="4"/>
    <x v="6"/>
  </r>
  <r>
    <x v="761"/>
    <x v="35"/>
    <x v="35"/>
    <x v="3"/>
    <s v="ZM-15378"/>
    <s v="Zachary Mitchell"/>
    <x v="2"/>
    <s v="United States"/>
    <x v="62"/>
    <x v="25"/>
    <x v="3"/>
    <s v="FUR-BO-107999"/>
    <x v="0"/>
    <x v="2"/>
    <s v="Braxton Barrister Bookcase, Mahogany"/>
    <n v="525.99040000000002"/>
    <n v="5"/>
    <n v="63.842799999999997"/>
    <x v="7"/>
    <x v="5"/>
  </r>
  <r>
    <x v="762"/>
    <x v="346"/>
    <x v="362"/>
    <x v="2"/>
    <s v="SS-11169"/>
    <s v="Shirley Suarez"/>
    <x v="0"/>
    <s v="United States"/>
    <x v="49"/>
    <x v="36"/>
    <x v="0"/>
    <s v="FUR-CH-100444"/>
    <x v="0"/>
    <x v="1"/>
    <s v="Harborview Mesh Task Chair, Adjustable Arms"/>
    <n v="822.99490000000003"/>
    <n v="2"/>
    <n v="379.26139999999998"/>
    <x v="1"/>
    <x v="0"/>
  </r>
  <r>
    <x v="763"/>
    <x v="595"/>
    <x v="365"/>
    <x v="1"/>
    <s v="JD-14082"/>
    <s v="Janet Kane DVM"/>
    <x v="0"/>
    <s v="United States"/>
    <x v="3"/>
    <x v="3"/>
    <x v="1"/>
    <s v="FUR-CH-101375"/>
    <x v="0"/>
    <x v="1"/>
    <s v="Sutton Push-Button Manager's Chair, Indigo"/>
    <n v="227.3723"/>
    <n v="4"/>
    <n v="22.881799999999998"/>
    <x v="1"/>
    <x v="4"/>
  </r>
  <r>
    <x v="764"/>
    <x v="596"/>
    <x v="221"/>
    <x v="2"/>
    <s v="DJ-19064"/>
    <s v="Denise Jones"/>
    <x v="1"/>
    <s v="United States"/>
    <x v="35"/>
    <x v="30"/>
    <x v="0"/>
    <s v="FUR-CH-100441"/>
    <x v="0"/>
    <x v="1"/>
    <s v="Dalton Folding Chair, 4/Carton"/>
    <n v="434.24520000000001"/>
    <n v="1"/>
    <n v="128.18360000000001"/>
    <x v="6"/>
    <x v="9"/>
  </r>
  <r>
    <x v="765"/>
    <x v="55"/>
    <x v="464"/>
    <x v="2"/>
    <s v="DJ-14010"/>
    <s v="Denise Jacobs"/>
    <x v="2"/>
    <s v="United States"/>
    <x v="49"/>
    <x v="36"/>
    <x v="0"/>
    <s v="FUR-FU-100317"/>
    <x v="0"/>
    <x v="0"/>
    <s v="Nomad Floor Lamp, Telescoping Adjustable"/>
    <n v="44.631999999999998"/>
    <n v="4"/>
    <n v="-7.3543000000000003"/>
    <x v="6"/>
    <x v="3"/>
  </r>
  <r>
    <x v="766"/>
    <x v="584"/>
    <x v="608"/>
    <x v="2"/>
    <s v="DJ-12621"/>
    <s v="David Douglas Jr."/>
    <x v="1"/>
    <s v="United States"/>
    <x v="117"/>
    <x v="44"/>
    <x v="0"/>
    <s v="FUR-FU-100317"/>
    <x v="0"/>
    <x v="0"/>
    <s v="Nomad Floor Lamp, Telescoping Adjustable"/>
    <n v="37.299900000000001"/>
    <n v="3"/>
    <n v="2.3405"/>
    <x v="6"/>
    <x v="8"/>
  </r>
  <r>
    <x v="767"/>
    <x v="597"/>
    <x v="609"/>
    <x v="2"/>
    <s v="DD-18518"/>
    <s v="David Davis"/>
    <x v="1"/>
    <s v="United States"/>
    <x v="60"/>
    <x v="40"/>
    <x v="0"/>
    <s v="FUR-FU-107705"/>
    <x v="0"/>
    <x v="0"/>
    <s v="Hawthorne Desk Accessory Set, Oak"/>
    <n v="10.6808"/>
    <n v="1"/>
    <n v="-7.2061999999999999"/>
    <x v="7"/>
    <x v="9"/>
  </r>
  <r>
    <x v="768"/>
    <x v="598"/>
    <x v="610"/>
    <x v="1"/>
    <s v="RP-11489"/>
    <s v="Robert Potter"/>
    <x v="0"/>
    <s v="United States"/>
    <x v="38"/>
    <x v="32"/>
    <x v="3"/>
    <s v="FUR-CH-109697"/>
    <x v="0"/>
    <x v="1"/>
    <s v="Rowan Mid-Back Tilter Chair"/>
    <n v="826.66359999999997"/>
    <n v="3"/>
    <n v="300.83929999999998"/>
    <x v="7"/>
    <x v="5"/>
  </r>
  <r>
    <x v="769"/>
    <x v="446"/>
    <x v="611"/>
    <x v="2"/>
    <s v="AE-18835"/>
    <s v="Anthony Everett"/>
    <x v="0"/>
    <s v="United States"/>
    <x v="68"/>
    <x v="33"/>
    <x v="3"/>
    <s v="FUR-BO-103595"/>
    <x v="0"/>
    <x v="2"/>
    <s v="Pinehurst 6-Shelf Industrial Bookcase"/>
    <n v="261.2715"/>
    <n v="3"/>
    <n v="-137.71539999999999"/>
    <x v="1"/>
    <x v="8"/>
  </r>
  <r>
    <x v="770"/>
    <x v="599"/>
    <x v="430"/>
    <x v="2"/>
    <s v="EG-14386"/>
    <s v="Evelyn Galvan"/>
    <x v="1"/>
    <s v="United States"/>
    <x v="21"/>
    <x v="18"/>
    <x v="3"/>
    <s v="FUR-CH-105507"/>
    <x v="0"/>
    <x v="1"/>
    <s v="Kingsley Mesh-Back Task Chair"/>
    <n v="1639.5344"/>
    <n v="7"/>
    <n v="-36.269300000000001"/>
    <x v="4"/>
    <x v="5"/>
  </r>
  <r>
    <x v="771"/>
    <x v="465"/>
    <x v="612"/>
    <x v="2"/>
    <s v="DF-10188"/>
    <s v="Devon Flores"/>
    <x v="1"/>
    <s v="United States"/>
    <x v="103"/>
    <x v="43"/>
    <x v="2"/>
    <s v="FUR-FU-106211"/>
    <x v="0"/>
    <x v="0"/>
    <s v="Aurora Brushed Chrome Wall Clock, 14in"/>
    <n v="90.183099999999996"/>
    <n v="6"/>
    <n v="-31.979900000000001"/>
    <x v="4"/>
    <x v="1"/>
  </r>
  <r>
    <x v="772"/>
    <x v="79"/>
    <x v="613"/>
    <x v="2"/>
    <s v="JS-14371"/>
    <s v="Jamie Smith"/>
    <x v="2"/>
    <s v="United States"/>
    <x v="12"/>
    <x v="13"/>
    <x v="3"/>
    <s v="FUR-TA-105363"/>
    <x v="0"/>
    <x v="3"/>
    <s v="Ashcombe Rectangular Table Top"/>
    <n v="374.33940000000001"/>
    <n v="3"/>
    <n v="177.96860000000001"/>
    <x v="7"/>
    <x v="0"/>
  </r>
  <r>
    <x v="773"/>
    <x v="438"/>
    <x v="439"/>
    <x v="2"/>
    <s v="TB-15279"/>
    <s v="Tina Ballard"/>
    <x v="2"/>
    <s v="United States"/>
    <x v="85"/>
    <x v="44"/>
    <x v="0"/>
    <s v="FUR-FU-106906"/>
    <x v="0"/>
    <x v="0"/>
    <s v="Cobalt LED Magnifier Lamp with Clamp Base"/>
    <n v="125.0731"/>
    <n v="3"/>
    <n v="-35.112000000000002"/>
    <x v="0"/>
    <x v="5"/>
  </r>
  <r>
    <x v="774"/>
    <x v="600"/>
    <x v="614"/>
    <x v="1"/>
    <s v="RR-12881"/>
    <s v="Robert Reese"/>
    <x v="2"/>
    <s v="United States"/>
    <x v="86"/>
    <x v="43"/>
    <x v="2"/>
    <s v="FUR-FU-100317"/>
    <x v="0"/>
    <x v="0"/>
    <s v="Nomad Floor Lamp, Telescoping Adjustable"/>
    <n v="33.193300000000001"/>
    <n v="4"/>
    <n v="11.480700000000001"/>
    <x v="0"/>
    <x v="1"/>
  </r>
  <r>
    <x v="775"/>
    <x v="601"/>
    <x v="150"/>
    <x v="2"/>
    <s v="ML-11291"/>
    <s v="Michael Lewis"/>
    <x v="1"/>
    <s v="United States"/>
    <x v="22"/>
    <x v="22"/>
    <x v="2"/>
    <s v="FUR-FU-107705"/>
    <x v="0"/>
    <x v="0"/>
    <s v="Hawthorne Desk Accessory Set, Oak"/>
    <n v="74.3262"/>
    <n v="3"/>
    <n v="11.3102"/>
    <x v="0"/>
    <x v="5"/>
  </r>
  <r>
    <x v="776"/>
    <x v="602"/>
    <x v="428"/>
    <x v="2"/>
    <s v="LA-17350"/>
    <s v="Lisa Allen"/>
    <x v="2"/>
    <s v="United States"/>
    <x v="119"/>
    <x v="41"/>
    <x v="3"/>
    <s v="FUR-CH-105507"/>
    <x v="0"/>
    <x v="1"/>
    <s v="Kingsley Mesh-Back Task Chair"/>
    <n v="152.30199999999999"/>
    <n v="1"/>
    <n v="-48.919699999999999"/>
    <x v="3"/>
    <x v="5"/>
  </r>
  <r>
    <x v="777"/>
    <x v="603"/>
    <x v="615"/>
    <x v="2"/>
    <s v="CB-19980"/>
    <s v="Christopher Bass"/>
    <x v="0"/>
    <s v="United States"/>
    <x v="29"/>
    <x v="13"/>
    <x v="3"/>
    <s v="FUR-CH-108751"/>
    <x v="0"/>
    <x v="1"/>
    <s v="Prescott Ergonomic Chair with Lumbar Support"/>
    <n v="224.64019999999999"/>
    <n v="4"/>
    <n v="11.7371"/>
    <x v="4"/>
    <x v="8"/>
  </r>
  <r>
    <x v="778"/>
    <x v="604"/>
    <x v="616"/>
    <x v="0"/>
    <s v="AS-18785"/>
    <s v="Allison Spencer"/>
    <x v="2"/>
    <s v="United States"/>
    <x v="5"/>
    <x v="5"/>
    <x v="2"/>
    <s v="FUR-FU-100853"/>
    <x v="0"/>
    <x v="0"/>
    <s v="Blaine Cubicle Wall Clock, Black"/>
    <n v="31.5794"/>
    <n v="2"/>
    <n v="14.8414"/>
    <x v="7"/>
    <x v="0"/>
  </r>
  <r>
    <x v="779"/>
    <x v="583"/>
    <x v="617"/>
    <x v="1"/>
    <s v="MF-20647"/>
    <s v="Matthew Foster"/>
    <x v="1"/>
    <s v="United States"/>
    <x v="43"/>
    <x v="7"/>
    <x v="2"/>
    <s v="FUR-CH-106455"/>
    <x v="0"/>
    <x v="1"/>
    <s v="Nolan Leather Highback Chair, Pneumatic Adjustment"/>
    <n v="404.28809999999999"/>
    <n v="9"/>
    <n v="9.5591000000000008"/>
    <x v="7"/>
    <x v="3"/>
  </r>
  <r>
    <x v="780"/>
    <x v="219"/>
    <x v="618"/>
    <x v="3"/>
    <s v="DD-19641"/>
    <s v="David Davis"/>
    <x v="0"/>
    <s v="United States"/>
    <x v="79"/>
    <x v="16"/>
    <x v="0"/>
    <s v="FUR-FU-105733"/>
    <x v="0"/>
    <x v="0"/>
    <s v="Sable Halogen Replacement Bulb, 2-Pack"/>
    <n v="274.16699999999997"/>
    <n v="3"/>
    <n v="63.307699999999997"/>
    <x v="7"/>
    <x v="9"/>
  </r>
  <r>
    <x v="781"/>
    <x v="0"/>
    <x v="619"/>
    <x v="0"/>
    <s v="AM-17041"/>
    <s v="Aaron Miller"/>
    <x v="1"/>
    <s v="United States"/>
    <x v="45"/>
    <x v="34"/>
    <x v="1"/>
    <s v="FUR-FU-103673"/>
    <x v="0"/>
    <x v="0"/>
    <s v="Corcoran Document Holder, Wood"/>
    <n v="21.2424"/>
    <n v="5"/>
    <n v="4.8544"/>
    <x v="5"/>
    <x v="0"/>
  </r>
  <r>
    <x v="782"/>
    <x v="261"/>
    <x v="71"/>
    <x v="2"/>
    <s v="KS-16932"/>
    <s v="Katherine Salas"/>
    <x v="0"/>
    <s v="United States"/>
    <x v="37"/>
    <x v="14"/>
    <x v="3"/>
    <s v="FUR-FU-100853"/>
    <x v="0"/>
    <x v="0"/>
    <s v="Blaine Cubicle Wall Clock, Black"/>
    <n v="28.002700000000001"/>
    <n v="1"/>
    <n v="-0.36799999999999999"/>
    <x v="7"/>
    <x v="1"/>
  </r>
  <r>
    <x v="783"/>
    <x v="605"/>
    <x v="620"/>
    <x v="2"/>
    <s v="AW-14422"/>
    <s v="Aaron Wise"/>
    <x v="2"/>
    <s v="United States"/>
    <x v="59"/>
    <x v="39"/>
    <x v="0"/>
    <s v="FUR-BO-106371"/>
    <x v="0"/>
    <x v="2"/>
    <s v="Fairmont Ladder Shelf, Black Metal Frame"/>
    <n v="832.02470000000005"/>
    <n v="2"/>
    <n v="-308.1925"/>
    <x v="4"/>
    <x v="9"/>
  </r>
  <r>
    <x v="784"/>
    <x v="321"/>
    <x v="321"/>
    <x v="1"/>
    <s v="JB-14065"/>
    <s v="Jasmine Beltran"/>
    <x v="0"/>
    <s v="United States"/>
    <x v="36"/>
    <x v="31"/>
    <x v="2"/>
    <s v="FUR-CH-102091"/>
    <x v="0"/>
    <x v="1"/>
    <s v="Vantage Swivel Task Chair, Blue"/>
    <n v="188.79750000000001"/>
    <n v="4"/>
    <n v="-52.290199999999999"/>
    <x v="1"/>
    <x v="0"/>
  </r>
  <r>
    <x v="785"/>
    <x v="606"/>
    <x v="533"/>
    <x v="2"/>
    <s v="AC-21401"/>
    <s v="Amber Cooper"/>
    <x v="0"/>
    <s v="United States"/>
    <x v="34"/>
    <x v="29"/>
    <x v="0"/>
    <s v="FUR-FU-100853"/>
    <x v="0"/>
    <x v="0"/>
    <s v="Blaine Cubicle Wall Clock, Black"/>
    <n v="6.9046000000000003"/>
    <n v="1"/>
    <n v="0.94750000000000001"/>
    <x v="4"/>
    <x v="6"/>
  </r>
  <r>
    <x v="786"/>
    <x v="607"/>
    <x v="621"/>
    <x v="0"/>
    <s v="RB-21395"/>
    <s v="Renee Browning"/>
    <x v="2"/>
    <s v="United States"/>
    <x v="68"/>
    <x v="33"/>
    <x v="3"/>
    <s v="FUR-FU-101341"/>
    <x v="0"/>
    <x v="0"/>
    <s v="Griswold Chairmats for Medium Pile Carpet"/>
    <n v="143.23439999999999"/>
    <n v="2"/>
    <n v="6.9330999999999996"/>
    <x v="3"/>
    <x v="3"/>
  </r>
  <r>
    <x v="787"/>
    <x v="408"/>
    <x v="167"/>
    <x v="1"/>
    <s v="DM-19939"/>
    <s v="Denise Martinez"/>
    <x v="2"/>
    <s v="United States"/>
    <x v="47"/>
    <x v="25"/>
    <x v="3"/>
    <s v="FUR-TA-105355"/>
    <x v="0"/>
    <x v="3"/>
    <s v="Wexford Racetrack Conference Table"/>
    <n v="417.17320000000001"/>
    <n v="3"/>
    <n v="-166.4513"/>
    <x v="1"/>
    <x v="5"/>
  </r>
  <r>
    <x v="788"/>
    <x v="608"/>
    <x v="622"/>
    <x v="2"/>
    <s v="SW-19292"/>
    <s v="Shannon Walker"/>
    <x v="2"/>
    <s v="United States"/>
    <x v="90"/>
    <x v="45"/>
    <x v="3"/>
    <s v="FUR-CH-109246"/>
    <x v="0"/>
    <x v="1"/>
    <s v="Beckett Steno Chair, Gray"/>
    <n v="243.26410000000001"/>
    <n v="2"/>
    <n v="38.662100000000002"/>
    <x v="4"/>
    <x v="2"/>
  </r>
  <r>
    <x v="789"/>
    <x v="609"/>
    <x v="623"/>
    <x v="2"/>
    <s v="SG-21489"/>
    <s v="Samantha Gardner"/>
    <x v="2"/>
    <s v="United States"/>
    <x v="33"/>
    <x v="23"/>
    <x v="2"/>
    <s v="FUR-CH-109246"/>
    <x v="0"/>
    <x v="1"/>
    <s v="Beckett Steno Chair, Gray"/>
    <n v="431.94420000000002"/>
    <n v="6"/>
    <n v="11.3222"/>
    <x v="6"/>
    <x v="10"/>
  </r>
  <r>
    <x v="790"/>
    <x v="610"/>
    <x v="624"/>
    <x v="2"/>
    <s v="DW-21543"/>
    <s v="Donald Wright"/>
    <x v="0"/>
    <s v="United States"/>
    <x v="8"/>
    <x v="8"/>
    <x v="1"/>
    <s v="FUR-FU-103673"/>
    <x v="0"/>
    <x v="0"/>
    <s v="Corcoran Document Holder, Wood"/>
    <n v="66.461299999999994"/>
    <n v="7"/>
    <n v="10.805999999999999"/>
    <x v="5"/>
    <x v="1"/>
  </r>
  <r>
    <x v="790"/>
    <x v="610"/>
    <x v="624"/>
    <x v="2"/>
    <s v="DW-21543"/>
    <s v="Donald Wright"/>
    <x v="0"/>
    <s v="United States"/>
    <x v="8"/>
    <x v="8"/>
    <x v="1"/>
    <s v="FUR-TA-100823"/>
    <x v="0"/>
    <x v="3"/>
    <s v="Redstone Wood Tables, Set of 2"/>
    <n v="412.51389999999998"/>
    <n v="4"/>
    <n v="-155.00149999999999"/>
    <x v="5"/>
    <x v="1"/>
  </r>
  <r>
    <x v="791"/>
    <x v="611"/>
    <x v="287"/>
    <x v="2"/>
    <s v="DB-20617"/>
    <s v="Daniel Baker"/>
    <x v="2"/>
    <s v="United States"/>
    <x v="111"/>
    <x v="8"/>
    <x v="1"/>
    <s v="FUR-TA-105355"/>
    <x v="0"/>
    <x v="3"/>
    <s v="Wexford Racetrack Conference Table"/>
    <n v="145.71899999999999"/>
    <n v="5"/>
    <n v="-123.1784"/>
    <x v="6"/>
    <x v="3"/>
  </r>
  <r>
    <x v="791"/>
    <x v="611"/>
    <x v="287"/>
    <x v="2"/>
    <s v="DB-20617"/>
    <s v="Daniel Baker"/>
    <x v="2"/>
    <s v="United States"/>
    <x v="111"/>
    <x v="8"/>
    <x v="1"/>
    <s v="FUR-FU-106906"/>
    <x v="0"/>
    <x v="0"/>
    <s v="Cobalt LED Magnifier Lamp with Clamp Base"/>
    <n v="19.451899999999998"/>
    <n v="4"/>
    <n v="11.1996"/>
    <x v="6"/>
    <x v="3"/>
  </r>
  <r>
    <x v="792"/>
    <x v="612"/>
    <x v="625"/>
    <x v="2"/>
    <s v="RM-12143"/>
    <s v="Rhonda Martin"/>
    <x v="2"/>
    <s v="United States"/>
    <x v="118"/>
    <x v="38"/>
    <x v="1"/>
    <s v="FUR-TA-107564"/>
    <x v="0"/>
    <x v="3"/>
    <s v="Bellwood Slim Training Table, Light Gray"/>
    <n v="476.77620000000002"/>
    <n v="5"/>
    <n v="169.8177"/>
    <x v="2"/>
    <x v="6"/>
  </r>
  <r>
    <x v="793"/>
    <x v="550"/>
    <x v="338"/>
    <x v="0"/>
    <s v="NP-19260"/>
    <s v="Nicole Parrish"/>
    <x v="0"/>
    <s v="United States"/>
    <x v="33"/>
    <x v="23"/>
    <x v="2"/>
    <s v="FUR-FU-105733"/>
    <x v="0"/>
    <x v="0"/>
    <s v="Sable Halogen Replacement Bulb, 2-Pack"/>
    <n v="20.2469"/>
    <n v="3"/>
    <n v="-0.18329999999999999"/>
    <x v="3"/>
    <x v="4"/>
  </r>
  <r>
    <x v="794"/>
    <x v="613"/>
    <x v="403"/>
    <x v="1"/>
    <s v="CM-19489"/>
    <s v="Colton Martinez"/>
    <x v="1"/>
    <s v="United States"/>
    <x v="77"/>
    <x v="42"/>
    <x v="1"/>
    <s v="FUR-CH-100444"/>
    <x v="0"/>
    <x v="1"/>
    <s v="Harborview Mesh Task Chair, Adjustable Arms"/>
    <n v="341.48250000000002"/>
    <n v="3"/>
    <n v="65.656700000000001"/>
    <x v="7"/>
    <x v="9"/>
  </r>
  <r>
    <x v="795"/>
    <x v="614"/>
    <x v="24"/>
    <x v="0"/>
    <s v="DE-13114"/>
    <s v="Dr. Michael Evans"/>
    <x v="1"/>
    <s v="United States"/>
    <x v="122"/>
    <x v="43"/>
    <x v="2"/>
    <s v="FUR-CH-107657"/>
    <x v="0"/>
    <x v="1"/>
    <s v="Hollis Stacking Chair, Rounded Back"/>
    <n v="263.74059999999997"/>
    <n v="1"/>
    <n v="50.094000000000001"/>
    <x v="3"/>
    <x v="6"/>
  </r>
  <r>
    <x v="796"/>
    <x v="615"/>
    <x v="411"/>
    <x v="3"/>
    <s v="MS-17461"/>
    <s v="Matthew Schwartz"/>
    <x v="2"/>
    <s v="United States"/>
    <x v="105"/>
    <x v="10"/>
    <x v="1"/>
    <s v="FUR-BO-107999"/>
    <x v="0"/>
    <x v="2"/>
    <s v="Braxton Barrister Bookcase, Mahogany"/>
    <n v="182.25620000000001"/>
    <n v="6"/>
    <n v="-38.449399999999997"/>
    <x v="7"/>
    <x v="8"/>
  </r>
  <r>
    <x v="797"/>
    <x v="616"/>
    <x v="626"/>
    <x v="0"/>
    <s v="RS-10035"/>
    <s v="Richard Smith"/>
    <x v="2"/>
    <s v="United States"/>
    <x v="95"/>
    <x v="33"/>
    <x v="3"/>
    <s v="FUR-CH-109697"/>
    <x v="0"/>
    <x v="1"/>
    <s v="Rowan Mid-Back Tilter Chair"/>
    <n v="135.8245"/>
    <n v="4"/>
    <n v="21.2331"/>
    <x v="5"/>
    <x v="5"/>
  </r>
  <r>
    <x v="798"/>
    <x v="617"/>
    <x v="627"/>
    <x v="2"/>
    <s v="WH-18179"/>
    <s v="William Herrera"/>
    <x v="0"/>
    <s v="United States"/>
    <x v="99"/>
    <x v="20"/>
    <x v="2"/>
    <s v="FUR-CH-100444"/>
    <x v="0"/>
    <x v="1"/>
    <s v="Harborview Mesh Task Chair, Adjustable Arms"/>
    <n v="771.69050000000004"/>
    <n v="1"/>
    <n v="-168.3485"/>
    <x v="1"/>
    <x v="8"/>
  </r>
  <r>
    <x v="799"/>
    <x v="618"/>
    <x v="315"/>
    <x v="2"/>
    <s v="AH-17251"/>
    <s v="Alexis Harris"/>
    <x v="2"/>
    <s v="United States"/>
    <x v="119"/>
    <x v="41"/>
    <x v="3"/>
    <s v="FUR-TA-105363"/>
    <x v="0"/>
    <x v="3"/>
    <s v="Ashcombe Rectangular Table Top"/>
    <n v="216.2627"/>
    <n v="2"/>
    <n v="-51.179099999999998"/>
    <x v="7"/>
    <x v="4"/>
  </r>
  <r>
    <x v="800"/>
    <x v="619"/>
    <x v="628"/>
    <x v="1"/>
    <s v="JM-15198"/>
    <s v="Jennifer Miranda"/>
    <x v="2"/>
    <s v="United States"/>
    <x v="16"/>
    <x v="17"/>
    <x v="3"/>
    <s v="FUR-TA-106211"/>
    <x v="0"/>
    <x v="3"/>
    <s v="Grantham Half-Moon Meeting Table"/>
    <n v="1213.252"/>
    <n v="3"/>
    <n v="-243.43170000000001"/>
    <x v="7"/>
    <x v="3"/>
  </r>
  <r>
    <x v="801"/>
    <x v="375"/>
    <x v="629"/>
    <x v="1"/>
    <s v="DM-12938"/>
    <s v="Dawn Mullins"/>
    <x v="0"/>
    <s v="United States"/>
    <x v="50"/>
    <x v="21"/>
    <x v="1"/>
    <s v="FUR-FU-106211"/>
    <x v="0"/>
    <x v="0"/>
    <s v="Aurora Brushed Chrome Wall Clock, 14in"/>
    <n v="153.52869999999999"/>
    <n v="1"/>
    <n v="-23.575600000000001"/>
    <x v="1"/>
    <x v="0"/>
  </r>
  <r>
    <x v="802"/>
    <x v="620"/>
    <x v="630"/>
    <x v="0"/>
    <s v="VR-14349"/>
    <s v="Vincent Reynolds"/>
    <x v="2"/>
    <s v="United States"/>
    <x v="45"/>
    <x v="34"/>
    <x v="1"/>
    <s v="FUR-TA-107022"/>
    <x v="0"/>
    <x v="3"/>
    <s v="Alden Rectangular Conference Table"/>
    <n v="1450.874"/>
    <n v="2"/>
    <n v="138.47190000000001"/>
    <x v="7"/>
    <x v="5"/>
  </r>
  <r>
    <x v="802"/>
    <x v="620"/>
    <x v="630"/>
    <x v="0"/>
    <s v="VR-14349"/>
    <s v="Vincent Reynolds"/>
    <x v="2"/>
    <s v="United States"/>
    <x v="45"/>
    <x v="34"/>
    <x v="1"/>
    <s v="FUR-BO-107999"/>
    <x v="0"/>
    <x v="2"/>
    <s v="Braxton Barrister Bookcase, Mahogany"/>
    <n v="186.71619999999999"/>
    <n v="4"/>
    <n v="-25.195699999999999"/>
    <x v="7"/>
    <x v="5"/>
  </r>
  <r>
    <x v="803"/>
    <x v="158"/>
    <x v="322"/>
    <x v="2"/>
    <s v="NA-18320"/>
    <s v="Nichole Alvarez"/>
    <x v="2"/>
    <s v="United States"/>
    <x v="22"/>
    <x v="22"/>
    <x v="2"/>
    <s v="FUR-FU-105733"/>
    <x v="0"/>
    <x v="0"/>
    <s v="Sable Halogen Replacement Bulb, 2-Pack"/>
    <n v="126.1692"/>
    <n v="2"/>
    <n v="61.333199999999998"/>
    <x v="2"/>
    <x v="4"/>
  </r>
  <r>
    <x v="803"/>
    <x v="158"/>
    <x v="322"/>
    <x v="2"/>
    <s v="NA-18320"/>
    <s v="Nichole Alvarez"/>
    <x v="2"/>
    <s v="United States"/>
    <x v="22"/>
    <x v="22"/>
    <x v="2"/>
    <s v="FUR-TA-105355"/>
    <x v="0"/>
    <x v="3"/>
    <s v="Wexford Racetrack Conference Table"/>
    <n v="153.75450000000001"/>
    <n v="4"/>
    <n v="-41.252099999999999"/>
    <x v="2"/>
    <x v="4"/>
  </r>
  <r>
    <x v="804"/>
    <x v="621"/>
    <x v="151"/>
    <x v="2"/>
    <s v="JC-14333"/>
    <s v="Julian Conner"/>
    <x v="0"/>
    <s v="United States"/>
    <x v="85"/>
    <x v="44"/>
    <x v="0"/>
    <s v="FUR-FU-100317"/>
    <x v="0"/>
    <x v="0"/>
    <s v="Nomad Floor Lamp, Telescoping Adjustable"/>
    <n v="38.9373"/>
    <n v="2"/>
    <n v="4.9980000000000002"/>
    <x v="1"/>
    <x v="1"/>
  </r>
  <r>
    <x v="805"/>
    <x v="411"/>
    <x v="388"/>
    <x v="2"/>
    <s v="PL-13143"/>
    <s v="Paula Lane"/>
    <x v="2"/>
    <s v="United States"/>
    <x v="105"/>
    <x v="10"/>
    <x v="1"/>
    <s v="FUR-FU-106906"/>
    <x v="0"/>
    <x v="0"/>
    <s v="Cobalt LED Magnifier Lamp with Clamp Base"/>
    <n v="74.149699999999996"/>
    <n v="7"/>
    <n v="44.903399999999998"/>
    <x v="2"/>
    <x v="3"/>
  </r>
  <r>
    <x v="806"/>
    <x v="301"/>
    <x v="631"/>
    <x v="0"/>
    <s v="TB-15279"/>
    <s v="Tina Ballard"/>
    <x v="2"/>
    <s v="United States"/>
    <x v="64"/>
    <x v="29"/>
    <x v="0"/>
    <s v="FUR-FU-104133"/>
    <x v="0"/>
    <x v="0"/>
    <s v="Preston Wood Photo Frame, Mahogany"/>
    <n v="748.59050000000002"/>
    <n v="2"/>
    <n v="9.9419000000000004"/>
    <x v="1"/>
    <x v="5"/>
  </r>
  <r>
    <x v="807"/>
    <x v="14"/>
    <x v="171"/>
    <x v="2"/>
    <s v="JK-20882"/>
    <s v="Jessica Khan"/>
    <x v="0"/>
    <s v="United States"/>
    <x v="46"/>
    <x v="28"/>
    <x v="2"/>
    <s v="FUR-FU-105733"/>
    <x v="0"/>
    <x v="0"/>
    <s v="Sable Halogen Replacement Bulb, 2-Pack"/>
    <n v="15.52"/>
    <n v="1"/>
    <n v="3.9788999999999999"/>
    <x v="1"/>
    <x v="10"/>
  </r>
  <r>
    <x v="808"/>
    <x v="68"/>
    <x v="632"/>
    <x v="2"/>
    <s v="VK-15794"/>
    <s v="Veronica King"/>
    <x v="0"/>
    <s v="United States"/>
    <x v="119"/>
    <x v="41"/>
    <x v="3"/>
    <s v="FUR-TA-104262"/>
    <x v="0"/>
    <x v="3"/>
    <s v="Thorne End Table, 20-1/2H x 24W x 20D"/>
    <n v="422.01319999999998"/>
    <n v="4"/>
    <n v="180.29060000000001"/>
    <x v="1"/>
    <x v="3"/>
  </r>
  <r>
    <x v="809"/>
    <x v="622"/>
    <x v="633"/>
    <x v="2"/>
    <s v="CW-10916"/>
    <s v="Christine Wright"/>
    <x v="2"/>
    <s v="United States"/>
    <x v="100"/>
    <x v="45"/>
    <x v="3"/>
    <s v="FUR-TA-104262"/>
    <x v="0"/>
    <x v="3"/>
    <s v="Thorne End Table, 20-1/2H x 24W x 20D"/>
    <n v="137.7766"/>
    <n v="3"/>
    <n v="-18.552900000000001"/>
    <x v="0"/>
    <x v="1"/>
  </r>
  <r>
    <x v="810"/>
    <x v="172"/>
    <x v="634"/>
    <x v="2"/>
    <s v="MP-17123"/>
    <s v="Michael Powell"/>
    <x v="2"/>
    <s v="United States"/>
    <x v="13"/>
    <x v="14"/>
    <x v="3"/>
    <s v="FUR-TA-107449"/>
    <x v="0"/>
    <x v="3"/>
    <s v="Pembroke 36 x 72 Conference Table"/>
    <n v="884.22739999999999"/>
    <n v="4"/>
    <n v="-106.62439999999999"/>
    <x v="4"/>
    <x v="3"/>
  </r>
  <r>
    <x v="810"/>
    <x v="172"/>
    <x v="634"/>
    <x v="2"/>
    <s v="MP-17123"/>
    <s v="Michael Powell"/>
    <x v="2"/>
    <s v="United States"/>
    <x v="13"/>
    <x v="14"/>
    <x v="3"/>
    <s v="FUR-FU-106211"/>
    <x v="0"/>
    <x v="0"/>
    <s v="Aurora Brushed Chrome Wall Clock, 14in"/>
    <n v="4.6151"/>
    <n v="3"/>
    <n v="2.7505999999999999"/>
    <x v="4"/>
    <x v="3"/>
  </r>
  <r>
    <x v="810"/>
    <x v="172"/>
    <x v="634"/>
    <x v="2"/>
    <s v="MP-17123"/>
    <s v="Michael Powell"/>
    <x v="2"/>
    <s v="United States"/>
    <x v="13"/>
    <x v="14"/>
    <x v="3"/>
    <s v="FUR-CH-101375"/>
    <x v="0"/>
    <x v="1"/>
    <s v="Sutton Push-Button Manager's Chair, Indigo"/>
    <n v="519.69470000000001"/>
    <n v="2"/>
    <n v="191.79589999999999"/>
    <x v="4"/>
    <x v="3"/>
  </r>
  <r>
    <x v="810"/>
    <x v="172"/>
    <x v="634"/>
    <x v="2"/>
    <s v="MP-17123"/>
    <s v="Michael Powell"/>
    <x v="2"/>
    <s v="United States"/>
    <x v="13"/>
    <x v="14"/>
    <x v="3"/>
    <s v="FUR-CH-106624"/>
    <x v="0"/>
    <x v="1"/>
    <s v="Adler Fabric Manager's Chair, Slate Gray"/>
    <n v="264.78280000000001"/>
    <n v="5"/>
    <n v="32.860799999999998"/>
    <x v="4"/>
    <x v="3"/>
  </r>
  <r>
    <x v="811"/>
    <x v="9"/>
    <x v="635"/>
    <x v="2"/>
    <s v="JK-20882"/>
    <s v="Jessica Khan"/>
    <x v="2"/>
    <s v="United States"/>
    <x v="93"/>
    <x v="9"/>
    <x v="0"/>
    <s v="FUR-CH-106624"/>
    <x v="0"/>
    <x v="1"/>
    <s v="Adler Fabric Manager's Chair, Slate Gray"/>
    <n v="602.46780000000001"/>
    <n v="5"/>
    <n v="149.9006"/>
    <x v="5"/>
    <x v="7"/>
  </r>
  <r>
    <x v="812"/>
    <x v="623"/>
    <x v="636"/>
    <x v="0"/>
    <s v="JB-10887"/>
    <s v="Joyce Bowen"/>
    <x v="2"/>
    <s v="United States"/>
    <x v="2"/>
    <x v="2"/>
    <x v="0"/>
    <s v="FUR-FU-100317"/>
    <x v="0"/>
    <x v="0"/>
    <s v="Nomad Floor Lamp, Telescoping Adjustable"/>
    <n v="28.206600000000002"/>
    <n v="3"/>
    <n v="-0.6855"/>
    <x v="1"/>
    <x v="4"/>
  </r>
  <r>
    <x v="813"/>
    <x v="624"/>
    <x v="90"/>
    <x v="2"/>
    <s v="SH-19295"/>
    <s v="Spencer Haynes"/>
    <x v="2"/>
    <s v="United States"/>
    <x v="83"/>
    <x v="27"/>
    <x v="0"/>
    <s v="FUR-FU-105733"/>
    <x v="0"/>
    <x v="0"/>
    <s v="Sable Halogen Replacement Bulb, 2-Pack"/>
    <n v="443.51949999999999"/>
    <n v="2"/>
    <n v="234.83940000000001"/>
    <x v="2"/>
    <x v="4"/>
  </r>
  <r>
    <x v="814"/>
    <x v="625"/>
    <x v="637"/>
    <x v="2"/>
    <s v="CS-14342"/>
    <s v="Christopher Smith"/>
    <x v="0"/>
    <s v="United States"/>
    <x v="99"/>
    <x v="20"/>
    <x v="2"/>
    <s v="FUR-FU-105733"/>
    <x v="0"/>
    <x v="0"/>
    <s v="Sable Halogen Replacement Bulb, 2-Pack"/>
    <n v="99.495599999999996"/>
    <n v="2"/>
    <n v="-5.4047000000000001"/>
    <x v="3"/>
    <x v="11"/>
  </r>
  <r>
    <x v="815"/>
    <x v="626"/>
    <x v="638"/>
    <x v="2"/>
    <s v="EW-12060"/>
    <s v="Erin Warner"/>
    <x v="1"/>
    <s v="United States"/>
    <x v="96"/>
    <x v="15"/>
    <x v="1"/>
    <s v="FUR-CH-100441"/>
    <x v="0"/>
    <x v="1"/>
    <s v="Dalton Folding Chair, 4/Carton"/>
    <n v="167.4426"/>
    <n v="3"/>
    <n v="88.827699999999993"/>
    <x v="7"/>
    <x v="5"/>
  </r>
  <r>
    <x v="815"/>
    <x v="626"/>
    <x v="638"/>
    <x v="2"/>
    <s v="EW-12060"/>
    <s v="Erin Warner"/>
    <x v="1"/>
    <s v="United States"/>
    <x v="96"/>
    <x v="15"/>
    <x v="1"/>
    <s v="FUR-CH-100444"/>
    <x v="0"/>
    <x v="1"/>
    <s v="Harborview Mesh Task Chair, Adjustable Arms"/>
    <n v="343.5813"/>
    <n v="4"/>
    <n v="33.374600000000001"/>
    <x v="7"/>
    <x v="5"/>
  </r>
  <r>
    <x v="815"/>
    <x v="626"/>
    <x v="638"/>
    <x v="2"/>
    <s v="EW-12060"/>
    <s v="Erin Warner"/>
    <x v="1"/>
    <s v="United States"/>
    <x v="96"/>
    <x v="15"/>
    <x v="1"/>
    <s v="FUR-FU-100853"/>
    <x v="0"/>
    <x v="0"/>
    <s v="Blaine Cubicle Wall Clock, Black"/>
    <n v="148.6319"/>
    <n v="2"/>
    <n v="58.914700000000003"/>
    <x v="7"/>
    <x v="5"/>
  </r>
  <r>
    <x v="816"/>
    <x v="140"/>
    <x v="141"/>
    <x v="2"/>
    <s v="RH-19654"/>
    <s v="Rebecca Henderson"/>
    <x v="2"/>
    <s v="United States"/>
    <x v="111"/>
    <x v="8"/>
    <x v="1"/>
    <s v="FUR-CH-102704"/>
    <x v="0"/>
    <x v="1"/>
    <s v="Brookline High-Back Executive Chair, Black Leather"/>
    <n v="295.91129999999998"/>
    <n v="3"/>
    <n v="84.105199999999996"/>
    <x v="0"/>
    <x v="2"/>
  </r>
  <r>
    <x v="817"/>
    <x v="247"/>
    <x v="639"/>
    <x v="2"/>
    <s v="RM-18935"/>
    <s v="Ryan Munoz"/>
    <x v="2"/>
    <s v="United States"/>
    <x v="95"/>
    <x v="33"/>
    <x v="3"/>
    <s v="FUR-FU-100317"/>
    <x v="0"/>
    <x v="0"/>
    <s v="Nomad Floor Lamp, Telescoping Adjustable"/>
    <n v="14.050800000000001"/>
    <n v="4"/>
    <n v="7.1166"/>
    <x v="4"/>
    <x v="11"/>
  </r>
  <r>
    <x v="817"/>
    <x v="247"/>
    <x v="639"/>
    <x v="2"/>
    <s v="RM-18935"/>
    <s v="Ryan Munoz"/>
    <x v="2"/>
    <s v="United States"/>
    <x v="95"/>
    <x v="33"/>
    <x v="3"/>
    <s v="FUR-CH-107657"/>
    <x v="0"/>
    <x v="1"/>
    <s v="Hollis Stacking Chair, Rounded Back"/>
    <n v="656.14419999999996"/>
    <n v="7"/>
    <n v="-276.44729999999998"/>
    <x v="4"/>
    <x v="11"/>
  </r>
  <r>
    <x v="818"/>
    <x v="627"/>
    <x v="640"/>
    <x v="0"/>
    <s v="MM-10525"/>
    <s v="Marc Moore"/>
    <x v="1"/>
    <s v="United States"/>
    <x v="29"/>
    <x v="13"/>
    <x v="3"/>
    <s v="FUR-CH-107657"/>
    <x v="0"/>
    <x v="1"/>
    <s v="Hollis Stacking Chair, Rounded Back"/>
    <n v="773.2885"/>
    <n v="2"/>
    <n v="103.6765"/>
    <x v="5"/>
    <x v="2"/>
  </r>
  <r>
    <x v="819"/>
    <x v="214"/>
    <x v="641"/>
    <x v="2"/>
    <s v="RH-16548"/>
    <s v="Rebecca Hicks"/>
    <x v="2"/>
    <s v="United States"/>
    <x v="111"/>
    <x v="8"/>
    <x v="1"/>
    <s v="FUR-FU-104133"/>
    <x v="0"/>
    <x v="0"/>
    <s v="Preston Wood Photo Frame, Mahogany"/>
    <n v="35.434600000000003"/>
    <n v="2"/>
    <n v="-12.461600000000001"/>
    <x v="1"/>
    <x v="6"/>
  </r>
  <r>
    <x v="820"/>
    <x v="334"/>
    <x v="642"/>
    <x v="2"/>
    <s v="SB-13006"/>
    <s v="Stephanie Byrd"/>
    <x v="2"/>
    <s v="United States"/>
    <x v="17"/>
    <x v="18"/>
    <x v="3"/>
    <s v="FUR-TA-103467"/>
    <x v="0"/>
    <x v="3"/>
    <s v="Kessler Round Bullnose High Table"/>
    <n v="1572.6960999999999"/>
    <n v="6"/>
    <n v="-181.9091"/>
    <x v="2"/>
    <x v="1"/>
  </r>
  <r>
    <x v="821"/>
    <x v="349"/>
    <x v="643"/>
    <x v="0"/>
    <s v="WD-14050"/>
    <s v="William David DDS"/>
    <x v="2"/>
    <s v="United States"/>
    <x v="125"/>
    <x v="11"/>
    <x v="2"/>
    <s v="FUR-CH-106624"/>
    <x v="0"/>
    <x v="1"/>
    <s v="Adler Fabric Manager's Chair, Slate Gray"/>
    <n v="585.36800000000005"/>
    <n v="4"/>
    <n v="-143.53710000000001"/>
    <x v="1"/>
    <x v="1"/>
  </r>
  <r>
    <x v="822"/>
    <x v="628"/>
    <x v="7"/>
    <x v="2"/>
    <s v="JR-11137"/>
    <s v="Jodi Roach"/>
    <x v="1"/>
    <s v="United States"/>
    <x v="31"/>
    <x v="28"/>
    <x v="2"/>
    <s v="FUR-FU-104558"/>
    <x v="0"/>
    <x v="0"/>
    <s v="Lambert Swing Arm Desk Lamp"/>
    <n v="39.476399999999998"/>
    <n v="4"/>
    <n v="27.374099999999999"/>
    <x v="0"/>
    <x v="5"/>
  </r>
  <r>
    <x v="822"/>
    <x v="628"/>
    <x v="7"/>
    <x v="2"/>
    <s v="JR-11137"/>
    <s v="Jodi Roach"/>
    <x v="1"/>
    <s v="United States"/>
    <x v="31"/>
    <x v="28"/>
    <x v="2"/>
    <s v="FUR-BO-106865"/>
    <x v="0"/>
    <x v="2"/>
    <s v="Hartwell Oak 5-Shelf Bookcase"/>
    <n v="176.7587"/>
    <n v="2"/>
    <n v="30.340199999999999"/>
    <x v="0"/>
    <x v="5"/>
  </r>
  <r>
    <x v="823"/>
    <x v="629"/>
    <x v="432"/>
    <x v="2"/>
    <s v="SJ-16572"/>
    <s v="Sierra Johnson"/>
    <x v="0"/>
    <s v="United States"/>
    <x v="53"/>
    <x v="22"/>
    <x v="2"/>
    <s v="FUR-TA-107022"/>
    <x v="0"/>
    <x v="3"/>
    <s v="Alden Rectangular Conference Table"/>
    <n v="104.57769999999999"/>
    <n v="4"/>
    <n v="22.306100000000001"/>
    <x v="4"/>
    <x v="7"/>
  </r>
  <r>
    <x v="824"/>
    <x v="445"/>
    <x v="365"/>
    <x v="3"/>
    <s v="JR-11545"/>
    <s v="Joshua Reed"/>
    <x v="0"/>
    <s v="United States"/>
    <x v="119"/>
    <x v="41"/>
    <x v="3"/>
    <s v="FUR-CH-109246"/>
    <x v="0"/>
    <x v="1"/>
    <s v="Beckett Steno Chair, Gray"/>
    <n v="386.05759999999998"/>
    <n v="5"/>
    <n v="-6.9911000000000003"/>
    <x v="7"/>
    <x v="4"/>
  </r>
  <r>
    <x v="825"/>
    <x v="139"/>
    <x v="129"/>
    <x v="2"/>
    <s v="NH-11743"/>
    <s v="Nicole Herring"/>
    <x v="0"/>
    <s v="United States"/>
    <x v="42"/>
    <x v="11"/>
    <x v="2"/>
    <s v="FUR-FU-100317"/>
    <x v="0"/>
    <x v="0"/>
    <s v="Nomad Floor Lamp, Telescoping Adjustable"/>
    <n v="23.936800000000002"/>
    <n v="10"/>
    <n v="12.3941"/>
    <x v="1"/>
    <x v="5"/>
  </r>
  <r>
    <x v="826"/>
    <x v="630"/>
    <x v="644"/>
    <x v="0"/>
    <s v="JW-21573"/>
    <s v="James Whitaker"/>
    <x v="2"/>
    <s v="United States"/>
    <x v="54"/>
    <x v="1"/>
    <x v="0"/>
    <s v="FUR-FU-104133"/>
    <x v="0"/>
    <x v="0"/>
    <s v="Preston Wood Photo Frame, Mahogany"/>
    <n v="33.615099999999998"/>
    <n v="2"/>
    <n v="5.5496999999999996"/>
    <x v="1"/>
    <x v="3"/>
  </r>
  <r>
    <x v="827"/>
    <x v="631"/>
    <x v="19"/>
    <x v="0"/>
    <s v="SF-11528"/>
    <s v="Sara Fuller"/>
    <x v="1"/>
    <s v="United States"/>
    <x v="6"/>
    <x v="6"/>
    <x v="1"/>
    <s v="FUR-BO-104471"/>
    <x v="0"/>
    <x v="2"/>
    <s v="Camden Modular Bookcase, Custom Colors"/>
    <n v="352.35320000000002"/>
    <n v="1"/>
    <n v="32.224800000000002"/>
    <x v="0"/>
    <x v="3"/>
  </r>
  <r>
    <x v="828"/>
    <x v="128"/>
    <x v="645"/>
    <x v="2"/>
    <s v="MW-10520"/>
    <s v="Michele Williams"/>
    <x v="1"/>
    <s v="United States"/>
    <x v="19"/>
    <x v="20"/>
    <x v="2"/>
    <s v="FUR-FU-100853"/>
    <x v="0"/>
    <x v="0"/>
    <s v="Blaine Cubicle Wall Clock, Black"/>
    <n v="234.48310000000001"/>
    <n v="7"/>
    <n v="-111.4709"/>
    <x v="4"/>
    <x v="8"/>
  </r>
  <r>
    <x v="829"/>
    <x v="632"/>
    <x v="646"/>
    <x v="1"/>
    <s v="CB-16930"/>
    <s v="Connie Brown"/>
    <x v="1"/>
    <s v="United States"/>
    <x v="0"/>
    <x v="0"/>
    <x v="0"/>
    <s v="FUR-CH-106455"/>
    <x v="0"/>
    <x v="1"/>
    <s v="Nolan Leather Highback Chair, Pneumatic Adjustment"/>
    <n v="501.49860000000001"/>
    <n v="1"/>
    <n v="52.832500000000003"/>
    <x v="7"/>
    <x v="4"/>
  </r>
  <r>
    <x v="829"/>
    <x v="632"/>
    <x v="646"/>
    <x v="1"/>
    <s v="CB-16930"/>
    <s v="Connie Brown"/>
    <x v="1"/>
    <s v="United States"/>
    <x v="0"/>
    <x v="0"/>
    <x v="0"/>
    <s v="FUR-FU-100853"/>
    <x v="0"/>
    <x v="0"/>
    <s v="Blaine Cubicle Wall Clock, Black"/>
    <n v="435.49450000000002"/>
    <n v="2"/>
    <n v="119.7859"/>
    <x v="7"/>
    <x v="4"/>
  </r>
  <r>
    <x v="830"/>
    <x v="633"/>
    <x v="289"/>
    <x v="3"/>
    <s v="DC-15947"/>
    <s v="Debra Christian"/>
    <x v="2"/>
    <s v="United States"/>
    <x v="103"/>
    <x v="43"/>
    <x v="2"/>
    <s v="FUR-BO-104471"/>
    <x v="0"/>
    <x v="2"/>
    <s v="Camden Modular Bookcase, Custom Colors"/>
    <n v="58.966700000000003"/>
    <n v="4"/>
    <n v="-5.4424000000000001"/>
    <x v="7"/>
    <x v="5"/>
  </r>
  <r>
    <x v="831"/>
    <x v="634"/>
    <x v="647"/>
    <x v="2"/>
    <s v="KG-10514"/>
    <s v="Krista Gibson"/>
    <x v="2"/>
    <s v="United States"/>
    <x v="103"/>
    <x v="43"/>
    <x v="2"/>
    <s v="FUR-CH-109697"/>
    <x v="0"/>
    <x v="1"/>
    <s v="Rowan Mid-Back Tilter Chair"/>
    <n v="63.665399999999998"/>
    <n v="3"/>
    <n v="4.6456"/>
    <x v="6"/>
    <x v="0"/>
  </r>
  <r>
    <x v="832"/>
    <x v="635"/>
    <x v="479"/>
    <x v="2"/>
    <s v="JF-12647"/>
    <s v="Joann Ferguson"/>
    <x v="2"/>
    <s v="United States"/>
    <x v="82"/>
    <x v="19"/>
    <x v="2"/>
    <s v="FUR-CH-105507"/>
    <x v="0"/>
    <x v="1"/>
    <s v="Kingsley Mesh-Back Task Chair"/>
    <n v="232.3954"/>
    <n v="4"/>
    <n v="4.2477"/>
    <x v="7"/>
    <x v="9"/>
  </r>
  <r>
    <x v="833"/>
    <x v="636"/>
    <x v="0"/>
    <x v="2"/>
    <s v="TT-20392"/>
    <s v="Travis Tucker"/>
    <x v="2"/>
    <s v="United States"/>
    <x v="85"/>
    <x v="44"/>
    <x v="0"/>
    <s v="FUR-CH-105507"/>
    <x v="0"/>
    <x v="1"/>
    <s v="Kingsley Mesh-Back Task Chair"/>
    <n v="1502.3721"/>
    <n v="4"/>
    <n v="1091.4836"/>
    <x v="6"/>
    <x v="0"/>
  </r>
  <r>
    <x v="834"/>
    <x v="637"/>
    <x v="648"/>
    <x v="2"/>
    <s v="CJ-15155"/>
    <s v="Crystal Johnson"/>
    <x v="2"/>
    <s v="United States"/>
    <x v="92"/>
    <x v="46"/>
    <x v="3"/>
    <s v="FUR-FU-101124"/>
    <x v="0"/>
    <x v="0"/>
    <s v="Rutledge Desk Organizer Tray, Letter Size"/>
    <n v="79.014200000000002"/>
    <n v="3"/>
    <n v="-26.603400000000001"/>
    <x v="0"/>
    <x v="0"/>
  </r>
  <r>
    <x v="835"/>
    <x v="638"/>
    <x v="106"/>
    <x v="2"/>
    <s v="MT-20021"/>
    <s v="Mary Thompson"/>
    <x v="2"/>
    <s v="United States"/>
    <x v="128"/>
    <x v="21"/>
    <x v="1"/>
    <s v="FUR-CH-109246"/>
    <x v="0"/>
    <x v="1"/>
    <s v="Beckett Steno Chair, Gray"/>
    <n v="244.14"/>
    <n v="4"/>
    <n v="123.6215"/>
    <x v="5"/>
    <x v="6"/>
  </r>
  <r>
    <x v="836"/>
    <x v="478"/>
    <x v="452"/>
    <x v="2"/>
    <s v="AW-14422"/>
    <s v="Aaron Wise"/>
    <x v="2"/>
    <s v="United States"/>
    <x v="46"/>
    <x v="28"/>
    <x v="2"/>
    <s v="FUR-CH-106455"/>
    <x v="0"/>
    <x v="1"/>
    <s v="Nolan Leather Highback Chair, Pneumatic Adjustment"/>
    <n v="379.36439999999999"/>
    <n v="3"/>
    <n v="-38.3277"/>
    <x v="0"/>
    <x v="0"/>
  </r>
  <r>
    <x v="837"/>
    <x v="639"/>
    <x v="103"/>
    <x v="3"/>
    <s v="DD-21369"/>
    <s v="Dean Donovan"/>
    <x v="2"/>
    <s v="United States"/>
    <x v="77"/>
    <x v="42"/>
    <x v="1"/>
    <s v="FUR-CH-105507"/>
    <x v="0"/>
    <x v="1"/>
    <s v="Kingsley Mesh-Back Task Chair"/>
    <n v="346.04090000000002"/>
    <n v="2"/>
    <n v="-20.6355"/>
    <x v="7"/>
    <x v="11"/>
  </r>
  <r>
    <x v="837"/>
    <x v="639"/>
    <x v="103"/>
    <x v="3"/>
    <s v="DD-21369"/>
    <s v="Dean Donovan"/>
    <x v="2"/>
    <s v="United States"/>
    <x v="77"/>
    <x v="42"/>
    <x v="1"/>
    <s v="FUR-FU-108837"/>
    <x v="0"/>
    <x v="0"/>
    <s v="Ivanhoe Poster Frame, Aluminum"/>
    <n v="9.1027000000000005"/>
    <n v="3"/>
    <n v="-0.215"/>
    <x v="7"/>
    <x v="11"/>
  </r>
  <r>
    <x v="838"/>
    <x v="640"/>
    <x v="122"/>
    <x v="1"/>
    <s v="JB-20813"/>
    <s v="Jennifer Banks"/>
    <x v="0"/>
    <s v="United States"/>
    <x v="10"/>
    <x v="11"/>
    <x v="2"/>
    <s v="FUR-CH-107657"/>
    <x v="0"/>
    <x v="1"/>
    <s v="Hollis Stacking Chair, Rounded Back"/>
    <n v="76.356300000000005"/>
    <n v="5"/>
    <n v="0.48820000000000002"/>
    <x v="1"/>
    <x v="6"/>
  </r>
  <r>
    <x v="839"/>
    <x v="426"/>
    <x v="640"/>
    <x v="2"/>
    <s v="DW-18669"/>
    <s v="David Wright"/>
    <x v="1"/>
    <s v="United States"/>
    <x v="32"/>
    <x v="26"/>
    <x v="3"/>
    <s v="FUR-FU-101341"/>
    <x v="0"/>
    <x v="0"/>
    <s v="Griswold Chairmats for Medium Pile Carpet"/>
    <n v="21.171600000000002"/>
    <n v="4"/>
    <n v="0.93179999999999996"/>
    <x v="6"/>
    <x v="2"/>
  </r>
  <r>
    <x v="840"/>
    <x v="641"/>
    <x v="649"/>
    <x v="0"/>
    <s v="MR-19440"/>
    <s v="Mrs. Kristen Reyes"/>
    <x v="2"/>
    <s v="United States"/>
    <x v="38"/>
    <x v="32"/>
    <x v="3"/>
    <s v="FUR-FU-105733"/>
    <x v="0"/>
    <x v="0"/>
    <s v="Sable Halogen Replacement Bulb, 2-Pack"/>
    <n v="304.25049999999999"/>
    <n v="5"/>
    <n v="-23.304300000000001"/>
    <x v="3"/>
    <x v="10"/>
  </r>
  <r>
    <x v="841"/>
    <x v="642"/>
    <x v="562"/>
    <x v="1"/>
    <s v="WM-20706"/>
    <s v="Wayne Morgan"/>
    <x v="1"/>
    <s v="United States"/>
    <x v="37"/>
    <x v="14"/>
    <x v="3"/>
    <s v="FUR-CH-105507"/>
    <x v="0"/>
    <x v="1"/>
    <s v="Kingsley Mesh-Back Task Chair"/>
    <n v="2310.8274000000001"/>
    <n v="7"/>
    <n v="116.6236"/>
    <x v="1"/>
    <x v="10"/>
  </r>
  <r>
    <x v="841"/>
    <x v="642"/>
    <x v="562"/>
    <x v="1"/>
    <s v="WM-20706"/>
    <s v="Wayne Morgan"/>
    <x v="1"/>
    <s v="United States"/>
    <x v="37"/>
    <x v="14"/>
    <x v="3"/>
    <s v="FUR-CH-101375"/>
    <x v="0"/>
    <x v="1"/>
    <s v="Sutton Push-Button Manager's Chair, Indigo"/>
    <n v="575.13789999999995"/>
    <n v="3"/>
    <n v="182.24950000000001"/>
    <x v="1"/>
    <x v="10"/>
  </r>
  <r>
    <x v="841"/>
    <x v="642"/>
    <x v="562"/>
    <x v="1"/>
    <s v="WM-20706"/>
    <s v="Wayne Morgan"/>
    <x v="1"/>
    <s v="United States"/>
    <x v="37"/>
    <x v="14"/>
    <x v="3"/>
    <s v="FUR-FU-100317"/>
    <x v="0"/>
    <x v="0"/>
    <s v="Nomad Floor Lamp, Telescoping Adjustable"/>
    <n v="50.392299999999999"/>
    <n v="5"/>
    <n v="40.4786"/>
    <x v="1"/>
    <x v="10"/>
  </r>
  <r>
    <x v="841"/>
    <x v="642"/>
    <x v="562"/>
    <x v="1"/>
    <s v="WM-20706"/>
    <s v="Wayne Morgan"/>
    <x v="1"/>
    <s v="United States"/>
    <x v="37"/>
    <x v="14"/>
    <x v="3"/>
    <s v="FUR-CH-101375"/>
    <x v="0"/>
    <x v="1"/>
    <s v="Sutton Push-Button Manager's Chair, Indigo"/>
    <n v="819.56989999999996"/>
    <n v="2"/>
    <n v="-141.7235"/>
    <x v="1"/>
    <x v="10"/>
  </r>
  <r>
    <x v="842"/>
    <x v="466"/>
    <x v="19"/>
    <x v="2"/>
    <s v="AB-11200"/>
    <s v="Adam Burgess"/>
    <x v="1"/>
    <s v="United States"/>
    <x v="14"/>
    <x v="15"/>
    <x v="1"/>
    <s v="FUR-FU-106906"/>
    <x v="0"/>
    <x v="0"/>
    <s v="Cobalt LED Magnifier Lamp with Clamp Base"/>
    <n v="54.142299999999999"/>
    <n v="6"/>
    <n v="-18.834099999999999"/>
    <x v="6"/>
    <x v="3"/>
  </r>
  <r>
    <x v="842"/>
    <x v="466"/>
    <x v="19"/>
    <x v="2"/>
    <s v="AB-11200"/>
    <s v="Adam Burgess"/>
    <x v="1"/>
    <s v="United States"/>
    <x v="14"/>
    <x v="15"/>
    <x v="1"/>
    <s v="FUR-CH-100444"/>
    <x v="0"/>
    <x v="1"/>
    <s v="Harborview Mesh Task Chair, Adjustable Arms"/>
    <n v="548.01310000000001"/>
    <n v="4"/>
    <n v="77.060699999999997"/>
    <x v="6"/>
    <x v="3"/>
  </r>
  <r>
    <x v="842"/>
    <x v="466"/>
    <x v="19"/>
    <x v="2"/>
    <s v="AB-11200"/>
    <s v="Adam Burgess"/>
    <x v="1"/>
    <s v="United States"/>
    <x v="14"/>
    <x v="15"/>
    <x v="1"/>
    <s v="FUR-CH-108751"/>
    <x v="0"/>
    <x v="1"/>
    <s v="Prescott Ergonomic Chair with Lumbar Support"/>
    <n v="156.46360000000001"/>
    <n v="2"/>
    <n v="72.940200000000004"/>
    <x v="6"/>
    <x v="3"/>
  </r>
  <r>
    <x v="843"/>
    <x v="535"/>
    <x v="263"/>
    <x v="1"/>
    <s v="JG-15559"/>
    <s v="Jessica Garcia"/>
    <x v="2"/>
    <s v="United States"/>
    <x v="29"/>
    <x v="13"/>
    <x v="3"/>
    <s v="FUR-TA-104262"/>
    <x v="0"/>
    <x v="3"/>
    <s v="Thorne End Table, 20-1/2H x 24W x 20D"/>
    <n v="858.30290000000002"/>
    <n v="4"/>
    <n v="-189.4186"/>
    <x v="7"/>
    <x v="1"/>
  </r>
  <r>
    <x v="844"/>
    <x v="643"/>
    <x v="486"/>
    <x v="2"/>
    <s v="GD-21087"/>
    <s v="Gabrielle Davis"/>
    <x v="2"/>
    <s v="United States"/>
    <x v="64"/>
    <x v="29"/>
    <x v="0"/>
    <s v="FUR-FU-101341"/>
    <x v="0"/>
    <x v="0"/>
    <s v="Griswold Chairmats for Medium Pile Carpet"/>
    <n v="22.336500000000001"/>
    <n v="5"/>
    <n v="10.7263"/>
    <x v="3"/>
    <x v="0"/>
  </r>
  <r>
    <x v="845"/>
    <x v="277"/>
    <x v="650"/>
    <x v="2"/>
    <s v="TH-20834"/>
    <s v="Tracy House"/>
    <x v="1"/>
    <s v="United States"/>
    <x v="21"/>
    <x v="18"/>
    <x v="3"/>
    <s v="FUR-CH-100441"/>
    <x v="0"/>
    <x v="1"/>
    <s v="Dalton Folding Chair, 4/Carton"/>
    <n v="602.7749"/>
    <n v="2"/>
    <n v="140.47460000000001"/>
    <x v="0"/>
    <x v="10"/>
  </r>
  <r>
    <x v="846"/>
    <x v="140"/>
    <x v="651"/>
    <x v="0"/>
    <s v="DM-17527"/>
    <s v="Danny Morgan"/>
    <x v="2"/>
    <s v="United States"/>
    <x v="106"/>
    <x v="34"/>
    <x v="1"/>
    <s v="FUR-BO-103613"/>
    <x v="0"/>
    <x v="2"/>
    <s v="Winslow Corner Bookcase, White"/>
    <n v="85.373599999999996"/>
    <n v="3"/>
    <n v="-9.2784999999999993"/>
    <x v="3"/>
    <x v="2"/>
  </r>
  <r>
    <x v="847"/>
    <x v="179"/>
    <x v="652"/>
    <x v="2"/>
    <s v="RH-17239"/>
    <s v="Robert Harrison"/>
    <x v="1"/>
    <s v="United States"/>
    <x v="104"/>
    <x v="26"/>
    <x v="3"/>
    <s v="FUR-FU-100317"/>
    <x v="0"/>
    <x v="0"/>
    <s v="Nomad Floor Lamp, Telescoping Adjustable"/>
    <n v="33.945"/>
    <n v="3"/>
    <n v="0.67159999999999997"/>
    <x v="4"/>
    <x v="11"/>
  </r>
  <r>
    <x v="848"/>
    <x v="350"/>
    <x v="653"/>
    <x v="2"/>
    <s v="SA-13598"/>
    <s v="Sandra Aguilar"/>
    <x v="0"/>
    <s v="United States"/>
    <x v="28"/>
    <x v="4"/>
    <x v="1"/>
    <s v="FUR-CH-109246"/>
    <x v="0"/>
    <x v="1"/>
    <s v="Beckett Steno Chair, Gray"/>
    <n v="1297.5041000000001"/>
    <n v="3"/>
    <n v="122.49890000000001"/>
    <x v="2"/>
    <x v="8"/>
  </r>
  <r>
    <x v="849"/>
    <x v="644"/>
    <x v="558"/>
    <x v="2"/>
    <s v="SM-12167"/>
    <s v="Susan Murray MD"/>
    <x v="2"/>
    <s v="United States"/>
    <x v="63"/>
    <x v="39"/>
    <x v="0"/>
    <s v="FUR-CH-100441"/>
    <x v="0"/>
    <x v="1"/>
    <s v="Dalton Folding Chair, 4/Carton"/>
    <n v="1131.8607"/>
    <n v="3"/>
    <n v="116.0545"/>
    <x v="6"/>
    <x v="11"/>
  </r>
  <r>
    <x v="850"/>
    <x v="512"/>
    <x v="654"/>
    <x v="0"/>
    <s v="DD-18518"/>
    <s v="David Davis"/>
    <x v="2"/>
    <s v="United States"/>
    <x v="72"/>
    <x v="6"/>
    <x v="1"/>
    <s v="FUR-TA-106211"/>
    <x v="0"/>
    <x v="3"/>
    <s v="Grantham Half-Moon Meeting Table"/>
    <n v="236.36189999999999"/>
    <n v="3"/>
    <n v="40.774700000000003"/>
    <x v="5"/>
    <x v="3"/>
  </r>
  <r>
    <x v="851"/>
    <x v="645"/>
    <x v="655"/>
    <x v="0"/>
    <s v="RK-20084"/>
    <s v="Reginald Knapp"/>
    <x v="2"/>
    <s v="United States"/>
    <x v="42"/>
    <x v="11"/>
    <x v="2"/>
    <s v="FUR-FU-107705"/>
    <x v="0"/>
    <x v="0"/>
    <s v="Hawthorne Desk Accessory Set, Oak"/>
    <n v="15.4986"/>
    <n v="7"/>
    <n v="-2.0365000000000002"/>
    <x v="1"/>
    <x v="0"/>
  </r>
  <r>
    <x v="852"/>
    <x v="560"/>
    <x v="568"/>
    <x v="0"/>
    <s v="SJ-16201"/>
    <s v="Shannon Jones"/>
    <x v="1"/>
    <s v="United States"/>
    <x v="122"/>
    <x v="43"/>
    <x v="2"/>
    <s v="FUR-FU-108837"/>
    <x v="0"/>
    <x v="0"/>
    <s v="Ivanhoe Poster Frame, Aluminum"/>
    <n v="13.574400000000001"/>
    <n v="5"/>
    <n v="5.0643000000000002"/>
    <x v="5"/>
    <x v="10"/>
  </r>
  <r>
    <x v="853"/>
    <x v="11"/>
    <x v="656"/>
    <x v="2"/>
    <s v="TD-19044"/>
    <s v="Timothy Duncan"/>
    <x v="2"/>
    <s v="United States"/>
    <x v="97"/>
    <x v="32"/>
    <x v="3"/>
    <s v="FUR-FU-106211"/>
    <x v="0"/>
    <x v="0"/>
    <s v="Aurora Brushed Chrome Wall Clock, 14in"/>
    <n v="100.554"/>
    <n v="2"/>
    <n v="9.4050999999999991"/>
    <x v="3"/>
    <x v="6"/>
  </r>
  <r>
    <x v="854"/>
    <x v="646"/>
    <x v="199"/>
    <x v="1"/>
    <s v="BL-12705"/>
    <s v="Brian Lee"/>
    <x v="1"/>
    <s v="United States"/>
    <x v="81"/>
    <x v="43"/>
    <x v="2"/>
    <s v="FUR-CH-102091"/>
    <x v="0"/>
    <x v="1"/>
    <s v="Vantage Swivel Task Chair, Blue"/>
    <n v="217.30449999999999"/>
    <n v="2"/>
    <n v="-46.312899999999999"/>
    <x v="1"/>
    <x v="10"/>
  </r>
  <r>
    <x v="854"/>
    <x v="646"/>
    <x v="199"/>
    <x v="1"/>
    <s v="BL-12705"/>
    <s v="Brian Lee"/>
    <x v="1"/>
    <s v="United States"/>
    <x v="81"/>
    <x v="43"/>
    <x v="2"/>
    <s v="FUR-FU-106211"/>
    <x v="0"/>
    <x v="0"/>
    <s v="Aurora Brushed Chrome Wall Clock, 14in"/>
    <n v="231.52799999999999"/>
    <n v="5"/>
    <n v="117.0716"/>
    <x v="1"/>
    <x v="10"/>
  </r>
  <r>
    <x v="855"/>
    <x v="553"/>
    <x v="657"/>
    <x v="2"/>
    <s v="AW-16482"/>
    <s v="Ashley Waller"/>
    <x v="2"/>
    <s v="United States"/>
    <x v="1"/>
    <x v="1"/>
    <x v="0"/>
    <s v="FUR-TA-103467"/>
    <x v="0"/>
    <x v="3"/>
    <s v="Kessler Round Bullnose High Table"/>
    <n v="316.95350000000002"/>
    <n v="6"/>
    <n v="-47.397599999999997"/>
    <x v="5"/>
    <x v="10"/>
  </r>
  <r>
    <x v="856"/>
    <x v="647"/>
    <x v="491"/>
    <x v="3"/>
    <s v="TD-19044"/>
    <s v="Timothy Duncan"/>
    <x v="0"/>
    <s v="United States"/>
    <x v="8"/>
    <x v="8"/>
    <x v="1"/>
    <s v="FUR-FU-100853"/>
    <x v="0"/>
    <x v="0"/>
    <s v="Blaine Cubicle Wall Clock, Black"/>
    <n v="184.63419999999999"/>
    <n v="2"/>
    <n v="-33.836599999999997"/>
    <x v="7"/>
    <x v="9"/>
  </r>
  <r>
    <x v="856"/>
    <x v="647"/>
    <x v="491"/>
    <x v="3"/>
    <s v="TD-19044"/>
    <s v="Timothy Duncan"/>
    <x v="0"/>
    <s v="United States"/>
    <x v="8"/>
    <x v="8"/>
    <x v="1"/>
    <s v="FUR-CH-109246"/>
    <x v="0"/>
    <x v="1"/>
    <s v="Beckett Steno Chair, Gray"/>
    <n v="2249.152"/>
    <n v="2"/>
    <n v="637.60419999999999"/>
    <x v="7"/>
    <x v="9"/>
  </r>
  <r>
    <x v="857"/>
    <x v="648"/>
    <x v="113"/>
    <x v="2"/>
    <s v="TH-14451"/>
    <s v="Timothy Hayden"/>
    <x v="1"/>
    <s v="United States"/>
    <x v="86"/>
    <x v="43"/>
    <x v="2"/>
    <s v="FUR-FU-100853"/>
    <x v="0"/>
    <x v="0"/>
    <s v="Blaine Cubicle Wall Clock, Black"/>
    <n v="39.865299999999998"/>
    <n v="1"/>
    <n v="-8.1918000000000006"/>
    <x v="5"/>
    <x v="11"/>
  </r>
  <r>
    <x v="858"/>
    <x v="234"/>
    <x v="658"/>
    <x v="2"/>
    <s v="HB-17711"/>
    <s v="Heather Bolton"/>
    <x v="2"/>
    <s v="United States"/>
    <x v="29"/>
    <x v="13"/>
    <x v="3"/>
    <s v="FUR-FU-104558"/>
    <x v="0"/>
    <x v="0"/>
    <s v="Lambert Swing Arm Desk Lamp"/>
    <n v="8.1440000000000001"/>
    <n v="3"/>
    <n v="-0.39600000000000002"/>
    <x v="3"/>
    <x v="5"/>
  </r>
  <r>
    <x v="859"/>
    <x v="66"/>
    <x v="659"/>
    <x v="2"/>
    <s v="SJ-10722"/>
    <s v="Sophia Johnson"/>
    <x v="2"/>
    <s v="United States"/>
    <x v="128"/>
    <x v="21"/>
    <x v="1"/>
    <s v="FUR-BO-100475"/>
    <x v="0"/>
    <x v="2"/>
    <s v="Overton 3-Shelf Corner Bookcase"/>
    <n v="421.72910000000002"/>
    <n v="2"/>
    <n v="216.4222"/>
    <x v="7"/>
    <x v="0"/>
  </r>
  <r>
    <x v="860"/>
    <x v="251"/>
    <x v="481"/>
    <x v="1"/>
    <s v="AH-16224"/>
    <s v="Anthony Humphrey"/>
    <x v="0"/>
    <s v="United States"/>
    <x v="116"/>
    <x v="38"/>
    <x v="1"/>
    <s v="FUR-FU-107705"/>
    <x v="0"/>
    <x v="0"/>
    <s v="Hawthorne Desk Accessory Set, Oak"/>
    <n v="24.5778"/>
    <n v="3"/>
    <n v="-15.8331"/>
    <x v="0"/>
    <x v="10"/>
  </r>
  <r>
    <x v="861"/>
    <x v="544"/>
    <x v="416"/>
    <x v="2"/>
    <s v="JO-10651"/>
    <s v="Jeffery Ortega"/>
    <x v="0"/>
    <s v="United States"/>
    <x v="18"/>
    <x v="19"/>
    <x v="2"/>
    <s v="FUR-FU-107705"/>
    <x v="0"/>
    <x v="0"/>
    <s v="Hawthorne Desk Accessory Set, Oak"/>
    <n v="169.84020000000001"/>
    <n v="6"/>
    <n v="31.9664"/>
    <x v="1"/>
    <x v="11"/>
  </r>
  <r>
    <x v="862"/>
    <x v="649"/>
    <x v="660"/>
    <x v="1"/>
    <s v="EB-13139"/>
    <s v="Elaine Brooks"/>
    <x v="1"/>
    <s v="United States"/>
    <x v="111"/>
    <x v="8"/>
    <x v="1"/>
    <s v="FUR-FU-105733"/>
    <x v="0"/>
    <x v="0"/>
    <s v="Sable Halogen Replacement Bulb, 2-Pack"/>
    <n v="49.731099999999998"/>
    <n v="3"/>
    <n v="-33.417900000000003"/>
    <x v="1"/>
    <x v="3"/>
  </r>
  <r>
    <x v="863"/>
    <x v="650"/>
    <x v="492"/>
    <x v="2"/>
    <s v="MT-21069"/>
    <s v="Melissa Taylor"/>
    <x v="1"/>
    <s v="United States"/>
    <x v="70"/>
    <x v="38"/>
    <x v="1"/>
    <s v="FUR-FU-104558"/>
    <x v="0"/>
    <x v="0"/>
    <s v="Lambert Swing Arm Desk Lamp"/>
    <n v="103.1845"/>
    <n v="7"/>
    <n v="10.6052"/>
    <x v="4"/>
    <x v="10"/>
  </r>
  <r>
    <x v="864"/>
    <x v="651"/>
    <x v="661"/>
    <x v="2"/>
    <s v="LW-11827"/>
    <s v="Lindsey Walker"/>
    <x v="2"/>
    <s v="United States"/>
    <x v="17"/>
    <x v="18"/>
    <x v="3"/>
    <s v="FUR-FU-101124"/>
    <x v="0"/>
    <x v="0"/>
    <s v="Rutledge Desk Organizer Tray, Letter Size"/>
    <n v="176.44749999999999"/>
    <n v="2"/>
    <n v="-15.481999999999999"/>
    <x v="5"/>
    <x v="6"/>
  </r>
  <r>
    <x v="864"/>
    <x v="651"/>
    <x v="661"/>
    <x v="2"/>
    <s v="LW-11827"/>
    <s v="Lindsey Walker"/>
    <x v="2"/>
    <s v="United States"/>
    <x v="17"/>
    <x v="18"/>
    <x v="3"/>
    <s v="FUR-FU-104558"/>
    <x v="0"/>
    <x v="0"/>
    <s v="Lambert Swing Arm Desk Lamp"/>
    <n v="50.163699999999999"/>
    <n v="1"/>
    <n v="26.982600000000001"/>
    <x v="5"/>
    <x v="6"/>
  </r>
  <r>
    <x v="864"/>
    <x v="651"/>
    <x v="661"/>
    <x v="2"/>
    <s v="LW-11827"/>
    <s v="Lindsey Walker"/>
    <x v="2"/>
    <s v="United States"/>
    <x v="17"/>
    <x v="18"/>
    <x v="3"/>
    <s v="FUR-FU-106906"/>
    <x v="0"/>
    <x v="0"/>
    <s v="Cobalt LED Magnifier Lamp with Clamp Base"/>
    <n v="93.184700000000007"/>
    <n v="2"/>
    <n v="-38.819400000000002"/>
    <x v="5"/>
    <x v="6"/>
  </r>
  <r>
    <x v="865"/>
    <x v="652"/>
    <x v="443"/>
    <x v="1"/>
    <s v="AK-10750"/>
    <s v="Amber Kidd"/>
    <x v="2"/>
    <s v="United States"/>
    <x v="121"/>
    <x v="3"/>
    <x v="1"/>
    <s v="FUR-CH-100444"/>
    <x v="0"/>
    <x v="1"/>
    <s v="Harborview Mesh Task Chair, Adjustable Arms"/>
    <n v="407.36110000000002"/>
    <n v="6"/>
    <n v="22.219000000000001"/>
    <x v="7"/>
    <x v="5"/>
  </r>
  <r>
    <x v="866"/>
    <x v="653"/>
    <x v="662"/>
    <x v="3"/>
    <s v="JS-14861"/>
    <s v="Jeremy Sampson"/>
    <x v="2"/>
    <s v="United States"/>
    <x v="19"/>
    <x v="20"/>
    <x v="2"/>
    <s v="FUR-CH-102091"/>
    <x v="0"/>
    <x v="1"/>
    <s v="Vantage Swivel Task Chair, Blue"/>
    <n v="287.28269999999998"/>
    <n v="3"/>
    <n v="11.4169"/>
    <x v="7"/>
    <x v="1"/>
  </r>
  <r>
    <x v="867"/>
    <x v="654"/>
    <x v="126"/>
    <x v="2"/>
    <s v="MA-16883"/>
    <s v="Mr. Aaron Arnold"/>
    <x v="2"/>
    <s v="United States"/>
    <x v="60"/>
    <x v="40"/>
    <x v="0"/>
    <s v="FUR-BO-100475"/>
    <x v="0"/>
    <x v="2"/>
    <s v="Overton 3-Shelf Corner Bookcase"/>
    <n v="1365.9386"/>
    <n v="2"/>
    <n v="-254.14060000000001"/>
    <x v="5"/>
    <x v="11"/>
  </r>
  <r>
    <x v="868"/>
    <x v="143"/>
    <x v="663"/>
    <x v="2"/>
    <s v="DD-21438"/>
    <s v="Debra Davidson"/>
    <x v="0"/>
    <s v="United States"/>
    <x v="38"/>
    <x v="32"/>
    <x v="3"/>
    <s v="FUR-FU-101124"/>
    <x v="0"/>
    <x v="0"/>
    <s v="Rutledge Desk Organizer Tray, Letter Size"/>
    <n v="42.9405"/>
    <n v="4"/>
    <n v="-11.0252"/>
    <x v="0"/>
    <x v="3"/>
  </r>
  <r>
    <x v="869"/>
    <x v="655"/>
    <x v="272"/>
    <x v="2"/>
    <s v="JB-13923"/>
    <s v="John Bishop"/>
    <x v="0"/>
    <s v="United States"/>
    <x v="82"/>
    <x v="19"/>
    <x v="2"/>
    <s v="FUR-TA-105355"/>
    <x v="0"/>
    <x v="3"/>
    <s v="Wexford Racetrack Conference Table"/>
    <n v="448.06299999999999"/>
    <n v="3"/>
    <n v="110.1028"/>
    <x v="1"/>
    <x v="0"/>
  </r>
  <r>
    <x v="870"/>
    <x v="134"/>
    <x v="499"/>
    <x v="2"/>
    <s v="GP-19502"/>
    <s v="Gregory Peck"/>
    <x v="2"/>
    <s v="United States"/>
    <x v="121"/>
    <x v="3"/>
    <x v="1"/>
    <s v="FUR-CH-107657"/>
    <x v="0"/>
    <x v="1"/>
    <s v="Hollis Stacking Chair, Rounded Back"/>
    <n v="469.29180000000002"/>
    <n v="2"/>
    <n v="25.616599999999998"/>
    <x v="7"/>
    <x v="5"/>
  </r>
  <r>
    <x v="871"/>
    <x v="656"/>
    <x v="664"/>
    <x v="2"/>
    <s v="HL-18900"/>
    <s v="Hannah Luna"/>
    <x v="1"/>
    <s v="United States"/>
    <x v="37"/>
    <x v="14"/>
    <x v="3"/>
    <s v="FUR-FU-100853"/>
    <x v="0"/>
    <x v="0"/>
    <s v="Blaine Cubicle Wall Clock, Black"/>
    <n v="15.3399"/>
    <n v="1"/>
    <n v="11.080299999999999"/>
    <x v="5"/>
    <x v="0"/>
  </r>
  <r>
    <x v="871"/>
    <x v="656"/>
    <x v="664"/>
    <x v="2"/>
    <s v="HL-18900"/>
    <s v="Hannah Luna"/>
    <x v="1"/>
    <s v="United States"/>
    <x v="37"/>
    <x v="14"/>
    <x v="3"/>
    <s v="FUR-CH-109246"/>
    <x v="0"/>
    <x v="1"/>
    <s v="Beckett Steno Chair, Gray"/>
    <n v="518.70820000000003"/>
    <n v="4"/>
    <n v="-197.2088"/>
    <x v="5"/>
    <x v="0"/>
  </r>
  <r>
    <x v="872"/>
    <x v="229"/>
    <x v="665"/>
    <x v="2"/>
    <s v="VM-14649"/>
    <s v="Victor Morris"/>
    <x v="2"/>
    <s v="United States"/>
    <x v="96"/>
    <x v="15"/>
    <x v="1"/>
    <s v="FUR-CH-105507"/>
    <x v="0"/>
    <x v="1"/>
    <s v="Kingsley Mesh-Back Task Chair"/>
    <n v="3506.5014999999999"/>
    <n v="5"/>
    <n v="42.187199999999997"/>
    <x v="2"/>
    <x v="6"/>
  </r>
  <r>
    <x v="873"/>
    <x v="644"/>
    <x v="666"/>
    <x v="2"/>
    <s v="NM-15344"/>
    <s v="Nancy Evans MD"/>
    <x v="0"/>
    <s v="United States"/>
    <x v="96"/>
    <x v="15"/>
    <x v="1"/>
    <s v="FUR-FU-105733"/>
    <x v="0"/>
    <x v="0"/>
    <s v="Sable Halogen Replacement Bulb, 2-Pack"/>
    <n v="174.96549999999999"/>
    <n v="1"/>
    <n v="25.4161"/>
    <x v="0"/>
    <x v="11"/>
  </r>
  <r>
    <x v="874"/>
    <x v="657"/>
    <x v="18"/>
    <x v="0"/>
    <s v="PL-14033"/>
    <s v="Patricia Le"/>
    <x v="0"/>
    <s v="United States"/>
    <x v="11"/>
    <x v="12"/>
    <x v="2"/>
    <s v="FUR-TA-107564"/>
    <x v="0"/>
    <x v="3"/>
    <s v="Bellwood Slim Training Table, Light Gray"/>
    <n v="737.7627"/>
    <n v="1"/>
    <n v="-156.5779"/>
    <x v="7"/>
    <x v="2"/>
  </r>
  <r>
    <x v="874"/>
    <x v="657"/>
    <x v="18"/>
    <x v="0"/>
    <s v="PL-14033"/>
    <s v="Patricia Le"/>
    <x v="0"/>
    <s v="United States"/>
    <x v="11"/>
    <x v="12"/>
    <x v="2"/>
    <s v="FUR-CH-105507"/>
    <x v="0"/>
    <x v="1"/>
    <s v="Kingsley Mesh-Back Task Chair"/>
    <n v="455.6173"/>
    <n v="2"/>
    <n v="-46.231400000000001"/>
    <x v="7"/>
    <x v="2"/>
  </r>
  <r>
    <x v="875"/>
    <x v="658"/>
    <x v="667"/>
    <x v="2"/>
    <s v="JV-20510"/>
    <s v="Joshua Vance"/>
    <x v="2"/>
    <s v="United States"/>
    <x v="8"/>
    <x v="8"/>
    <x v="1"/>
    <s v="FUR-BO-109883"/>
    <x v="0"/>
    <x v="2"/>
    <s v="Ashford Mobile 4-Shelf Bookcase"/>
    <n v="67.005099999999999"/>
    <n v="2"/>
    <n v="1.1922999999999999"/>
    <x v="5"/>
    <x v="0"/>
  </r>
  <r>
    <x v="876"/>
    <x v="659"/>
    <x v="622"/>
    <x v="2"/>
    <s v="RB-21395"/>
    <s v="Renee Browning"/>
    <x v="1"/>
    <s v="United States"/>
    <x v="102"/>
    <x v="35"/>
    <x v="3"/>
    <s v="FUR-TA-106211"/>
    <x v="0"/>
    <x v="3"/>
    <s v="Grantham Half-Moon Meeting Table"/>
    <n v="699.19140000000004"/>
    <n v="1"/>
    <n v="-198.1936"/>
    <x v="2"/>
    <x v="2"/>
  </r>
  <r>
    <x v="877"/>
    <x v="660"/>
    <x v="668"/>
    <x v="2"/>
    <s v="VB-20532"/>
    <s v="Victor Baker"/>
    <x v="2"/>
    <s v="United States"/>
    <x v="123"/>
    <x v="24"/>
    <x v="1"/>
    <s v="FUR-BO-106865"/>
    <x v="0"/>
    <x v="2"/>
    <s v="Hartwell Oak 5-Shelf Bookcase"/>
    <n v="242.38939999999999"/>
    <n v="3"/>
    <n v="26.086200000000002"/>
    <x v="7"/>
    <x v="7"/>
  </r>
  <r>
    <x v="878"/>
    <x v="218"/>
    <x v="669"/>
    <x v="1"/>
    <s v="PD-15409"/>
    <s v="Pamela Diaz"/>
    <x v="1"/>
    <s v="United States"/>
    <x v="68"/>
    <x v="33"/>
    <x v="3"/>
    <s v="FUR-TA-100823"/>
    <x v="0"/>
    <x v="3"/>
    <s v="Redstone Wood Tables, Set of 2"/>
    <n v="488.05560000000003"/>
    <n v="4"/>
    <n v="-98.2654"/>
    <x v="7"/>
    <x v="6"/>
  </r>
  <r>
    <x v="879"/>
    <x v="661"/>
    <x v="670"/>
    <x v="0"/>
    <s v="CL-20147"/>
    <s v="Christian Leblanc"/>
    <x v="1"/>
    <s v="United States"/>
    <x v="59"/>
    <x v="39"/>
    <x v="0"/>
    <s v="FUR-FU-104558"/>
    <x v="0"/>
    <x v="0"/>
    <s v="Lambert Swing Arm Desk Lamp"/>
    <n v="8.5024999999999995"/>
    <n v="6"/>
    <n v="3.5118"/>
    <x v="5"/>
    <x v="1"/>
  </r>
  <r>
    <x v="880"/>
    <x v="662"/>
    <x v="671"/>
    <x v="0"/>
    <s v="BF-14573"/>
    <s v="Brandon Fleming"/>
    <x v="1"/>
    <s v="United States"/>
    <x v="9"/>
    <x v="10"/>
    <x v="1"/>
    <s v="FUR-CH-100444"/>
    <x v="0"/>
    <x v="1"/>
    <s v="Harborview Mesh Task Chair, Adjustable Arms"/>
    <n v="488.1046"/>
    <n v="1"/>
    <n v="-115.4492"/>
    <x v="1"/>
    <x v="8"/>
  </r>
  <r>
    <x v="881"/>
    <x v="663"/>
    <x v="672"/>
    <x v="1"/>
    <s v="BB-12536"/>
    <s v="Brett Burns"/>
    <x v="1"/>
    <s v="United States"/>
    <x v="92"/>
    <x v="46"/>
    <x v="3"/>
    <s v="FUR-TA-102223"/>
    <x v="0"/>
    <x v="3"/>
    <s v="Marchetti Round Conference Table, X-Base"/>
    <n v="359.66570000000002"/>
    <n v="11"/>
    <n v="-35.89"/>
    <x v="1"/>
    <x v="8"/>
  </r>
  <r>
    <x v="881"/>
    <x v="663"/>
    <x v="672"/>
    <x v="1"/>
    <s v="BB-12536"/>
    <s v="Brett Burns"/>
    <x v="1"/>
    <s v="United States"/>
    <x v="92"/>
    <x v="46"/>
    <x v="3"/>
    <s v="FUR-CH-102704"/>
    <x v="0"/>
    <x v="1"/>
    <s v="Brookline High-Back Executive Chair, Black Leather"/>
    <n v="1820.6874"/>
    <n v="4"/>
    <n v="779.9624"/>
    <x v="1"/>
    <x v="8"/>
  </r>
  <r>
    <x v="881"/>
    <x v="663"/>
    <x v="672"/>
    <x v="1"/>
    <s v="BB-12536"/>
    <s v="Brett Burns"/>
    <x v="1"/>
    <s v="United States"/>
    <x v="92"/>
    <x v="46"/>
    <x v="3"/>
    <s v="FUR-FU-100853"/>
    <x v="0"/>
    <x v="0"/>
    <s v="Blaine Cubicle Wall Clock, Black"/>
    <n v="26.578399999999998"/>
    <n v="2"/>
    <n v="-5.2431000000000001"/>
    <x v="1"/>
    <x v="8"/>
  </r>
  <r>
    <x v="882"/>
    <x v="664"/>
    <x v="284"/>
    <x v="3"/>
    <s v="PL-13143"/>
    <s v="Paula Lane"/>
    <x v="2"/>
    <s v="United States"/>
    <x v="52"/>
    <x v="38"/>
    <x v="1"/>
    <s v="FUR-FU-108837"/>
    <x v="0"/>
    <x v="0"/>
    <s v="Ivanhoe Poster Frame, Aluminum"/>
    <n v="254.0257"/>
    <n v="3"/>
    <n v="63.158299999999997"/>
    <x v="7"/>
    <x v="6"/>
  </r>
  <r>
    <x v="883"/>
    <x v="665"/>
    <x v="377"/>
    <x v="2"/>
    <s v="RH-16548"/>
    <s v="Rebecca Hicks"/>
    <x v="0"/>
    <s v="United States"/>
    <x v="106"/>
    <x v="34"/>
    <x v="1"/>
    <s v="FUR-FU-100317"/>
    <x v="0"/>
    <x v="0"/>
    <s v="Nomad Floor Lamp, Telescoping Adjustable"/>
    <n v="235.4365"/>
    <n v="6"/>
    <n v="-5.1896000000000004"/>
    <x v="0"/>
    <x v="0"/>
  </r>
  <r>
    <x v="884"/>
    <x v="666"/>
    <x v="673"/>
    <x v="2"/>
    <s v="LM-12170"/>
    <s v="Laura Mckinney"/>
    <x v="2"/>
    <s v="United States"/>
    <x v="62"/>
    <x v="25"/>
    <x v="3"/>
    <s v="FUR-FU-106211"/>
    <x v="0"/>
    <x v="0"/>
    <s v="Aurora Brushed Chrome Wall Clock, 14in"/>
    <n v="53.582599999999999"/>
    <n v="1"/>
    <n v="-39.079900000000002"/>
    <x v="2"/>
    <x v="11"/>
  </r>
  <r>
    <x v="885"/>
    <x v="667"/>
    <x v="674"/>
    <x v="2"/>
    <s v="JB-18928"/>
    <s v="Justin Baker"/>
    <x v="0"/>
    <s v="United States"/>
    <x v="106"/>
    <x v="34"/>
    <x v="1"/>
    <s v="FUR-FU-100317"/>
    <x v="0"/>
    <x v="0"/>
    <s v="Nomad Floor Lamp, Telescoping Adjustable"/>
    <n v="100.1027"/>
    <n v="3"/>
    <n v="28.372299999999999"/>
    <x v="7"/>
    <x v="7"/>
  </r>
  <r>
    <x v="886"/>
    <x v="668"/>
    <x v="675"/>
    <x v="2"/>
    <s v="SW-19292"/>
    <s v="Shannon Walker"/>
    <x v="1"/>
    <s v="United States"/>
    <x v="0"/>
    <x v="6"/>
    <x v="1"/>
    <s v="FUR-CH-101375"/>
    <x v="0"/>
    <x v="1"/>
    <s v="Sutton Push-Button Manager's Chair, Indigo"/>
    <n v="442.55560000000003"/>
    <n v="2"/>
    <n v="230.80350000000001"/>
    <x v="3"/>
    <x v="8"/>
  </r>
  <r>
    <x v="887"/>
    <x v="669"/>
    <x v="577"/>
    <x v="0"/>
    <s v="BR-11535"/>
    <s v="Brian Ramirez"/>
    <x v="2"/>
    <s v="United States"/>
    <x v="121"/>
    <x v="3"/>
    <x v="1"/>
    <s v="FUR-CH-109246"/>
    <x v="0"/>
    <x v="1"/>
    <s v="Beckett Steno Chair, Gray"/>
    <n v="628.98860000000002"/>
    <n v="2"/>
    <n v="10.5783"/>
    <x v="1"/>
    <x v="8"/>
  </r>
  <r>
    <x v="888"/>
    <x v="226"/>
    <x v="204"/>
    <x v="2"/>
    <s v="MM-21032"/>
    <s v="Matthew Moore"/>
    <x v="1"/>
    <s v="United States"/>
    <x v="65"/>
    <x v="41"/>
    <x v="3"/>
    <s v="FUR-FU-108837"/>
    <x v="0"/>
    <x v="0"/>
    <s v="Ivanhoe Poster Frame, Aluminum"/>
    <n v="156.738"/>
    <n v="3"/>
    <n v="-13.026199999999999"/>
    <x v="4"/>
    <x v="3"/>
  </r>
  <r>
    <x v="888"/>
    <x v="226"/>
    <x v="204"/>
    <x v="2"/>
    <s v="MM-21032"/>
    <s v="Matthew Moore"/>
    <x v="1"/>
    <s v="United States"/>
    <x v="65"/>
    <x v="41"/>
    <x v="3"/>
    <s v="FUR-TA-105363"/>
    <x v="0"/>
    <x v="3"/>
    <s v="Ashcombe Rectangular Table Top"/>
    <n v="173.3287"/>
    <n v="1"/>
    <n v="-50.054200000000002"/>
    <x v="4"/>
    <x v="3"/>
  </r>
  <r>
    <x v="889"/>
    <x v="670"/>
    <x v="676"/>
    <x v="2"/>
    <s v="CG-14552"/>
    <s v="Cassandra Gaines"/>
    <x v="0"/>
    <s v="United States"/>
    <x v="36"/>
    <x v="31"/>
    <x v="2"/>
    <s v="FUR-FU-107705"/>
    <x v="0"/>
    <x v="0"/>
    <s v="Hawthorne Desk Accessory Set, Oak"/>
    <n v="15.116300000000001"/>
    <n v="5"/>
    <n v="-4.9889000000000001"/>
    <x v="0"/>
    <x v="7"/>
  </r>
  <r>
    <x v="890"/>
    <x v="671"/>
    <x v="86"/>
    <x v="2"/>
    <s v="LM-18837"/>
    <s v="Lindsay Martinez"/>
    <x v="2"/>
    <s v="United States"/>
    <x v="45"/>
    <x v="34"/>
    <x v="1"/>
    <s v="FUR-FU-106211"/>
    <x v="0"/>
    <x v="0"/>
    <s v="Aurora Brushed Chrome Wall Clock, 14in"/>
    <n v="13.539099999999999"/>
    <n v="3"/>
    <n v="-6.1771000000000003"/>
    <x v="1"/>
    <x v="8"/>
  </r>
  <r>
    <x v="891"/>
    <x v="672"/>
    <x v="529"/>
    <x v="2"/>
    <s v="CG-21690"/>
    <s v="Chelsea Gill"/>
    <x v="2"/>
    <s v="United States"/>
    <x v="55"/>
    <x v="12"/>
    <x v="2"/>
    <s v="FUR-FU-101341"/>
    <x v="0"/>
    <x v="0"/>
    <s v="Griswold Chairmats for Medium Pile Carpet"/>
    <n v="26.9194"/>
    <n v="2"/>
    <n v="-6.8449999999999998"/>
    <x v="5"/>
    <x v="6"/>
  </r>
  <r>
    <x v="892"/>
    <x v="673"/>
    <x v="601"/>
    <x v="2"/>
    <s v="MJ-13388"/>
    <s v="Mary Jensen"/>
    <x v="0"/>
    <s v="United States"/>
    <x v="72"/>
    <x v="6"/>
    <x v="1"/>
    <s v="FUR-BO-104471"/>
    <x v="0"/>
    <x v="2"/>
    <s v="Camden Modular Bookcase, Custom Colors"/>
    <n v="39.029400000000003"/>
    <n v="4"/>
    <n v="-0.59799999999999998"/>
    <x v="5"/>
    <x v="9"/>
  </r>
  <r>
    <x v="893"/>
    <x v="131"/>
    <x v="677"/>
    <x v="2"/>
    <s v="KW-20339"/>
    <s v="Kevin Walters"/>
    <x v="2"/>
    <s v="United States"/>
    <x v="40"/>
    <x v="15"/>
    <x v="1"/>
    <s v="FUR-CH-108751"/>
    <x v="0"/>
    <x v="1"/>
    <s v="Prescott Ergonomic Chair with Lumbar Support"/>
    <n v="994.49260000000004"/>
    <n v="5"/>
    <n v="150.96199999999999"/>
    <x v="2"/>
    <x v="0"/>
  </r>
  <r>
    <x v="893"/>
    <x v="131"/>
    <x v="677"/>
    <x v="2"/>
    <s v="KW-20339"/>
    <s v="Kevin Walters"/>
    <x v="2"/>
    <s v="United States"/>
    <x v="40"/>
    <x v="15"/>
    <x v="1"/>
    <s v="FUR-FU-107705"/>
    <x v="0"/>
    <x v="0"/>
    <s v="Hawthorne Desk Accessory Set, Oak"/>
    <n v="26.579799999999999"/>
    <n v="3"/>
    <n v="-1.4708000000000001"/>
    <x v="2"/>
    <x v="0"/>
  </r>
  <r>
    <x v="894"/>
    <x v="187"/>
    <x v="678"/>
    <x v="2"/>
    <s v="TB-14499"/>
    <s v="Tammy Boone"/>
    <x v="2"/>
    <s v="United States"/>
    <x v="71"/>
    <x v="4"/>
    <x v="1"/>
    <s v="FUR-CH-109246"/>
    <x v="0"/>
    <x v="1"/>
    <s v="Beckett Steno Chair, Gray"/>
    <n v="571.06460000000004"/>
    <n v="2"/>
    <n v="24.816400000000002"/>
    <x v="7"/>
    <x v="4"/>
  </r>
  <r>
    <x v="895"/>
    <x v="674"/>
    <x v="679"/>
    <x v="0"/>
    <s v="CW-18099"/>
    <s v="Colleen Wright"/>
    <x v="2"/>
    <s v="United States"/>
    <x v="72"/>
    <x v="6"/>
    <x v="1"/>
    <s v="FUR-FU-104133"/>
    <x v="0"/>
    <x v="0"/>
    <s v="Preston Wood Photo Frame, Mahogany"/>
    <n v="197.07259999999999"/>
    <n v="2"/>
    <n v="7.8135000000000003"/>
    <x v="3"/>
    <x v="5"/>
  </r>
  <r>
    <x v="896"/>
    <x v="571"/>
    <x v="680"/>
    <x v="3"/>
    <s v="FK-13841"/>
    <s v="Felicia Krueger"/>
    <x v="1"/>
    <s v="United States"/>
    <x v="36"/>
    <x v="31"/>
    <x v="2"/>
    <s v="FUR-FU-105733"/>
    <x v="0"/>
    <x v="0"/>
    <s v="Sable Halogen Replacement Bulb, 2-Pack"/>
    <n v="197.40190000000001"/>
    <n v="1"/>
    <n v="5.3954000000000004"/>
    <x v="7"/>
    <x v="5"/>
  </r>
  <r>
    <x v="896"/>
    <x v="571"/>
    <x v="680"/>
    <x v="3"/>
    <s v="FK-13841"/>
    <s v="Felicia Krueger"/>
    <x v="1"/>
    <s v="United States"/>
    <x v="36"/>
    <x v="31"/>
    <x v="2"/>
    <s v="FUR-TA-107449"/>
    <x v="0"/>
    <x v="3"/>
    <s v="Pembroke 36 x 72 Conference Table"/>
    <n v="272.76420000000002"/>
    <n v="2"/>
    <n v="-86.496099999999998"/>
    <x v="7"/>
    <x v="5"/>
  </r>
  <r>
    <x v="896"/>
    <x v="571"/>
    <x v="680"/>
    <x v="3"/>
    <s v="FK-13841"/>
    <s v="Felicia Krueger"/>
    <x v="1"/>
    <s v="United States"/>
    <x v="36"/>
    <x v="31"/>
    <x v="2"/>
    <s v="FUR-FU-101124"/>
    <x v="0"/>
    <x v="0"/>
    <s v="Rutledge Desk Organizer Tray, Letter Size"/>
    <n v="17.781700000000001"/>
    <n v="5"/>
    <n v="4.0914999999999999"/>
    <x v="7"/>
    <x v="5"/>
  </r>
  <r>
    <x v="897"/>
    <x v="409"/>
    <x v="57"/>
    <x v="2"/>
    <s v="JG-18821"/>
    <s v="James Gilbert"/>
    <x v="1"/>
    <s v="United States"/>
    <x v="88"/>
    <x v="31"/>
    <x v="2"/>
    <s v="FUR-CH-107657"/>
    <x v="0"/>
    <x v="1"/>
    <s v="Hollis Stacking Chair, Rounded Back"/>
    <n v="349.55040000000002"/>
    <n v="1"/>
    <n v="-55.950400000000002"/>
    <x v="5"/>
    <x v="8"/>
  </r>
  <r>
    <x v="897"/>
    <x v="409"/>
    <x v="57"/>
    <x v="2"/>
    <s v="JG-18821"/>
    <s v="James Gilbert"/>
    <x v="1"/>
    <s v="United States"/>
    <x v="88"/>
    <x v="31"/>
    <x v="2"/>
    <s v="FUR-CH-108751"/>
    <x v="0"/>
    <x v="1"/>
    <s v="Prescott Ergonomic Chair with Lumbar Support"/>
    <n v="564.33690000000001"/>
    <n v="4"/>
    <n v="258.21170000000001"/>
    <x v="5"/>
    <x v="8"/>
  </r>
  <r>
    <x v="898"/>
    <x v="664"/>
    <x v="681"/>
    <x v="2"/>
    <s v="JD-19105"/>
    <s v="Johnathan Davis"/>
    <x v="1"/>
    <s v="United States"/>
    <x v="68"/>
    <x v="33"/>
    <x v="3"/>
    <s v="FUR-CH-109697"/>
    <x v="0"/>
    <x v="1"/>
    <s v="Rowan Mid-Back Tilter Chair"/>
    <n v="151.8656"/>
    <n v="2"/>
    <n v="5.3728999999999996"/>
    <x v="2"/>
    <x v="6"/>
  </r>
  <r>
    <x v="899"/>
    <x v="596"/>
    <x v="682"/>
    <x v="2"/>
    <s v="MM-11269"/>
    <s v="Michael Morrison"/>
    <x v="2"/>
    <s v="United States"/>
    <x v="34"/>
    <x v="29"/>
    <x v="0"/>
    <s v="FUR-CH-100441"/>
    <x v="0"/>
    <x v="1"/>
    <s v="Dalton Folding Chair, 4/Carton"/>
    <n v="363.94929999999999"/>
    <n v="3"/>
    <n v="132.33279999999999"/>
    <x v="1"/>
    <x v="9"/>
  </r>
  <r>
    <x v="899"/>
    <x v="596"/>
    <x v="682"/>
    <x v="2"/>
    <s v="MM-11269"/>
    <s v="Michael Morrison"/>
    <x v="2"/>
    <s v="United States"/>
    <x v="34"/>
    <x v="29"/>
    <x v="0"/>
    <s v="FUR-FU-103673"/>
    <x v="0"/>
    <x v="0"/>
    <s v="Corcoran Document Holder, Wood"/>
    <n v="120.60429999999999"/>
    <n v="5"/>
    <n v="-4.1882000000000001"/>
    <x v="1"/>
    <x v="9"/>
  </r>
  <r>
    <x v="900"/>
    <x v="675"/>
    <x v="211"/>
    <x v="2"/>
    <s v="MC-17579"/>
    <s v="Margaret Coleman"/>
    <x v="2"/>
    <s v="United States"/>
    <x v="65"/>
    <x v="41"/>
    <x v="3"/>
    <s v="FUR-FU-104133"/>
    <x v="0"/>
    <x v="0"/>
    <s v="Preston Wood Photo Frame, Mahogany"/>
    <n v="340.09390000000002"/>
    <n v="2"/>
    <n v="158.88380000000001"/>
    <x v="1"/>
    <x v="11"/>
  </r>
  <r>
    <x v="901"/>
    <x v="33"/>
    <x v="73"/>
    <x v="0"/>
    <s v="BR-11535"/>
    <s v="Brian Ramirez"/>
    <x v="2"/>
    <s v="United States"/>
    <x v="31"/>
    <x v="28"/>
    <x v="2"/>
    <s v="FUR-FU-106211"/>
    <x v="0"/>
    <x v="0"/>
    <s v="Aurora Brushed Chrome Wall Clock, 14in"/>
    <n v="306.12110000000001"/>
    <n v="4"/>
    <n v="186.44749999999999"/>
    <x v="0"/>
    <x v="7"/>
  </r>
  <r>
    <x v="901"/>
    <x v="33"/>
    <x v="73"/>
    <x v="0"/>
    <s v="BR-11535"/>
    <s v="Brian Ramirez"/>
    <x v="2"/>
    <s v="United States"/>
    <x v="31"/>
    <x v="28"/>
    <x v="2"/>
    <s v="FUR-FU-104558"/>
    <x v="0"/>
    <x v="0"/>
    <s v="Lambert Swing Arm Desk Lamp"/>
    <n v="5.3432000000000004"/>
    <n v="3"/>
    <n v="1.0316000000000001"/>
    <x v="0"/>
    <x v="7"/>
  </r>
  <r>
    <x v="902"/>
    <x v="410"/>
    <x v="683"/>
    <x v="0"/>
    <s v="TT-20392"/>
    <s v="Travis Tucker"/>
    <x v="2"/>
    <s v="United States"/>
    <x v="18"/>
    <x v="19"/>
    <x v="2"/>
    <s v="FUR-FU-107705"/>
    <x v="0"/>
    <x v="0"/>
    <s v="Hawthorne Desk Accessory Set, Oak"/>
    <n v="149.58670000000001"/>
    <n v="4"/>
    <n v="123.4798"/>
    <x v="7"/>
    <x v="10"/>
  </r>
  <r>
    <x v="903"/>
    <x v="67"/>
    <x v="409"/>
    <x v="0"/>
    <s v="JP-15635"/>
    <s v="John Pierce"/>
    <x v="2"/>
    <s v="United States"/>
    <x v="50"/>
    <x v="21"/>
    <x v="1"/>
    <s v="FUR-TA-107564"/>
    <x v="0"/>
    <x v="3"/>
    <s v="Bellwood Slim Training Table, Light Gray"/>
    <n v="453.0523"/>
    <n v="1"/>
    <n v="-36.273699999999998"/>
    <x v="5"/>
    <x v="6"/>
  </r>
  <r>
    <x v="904"/>
    <x v="676"/>
    <x v="574"/>
    <x v="2"/>
    <s v="MB-21808"/>
    <s v="Michelle Brown"/>
    <x v="0"/>
    <s v="United States"/>
    <x v="14"/>
    <x v="15"/>
    <x v="1"/>
    <s v="FUR-TA-107449"/>
    <x v="0"/>
    <x v="3"/>
    <s v="Pembroke 36 x 72 Conference Table"/>
    <n v="160.25710000000001"/>
    <n v="1"/>
    <n v="-59.831000000000003"/>
    <x v="4"/>
    <x v="7"/>
  </r>
  <r>
    <x v="905"/>
    <x v="677"/>
    <x v="616"/>
    <x v="2"/>
    <s v="DD-19641"/>
    <s v="David Davis"/>
    <x v="2"/>
    <s v="United States"/>
    <x v="114"/>
    <x v="42"/>
    <x v="1"/>
    <s v="FUR-CH-102704"/>
    <x v="0"/>
    <x v="1"/>
    <s v="Brookline High-Back Executive Chair, Black Leather"/>
    <n v="522.44179999999994"/>
    <n v="5"/>
    <n v="133.92599999999999"/>
    <x v="2"/>
    <x v="3"/>
  </r>
  <r>
    <x v="906"/>
    <x v="678"/>
    <x v="652"/>
    <x v="2"/>
    <s v="AE-18835"/>
    <s v="Anthony Everett"/>
    <x v="2"/>
    <s v="United States"/>
    <x v="28"/>
    <x v="4"/>
    <x v="1"/>
    <s v="FUR-CH-106455"/>
    <x v="0"/>
    <x v="1"/>
    <s v="Nolan Leather Highback Chair, Pneumatic Adjustment"/>
    <n v="607.81719999999996"/>
    <n v="2"/>
    <n v="95.918700000000001"/>
    <x v="3"/>
    <x v="11"/>
  </r>
  <r>
    <x v="907"/>
    <x v="456"/>
    <x v="684"/>
    <x v="1"/>
    <s v="MH-18317"/>
    <s v="Matthew Harrington"/>
    <x v="2"/>
    <s v="United States"/>
    <x v="71"/>
    <x v="4"/>
    <x v="1"/>
    <s v="FUR-BO-107140"/>
    <x v="0"/>
    <x v="2"/>
    <s v="Delacroix Lawyers Bookcase, Cherry Finish"/>
    <n v="409.0933"/>
    <n v="6"/>
    <n v="212.68360000000001"/>
    <x v="1"/>
    <x v="9"/>
  </r>
  <r>
    <x v="908"/>
    <x v="679"/>
    <x v="74"/>
    <x v="2"/>
    <s v="ZH-13611"/>
    <s v="Zachary Hicks"/>
    <x v="1"/>
    <s v="United States"/>
    <x v="48"/>
    <x v="35"/>
    <x v="3"/>
    <s v="FUR-CH-109246"/>
    <x v="0"/>
    <x v="1"/>
    <s v="Beckett Steno Chair, Gray"/>
    <n v="44.231499999999997"/>
    <n v="3"/>
    <n v="-0.2858"/>
    <x v="7"/>
    <x v="4"/>
  </r>
  <r>
    <x v="909"/>
    <x v="680"/>
    <x v="685"/>
    <x v="0"/>
    <s v="DE-13114"/>
    <s v="Dr. Michael Evans"/>
    <x v="2"/>
    <s v="United States"/>
    <x v="46"/>
    <x v="28"/>
    <x v="2"/>
    <s v="FUR-TA-100823"/>
    <x v="0"/>
    <x v="3"/>
    <s v="Redstone Wood Tables, Set of 2"/>
    <n v="116.4799"/>
    <n v="2"/>
    <n v="5.9600999999999997"/>
    <x v="7"/>
    <x v="8"/>
  </r>
  <r>
    <x v="910"/>
    <x v="681"/>
    <x v="469"/>
    <x v="0"/>
    <s v="EB-13139"/>
    <s v="Elaine Brooks"/>
    <x v="1"/>
    <s v="United States"/>
    <x v="58"/>
    <x v="32"/>
    <x v="3"/>
    <s v="FUR-CH-109697"/>
    <x v="0"/>
    <x v="1"/>
    <s v="Rowan Mid-Back Tilter Chair"/>
    <n v="191.7389"/>
    <n v="2"/>
    <n v="38.231900000000003"/>
    <x v="0"/>
    <x v="9"/>
  </r>
  <r>
    <x v="911"/>
    <x v="187"/>
    <x v="678"/>
    <x v="2"/>
    <s v="JA-15862"/>
    <s v="Jose Allen"/>
    <x v="1"/>
    <s v="United States"/>
    <x v="39"/>
    <x v="33"/>
    <x v="3"/>
    <s v="FUR-FU-100853"/>
    <x v="0"/>
    <x v="0"/>
    <s v="Blaine Cubicle Wall Clock, Black"/>
    <n v="3.8022"/>
    <n v="9"/>
    <n v="1.5537000000000001"/>
    <x v="7"/>
    <x v="4"/>
  </r>
  <r>
    <x v="912"/>
    <x v="682"/>
    <x v="102"/>
    <x v="2"/>
    <s v="CV-12851"/>
    <s v="Christian Vaughn"/>
    <x v="1"/>
    <s v="United States"/>
    <x v="87"/>
    <x v="17"/>
    <x v="3"/>
    <s v="FUR-CH-107657"/>
    <x v="0"/>
    <x v="1"/>
    <s v="Hollis Stacking Chair, Rounded Back"/>
    <n v="503.63330000000002"/>
    <n v="4"/>
    <n v="191.46709999999999"/>
    <x v="2"/>
    <x v="11"/>
  </r>
  <r>
    <x v="912"/>
    <x v="682"/>
    <x v="102"/>
    <x v="2"/>
    <s v="CV-12851"/>
    <s v="Christian Vaughn"/>
    <x v="1"/>
    <s v="United States"/>
    <x v="87"/>
    <x v="17"/>
    <x v="3"/>
    <s v="FUR-CH-102704"/>
    <x v="0"/>
    <x v="1"/>
    <s v="Brookline High-Back Executive Chair, Black Leather"/>
    <n v="220.5523"/>
    <n v="2"/>
    <n v="52.159300000000002"/>
    <x v="2"/>
    <x v="11"/>
  </r>
  <r>
    <x v="913"/>
    <x v="683"/>
    <x v="686"/>
    <x v="3"/>
    <s v="JV-20510"/>
    <s v="Joshua Vance"/>
    <x v="2"/>
    <s v="United States"/>
    <x v="30"/>
    <x v="27"/>
    <x v="0"/>
    <s v="FUR-FU-106211"/>
    <x v="0"/>
    <x v="0"/>
    <s v="Aurora Brushed Chrome Wall Clock, 14in"/>
    <n v="44.188099999999999"/>
    <n v="6"/>
    <n v="11.176600000000001"/>
    <x v="7"/>
    <x v="10"/>
  </r>
  <r>
    <x v="913"/>
    <x v="683"/>
    <x v="686"/>
    <x v="3"/>
    <s v="JV-20510"/>
    <s v="Joshua Vance"/>
    <x v="2"/>
    <s v="United States"/>
    <x v="30"/>
    <x v="27"/>
    <x v="0"/>
    <s v="FUR-TA-105363"/>
    <x v="0"/>
    <x v="3"/>
    <s v="Ashcombe Rectangular Table Top"/>
    <n v="610.27179999999998"/>
    <n v="2"/>
    <n v="-342.38189999999997"/>
    <x v="7"/>
    <x v="10"/>
  </r>
  <r>
    <x v="914"/>
    <x v="684"/>
    <x v="610"/>
    <x v="0"/>
    <s v="AV-16126"/>
    <s v="Angela Vaughn"/>
    <x v="2"/>
    <s v="United States"/>
    <x v="4"/>
    <x v="4"/>
    <x v="1"/>
    <s v="FUR-TA-105355"/>
    <x v="0"/>
    <x v="3"/>
    <s v="Wexford Racetrack Conference Table"/>
    <n v="1253.0802000000001"/>
    <n v="4"/>
    <n v="-177.87559999999999"/>
    <x v="0"/>
    <x v="5"/>
  </r>
  <r>
    <x v="915"/>
    <x v="33"/>
    <x v="687"/>
    <x v="2"/>
    <s v="DD-19641"/>
    <s v="David Davis"/>
    <x v="0"/>
    <s v="United States"/>
    <x v="43"/>
    <x v="7"/>
    <x v="2"/>
    <s v="FUR-CH-107657"/>
    <x v="0"/>
    <x v="1"/>
    <s v="Hollis Stacking Chair, Rounded Back"/>
    <n v="929.4701"/>
    <n v="5"/>
    <n v="409.15559999999999"/>
    <x v="4"/>
    <x v="7"/>
  </r>
  <r>
    <x v="916"/>
    <x v="685"/>
    <x v="248"/>
    <x v="2"/>
    <s v="NJ-14114"/>
    <s v="Nancy Jennings"/>
    <x v="0"/>
    <s v="United States"/>
    <x v="61"/>
    <x v="10"/>
    <x v="1"/>
    <s v="FUR-CH-106624"/>
    <x v="0"/>
    <x v="1"/>
    <s v="Adler Fabric Manager's Chair, Slate Gray"/>
    <n v="1141.4472000000001"/>
    <n v="4"/>
    <n v="-176.21440000000001"/>
    <x v="1"/>
    <x v="0"/>
  </r>
  <r>
    <x v="917"/>
    <x v="588"/>
    <x v="688"/>
    <x v="2"/>
    <s v="DJ-15930"/>
    <s v="Dustin Jordan"/>
    <x v="1"/>
    <s v="United States"/>
    <x v="43"/>
    <x v="7"/>
    <x v="2"/>
    <s v="FUR-CH-107657"/>
    <x v="0"/>
    <x v="1"/>
    <s v="Hollis Stacking Chair, Rounded Back"/>
    <n v="332.70440000000002"/>
    <n v="5"/>
    <n v="124.1203"/>
    <x v="5"/>
    <x v="2"/>
  </r>
  <r>
    <x v="918"/>
    <x v="166"/>
    <x v="75"/>
    <x v="2"/>
    <s v="KE-16653"/>
    <s v="Kelly Edwards"/>
    <x v="1"/>
    <s v="United States"/>
    <x v="40"/>
    <x v="15"/>
    <x v="1"/>
    <s v="FUR-CH-105507"/>
    <x v="0"/>
    <x v="1"/>
    <s v="Kingsley Mesh-Back Task Chair"/>
    <n v="250.86709999999999"/>
    <n v="3"/>
    <n v="145.51660000000001"/>
    <x v="6"/>
    <x v="6"/>
  </r>
  <r>
    <x v="919"/>
    <x v="686"/>
    <x v="689"/>
    <x v="2"/>
    <s v="MM-16118"/>
    <s v="Matthew Moore"/>
    <x v="2"/>
    <s v="United States"/>
    <x v="27"/>
    <x v="26"/>
    <x v="3"/>
    <s v="FUR-FU-104558"/>
    <x v="0"/>
    <x v="0"/>
    <s v="Lambert Swing Arm Desk Lamp"/>
    <n v="16.2014"/>
    <n v="1"/>
    <n v="7.3598999999999997"/>
    <x v="1"/>
    <x v="3"/>
  </r>
  <r>
    <x v="920"/>
    <x v="687"/>
    <x v="563"/>
    <x v="1"/>
    <s v="MM-13593"/>
    <s v="Mary Marshall"/>
    <x v="1"/>
    <s v="United States"/>
    <x v="68"/>
    <x v="33"/>
    <x v="3"/>
    <s v="FUR-CH-108751"/>
    <x v="0"/>
    <x v="1"/>
    <s v="Prescott Ergonomic Chair with Lumbar Support"/>
    <n v="274.48180000000002"/>
    <n v="1"/>
    <n v="105.59480000000001"/>
    <x v="7"/>
    <x v="9"/>
  </r>
  <r>
    <x v="921"/>
    <x v="191"/>
    <x v="183"/>
    <x v="2"/>
    <s v="CG-21690"/>
    <s v="Chelsea Gill"/>
    <x v="2"/>
    <s v="United States"/>
    <x v="73"/>
    <x v="30"/>
    <x v="0"/>
    <s v="FUR-CH-101375"/>
    <x v="0"/>
    <x v="1"/>
    <s v="Sutton Push-Button Manager's Chair, Indigo"/>
    <n v="1088.5959"/>
    <n v="2"/>
    <n v="358.7593"/>
    <x v="1"/>
    <x v="5"/>
  </r>
  <r>
    <x v="921"/>
    <x v="191"/>
    <x v="183"/>
    <x v="2"/>
    <s v="CG-21690"/>
    <s v="Chelsea Gill"/>
    <x v="2"/>
    <s v="United States"/>
    <x v="73"/>
    <x v="30"/>
    <x v="0"/>
    <s v="FUR-CH-102704"/>
    <x v="0"/>
    <x v="1"/>
    <s v="Brookline High-Back Executive Chair, Black Leather"/>
    <n v="499.00560000000002"/>
    <n v="2"/>
    <n v="175.33510000000001"/>
    <x v="1"/>
    <x v="5"/>
  </r>
  <r>
    <x v="922"/>
    <x v="124"/>
    <x v="630"/>
    <x v="1"/>
    <s v="ME-13335"/>
    <s v="Mary Escobar"/>
    <x v="2"/>
    <s v="United States"/>
    <x v="51"/>
    <x v="37"/>
    <x v="0"/>
    <s v="FUR-CH-106455"/>
    <x v="0"/>
    <x v="1"/>
    <s v="Nolan Leather Highback Chair, Pneumatic Adjustment"/>
    <n v="463.81790000000001"/>
    <n v="3"/>
    <n v="158.7064"/>
    <x v="1"/>
    <x v="5"/>
  </r>
  <r>
    <x v="923"/>
    <x v="688"/>
    <x v="3"/>
    <x v="2"/>
    <s v="BM-12296"/>
    <s v="Briana Murray"/>
    <x v="2"/>
    <s v="United States"/>
    <x v="83"/>
    <x v="27"/>
    <x v="0"/>
    <s v="FUR-FU-100317"/>
    <x v="0"/>
    <x v="0"/>
    <s v="Nomad Floor Lamp, Telescoping Adjustable"/>
    <n v="66.927400000000006"/>
    <n v="2"/>
    <n v="0.1411"/>
    <x v="3"/>
    <x v="1"/>
  </r>
  <r>
    <x v="924"/>
    <x v="689"/>
    <x v="454"/>
    <x v="2"/>
    <s v="RJ-18348"/>
    <s v="Rebecca Jackson"/>
    <x v="0"/>
    <s v="United States"/>
    <x v="121"/>
    <x v="3"/>
    <x v="1"/>
    <s v="FUR-FU-100853"/>
    <x v="0"/>
    <x v="0"/>
    <s v="Blaine Cubicle Wall Clock, Black"/>
    <n v="9.81"/>
    <n v="4"/>
    <n v="-3.2530000000000001"/>
    <x v="2"/>
    <x v="10"/>
  </r>
  <r>
    <x v="925"/>
    <x v="76"/>
    <x v="579"/>
    <x v="0"/>
    <s v="DF-20485"/>
    <s v="Deborah Figueroa"/>
    <x v="1"/>
    <s v="United States"/>
    <x v="22"/>
    <x v="22"/>
    <x v="2"/>
    <s v="FUR-BO-103613"/>
    <x v="0"/>
    <x v="2"/>
    <s v="Winslow Corner Bookcase, White"/>
    <n v="535.61670000000004"/>
    <n v="5"/>
    <n v="-52.490699999999997"/>
    <x v="5"/>
    <x v="8"/>
  </r>
  <r>
    <x v="926"/>
    <x v="690"/>
    <x v="690"/>
    <x v="2"/>
    <s v="RV-15313"/>
    <s v="Rebecca Valencia"/>
    <x v="2"/>
    <s v="United States"/>
    <x v="99"/>
    <x v="20"/>
    <x v="2"/>
    <s v="FUR-FU-108837"/>
    <x v="0"/>
    <x v="0"/>
    <s v="Ivanhoe Poster Frame, Aluminum"/>
    <n v="191.46619999999999"/>
    <n v="4"/>
    <n v="-89.050200000000004"/>
    <x v="5"/>
    <x v="3"/>
  </r>
  <r>
    <x v="926"/>
    <x v="690"/>
    <x v="690"/>
    <x v="2"/>
    <s v="RV-15313"/>
    <s v="Rebecca Valencia"/>
    <x v="2"/>
    <s v="United States"/>
    <x v="99"/>
    <x v="20"/>
    <x v="2"/>
    <s v="FUR-CH-101375"/>
    <x v="0"/>
    <x v="1"/>
    <s v="Sutton Push-Button Manager's Chair, Indigo"/>
    <n v="557.66070000000002"/>
    <n v="7"/>
    <n v="-28.869700000000002"/>
    <x v="5"/>
    <x v="3"/>
  </r>
  <r>
    <x v="926"/>
    <x v="690"/>
    <x v="690"/>
    <x v="2"/>
    <s v="RV-15313"/>
    <s v="Rebecca Valencia"/>
    <x v="2"/>
    <s v="United States"/>
    <x v="99"/>
    <x v="20"/>
    <x v="2"/>
    <s v="FUR-TA-102977"/>
    <x v="0"/>
    <x v="3"/>
    <s v="Caldwell 44 x 96 Conference Table"/>
    <n v="318.89260000000002"/>
    <n v="3"/>
    <n v="-95.285300000000007"/>
    <x v="5"/>
    <x v="3"/>
  </r>
  <r>
    <x v="927"/>
    <x v="442"/>
    <x v="443"/>
    <x v="2"/>
    <s v="JV-20510"/>
    <s v="Joshua Vance"/>
    <x v="1"/>
    <s v="United States"/>
    <x v="72"/>
    <x v="6"/>
    <x v="1"/>
    <s v="FUR-BO-109883"/>
    <x v="0"/>
    <x v="2"/>
    <s v="Ashford Mobile 4-Shelf Bookcase"/>
    <n v="1079.3116"/>
    <n v="4"/>
    <n v="345.69799999999998"/>
    <x v="5"/>
    <x v="5"/>
  </r>
  <r>
    <x v="928"/>
    <x v="691"/>
    <x v="691"/>
    <x v="1"/>
    <s v="BG-11771"/>
    <s v="Bobby Guerrero"/>
    <x v="1"/>
    <s v="United States"/>
    <x v="123"/>
    <x v="24"/>
    <x v="1"/>
    <s v="FUR-CH-106455"/>
    <x v="0"/>
    <x v="1"/>
    <s v="Nolan Leather Highback Chair, Pneumatic Adjustment"/>
    <n v="86.268799999999999"/>
    <n v="5"/>
    <n v="39.564599999999999"/>
    <x v="7"/>
    <x v="3"/>
  </r>
  <r>
    <x v="929"/>
    <x v="440"/>
    <x v="692"/>
    <x v="1"/>
    <s v="DB-20617"/>
    <s v="Daniel Baker"/>
    <x v="2"/>
    <s v="United States"/>
    <x v="44"/>
    <x v="19"/>
    <x v="2"/>
    <s v="FUR-TA-106211"/>
    <x v="0"/>
    <x v="3"/>
    <s v="Grantham Half-Moon Meeting Table"/>
    <n v="924.87040000000002"/>
    <n v="6"/>
    <n v="-352.88040000000001"/>
    <x v="7"/>
    <x v="6"/>
  </r>
  <r>
    <x v="930"/>
    <x v="692"/>
    <x v="104"/>
    <x v="0"/>
    <s v="BH-21145"/>
    <s v="Brenda Hall"/>
    <x v="2"/>
    <s v="United States"/>
    <x v="24"/>
    <x v="23"/>
    <x v="2"/>
    <s v="FUR-TA-104262"/>
    <x v="0"/>
    <x v="3"/>
    <s v="Thorne End Table, 20-1/2H x 24W x 20D"/>
    <n v="357.49169999999998"/>
    <n v="4"/>
    <n v="-128.56049999999999"/>
    <x v="3"/>
    <x v="10"/>
  </r>
  <r>
    <x v="931"/>
    <x v="693"/>
    <x v="619"/>
    <x v="1"/>
    <s v="AJ-13566"/>
    <s v="Ariana Jennings"/>
    <x v="2"/>
    <s v="United States"/>
    <x v="44"/>
    <x v="19"/>
    <x v="2"/>
    <s v="FUR-BO-106371"/>
    <x v="0"/>
    <x v="2"/>
    <s v="Fairmont Ladder Shelf, Black Metal Frame"/>
    <n v="346.66419999999999"/>
    <n v="4"/>
    <n v="196.73599999999999"/>
    <x v="1"/>
    <x v="0"/>
  </r>
  <r>
    <x v="932"/>
    <x v="694"/>
    <x v="693"/>
    <x v="2"/>
    <s v="EK-16543"/>
    <s v="Elizabeth Kelley"/>
    <x v="1"/>
    <s v="United States"/>
    <x v="126"/>
    <x v="47"/>
    <x v="0"/>
    <s v="FUR-CH-100441"/>
    <x v="0"/>
    <x v="1"/>
    <s v="Dalton Folding Chair, 4/Carton"/>
    <n v="1068.1791000000001"/>
    <n v="5"/>
    <n v="368.92779999999999"/>
    <x v="6"/>
    <x v="9"/>
  </r>
  <r>
    <x v="932"/>
    <x v="694"/>
    <x v="693"/>
    <x v="2"/>
    <s v="EK-16543"/>
    <s v="Elizabeth Kelley"/>
    <x v="1"/>
    <s v="United States"/>
    <x v="126"/>
    <x v="47"/>
    <x v="0"/>
    <s v="FUR-TA-105355"/>
    <x v="0"/>
    <x v="3"/>
    <s v="Wexford Racetrack Conference Table"/>
    <n v="325.18049999999999"/>
    <n v="5"/>
    <n v="-5.9101999999999997"/>
    <x v="6"/>
    <x v="9"/>
  </r>
  <r>
    <x v="933"/>
    <x v="695"/>
    <x v="694"/>
    <x v="2"/>
    <s v="CR-16916"/>
    <s v="Christopher Rubio"/>
    <x v="1"/>
    <s v="United States"/>
    <x v="19"/>
    <x v="20"/>
    <x v="2"/>
    <s v="FUR-FU-103673"/>
    <x v="0"/>
    <x v="0"/>
    <s v="Corcoran Document Holder, Wood"/>
    <n v="47.657800000000002"/>
    <n v="3"/>
    <n v="0.17100000000000001"/>
    <x v="2"/>
    <x v="2"/>
  </r>
  <r>
    <x v="933"/>
    <x v="695"/>
    <x v="694"/>
    <x v="2"/>
    <s v="CR-16916"/>
    <s v="Christopher Rubio"/>
    <x v="1"/>
    <s v="United States"/>
    <x v="19"/>
    <x v="20"/>
    <x v="2"/>
    <s v="FUR-CH-108751"/>
    <x v="0"/>
    <x v="1"/>
    <s v="Prescott Ergonomic Chair with Lumbar Support"/>
    <n v="180.10329999999999"/>
    <n v="4"/>
    <n v="56.600299999999997"/>
    <x v="2"/>
    <x v="2"/>
  </r>
  <r>
    <x v="933"/>
    <x v="695"/>
    <x v="694"/>
    <x v="2"/>
    <s v="CR-16916"/>
    <s v="Christopher Rubio"/>
    <x v="1"/>
    <s v="United States"/>
    <x v="19"/>
    <x v="20"/>
    <x v="2"/>
    <s v="FUR-FU-107705"/>
    <x v="0"/>
    <x v="0"/>
    <s v="Hawthorne Desk Accessory Set, Oak"/>
    <n v="51.442100000000003"/>
    <n v="2"/>
    <n v="1.5418000000000001"/>
    <x v="2"/>
    <x v="2"/>
  </r>
  <r>
    <x v="933"/>
    <x v="695"/>
    <x v="694"/>
    <x v="2"/>
    <s v="CR-16916"/>
    <s v="Christopher Rubio"/>
    <x v="1"/>
    <s v="United States"/>
    <x v="19"/>
    <x v="20"/>
    <x v="2"/>
    <s v="FUR-FU-106906"/>
    <x v="0"/>
    <x v="0"/>
    <s v="Cobalt LED Magnifier Lamp with Clamp Base"/>
    <n v="137.8271"/>
    <n v="3"/>
    <n v="-31.5564"/>
    <x v="2"/>
    <x v="2"/>
  </r>
  <r>
    <x v="934"/>
    <x v="696"/>
    <x v="695"/>
    <x v="2"/>
    <s v="ME-10727"/>
    <s v="Mr. Lawrence Edwards"/>
    <x v="1"/>
    <s v="United States"/>
    <x v="72"/>
    <x v="6"/>
    <x v="1"/>
    <s v="FUR-CH-101375"/>
    <x v="0"/>
    <x v="1"/>
    <s v="Sutton Push-Button Manager's Chair, Indigo"/>
    <n v="658.37339999999995"/>
    <n v="4"/>
    <n v="-103.6284"/>
    <x v="6"/>
    <x v="11"/>
  </r>
  <r>
    <x v="935"/>
    <x v="697"/>
    <x v="339"/>
    <x v="2"/>
    <s v="MV-21612"/>
    <s v="Morgan Valencia"/>
    <x v="1"/>
    <s v="United States"/>
    <x v="24"/>
    <x v="23"/>
    <x v="2"/>
    <s v="FUR-FU-106211"/>
    <x v="0"/>
    <x v="0"/>
    <s v="Aurora Brushed Chrome Wall Clock, 14in"/>
    <n v="21.427"/>
    <n v="6"/>
    <n v="4.5156000000000001"/>
    <x v="1"/>
    <x v="11"/>
  </r>
  <r>
    <x v="936"/>
    <x v="625"/>
    <x v="302"/>
    <x v="2"/>
    <s v="EW-12060"/>
    <s v="Erin Warner"/>
    <x v="1"/>
    <s v="United States"/>
    <x v="5"/>
    <x v="5"/>
    <x v="2"/>
    <s v="FUR-BO-100475"/>
    <x v="0"/>
    <x v="2"/>
    <s v="Overton 3-Shelf Corner Bookcase"/>
    <n v="298.68169999999998"/>
    <n v="2"/>
    <n v="-108.7072"/>
    <x v="6"/>
    <x v="11"/>
  </r>
  <r>
    <x v="937"/>
    <x v="152"/>
    <x v="40"/>
    <x v="1"/>
    <s v="MF-19333"/>
    <s v="Michael Farrell"/>
    <x v="1"/>
    <s v="United States"/>
    <x v="63"/>
    <x v="39"/>
    <x v="0"/>
    <s v="FUR-CH-109246"/>
    <x v="0"/>
    <x v="1"/>
    <s v="Beckett Steno Chair, Gray"/>
    <n v="95.9739"/>
    <n v="4"/>
    <n v="20.656600000000001"/>
    <x v="0"/>
    <x v="5"/>
  </r>
  <r>
    <x v="938"/>
    <x v="104"/>
    <x v="696"/>
    <x v="2"/>
    <s v="DN-14930"/>
    <s v="Daniel Nguyen"/>
    <x v="1"/>
    <s v="United States"/>
    <x v="129"/>
    <x v="2"/>
    <x v="0"/>
    <s v="FUR-CH-106624"/>
    <x v="0"/>
    <x v="1"/>
    <s v="Adler Fabric Manager's Chair, Slate Gray"/>
    <n v="288.03570000000002"/>
    <n v="4"/>
    <n v="-34.434399999999997"/>
    <x v="5"/>
    <x v="6"/>
  </r>
  <r>
    <x v="939"/>
    <x v="698"/>
    <x v="569"/>
    <x v="2"/>
    <s v="ST-17811"/>
    <s v="Scott Thomas"/>
    <x v="1"/>
    <s v="United States"/>
    <x v="4"/>
    <x v="4"/>
    <x v="1"/>
    <s v="FUR-FU-104558"/>
    <x v="0"/>
    <x v="0"/>
    <s v="Lambert Swing Arm Desk Lamp"/>
    <n v="107.70869999999999"/>
    <n v="3"/>
    <n v="-14.6889"/>
    <x v="7"/>
    <x v="10"/>
  </r>
  <r>
    <x v="940"/>
    <x v="48"/>
    <x v="697"/>
    <x v="1"/>
    <s v="VL-16304"/>
    <s v="Victoria Larson"/>
    <x v="2"/>
    <s v="United States"/>
    <x v="58"/>
    <x v="32"/>
    <x v="3"/>
    <s v="FUR-FU-100317"/>
    <x v="0"/>
    <x v="0"/>
    <s v="Nomad Floor Lamp, Telescoping Adjustable"/>
    <n v="27.151"/>
    <n v="2"/>
    <n v="1.6032999999999999"/>
    <x v="7"/>
    <x v="9"/>
  </r>
  <r>
    <x v="941"/>
    <x v="699"/>
    <x v="698"/>
    <x v="2"/>
    <s v="DM-15138"/>
    <s v="Dana Martinez"/>
    <x v="2"/>
    <s v="United States"/>
    <x v="26"/>
    <x v="25"/>
    <x v="3"/>
    <s v="FUR-CH-109697"/>
    <x v="0"/>
    <x v="1"/>
    <s v="Rowan Mid-Back Tilter Chair"/>
    <n v="318.07749999999999"/>
    <n v="2"/>
    <n v="-72.445700000000002"/>
    <x v="2"/>
    <x v="10"/>
  </r>
  <r>
    <x v="942"/>
    <x v="700"/>
    <x v="212"/>
    <x v="0"/>
    <s v="EM-13185"/>
    <s v="Elizabeth Mendez"/>
    <x v="0"/>
    <s v="United States"/>
    <x v="41"/>
    <x v="27"/>
    <x v="0"/>
    <s v="FUR-TA-100823"/>
    <x v="0"/>
    <x v="3"/>
    <s v="Redstone Wood Tables, Set of 2"/>
    <n v="726.36860000000001"/>
    <n v="6"/>
    <n v="-373.94330000000002"/>
    <x v="5"/>
    <x v="11"/>
  </r>
  <r>
    <x v="943"/>
    <x v="364"/>
    <x v="699"/>
    <x v="1"/>
    <s v="CV-12851"/>
    <s v="Christian Vaughn"/>
    <x v="0"/>
    <s v="United States"/>
    <x v="52"/>
    <x v="38"/>
    <x v="1"/>
    <s v="FUR-CH-100441"/>
    <x v="0"/>
    <x v="1"/>
    <s v="Dalton Folding Chair, 4/Carton"/>
    <n v="1012.2369"/>
    <n v="6"/>
    <n v="347.81139999999999"/>
    <x v="0"/>
    <x v="4"/>
  </r>
  <r>
    <x v="944"/>
    <x v="701"/>
    <x v="700"/>
    <x v="2"/>
    <s v="LM-12170"/>
    <s v="Laura Mckinney"/>
    <x v="2"/>
    <s v="United States"/>
    <x v="47"/>
    <x v="25"/>
    <x v="3"/>
    <s v="FUR-CH-106624"/>
    <x v="0"/>
    <x v="1"/>
    <s v="Adler Fabric Manager's Chair, Slate Gray"/>
    <n v="336.88200000000001"/>
    <n v="6"/>
    <n v="50.445399999999999"/>
    <x v="5"/>
    <x v="1"/>
  </r>
  <r>
    <x v="945"/>
    <x v="702"/>
    <x v="701"/>
    <x v="2"/>
    <s v="AP-10452"/>
    <s v="Angelica Parker"/>
    <x v="0"/>
    <s v="United States"/>
    <x v="114"/>
    <x v="42"/>
    <x v="1"/>
    <s v="FUR-FU-101124"/>
    <x v="0"/>
    <x v="0"/>
    <s v="Rutledge Desk Organizer Tray, Letter Size"/>
    <n v="90.578000000000003"/>
    <n v="2"/>
    <n v="-16.781300000000002"/>
    <x v="6"/>
    <x v="7"/>
  </r>
  <r>
    <x v="946"/>
    <x v="469"/>
    <x v="702"/>
    <x v="3"/>
    <s v="MS-11988"/>
    <s v="Michael Stanley"/>
    <x v="2"/>
    <s v="United States"/>
    <x v="95"/>
    <x v="33"/>
    <x v="3"/>
    <s v="FUR-TA-105363"/>
    <x v="0"/>
    <x v="3"/>
    <s v="Ashcombe Rectangular Table Top"/>
    <n v="889.39449999999999"/>
    <n v="3"/>
    <n v="-34.6999"/>
    <x v="7"/>
    <x v="9"/>
  </r>
  <r>
    <x v="947"/>
    <x v="398"/>
    <x v="703"/>
    <x v="1"/>
    <s v="BF-13527"/>
    <s v="Brittany Farmer"/>
    <x v="2"/>
    <s v="United States"/>
    <x v="60"/>
    <x v="40"/>
    <x v="0"/>
    <s v="FUR-FU-104558"/>
    <x v="0"/>
    <x v="0"/>
    <s v="Lambert Swing Arm Desk Lamp"/>
    <n v="40.927999999999997"/>
    <n v="5"/>
    <n v="-15.335800000000001"/>
    <x v="7"/>
    <x v="0"/>
  </r>
  <r>
    <x v="948"/>
    <x v="703"/>
    <x v="391"/>
    <x v="3"/>
    <s v="DR-18270"/>
    <s v="David Robinson"/>
    <x v="1"/>
    <s v="United States"/>
    <x v="3"/>
    <x v="3"/>
    <x v="1"/>
    <s v="FUR-FU-106211"/>
    <x v="0"/>
    <x v="0"/>
    <s v="Aurora Brushed Chrome Wall Clock, 14in"/>
    <n v="6.1684000000000001"/>
    <n v="6"/>
    <n v="-0.55530000000000002"/>
    <x v="7"/>
    <x v="6"/>
  </r>
  <r>
    <x v="949"/>
    <x v="558"/>
    <x v="704"/>
    <x v="3"/>
    <s v="MH-18317"/>
    <s v="Matthew Harrington"/>
    <x v="0"/>
    <s v="United States"/>
    <x v="6"/>
    <x v="6"/>
    <x v="1"/>
    <s v="FUR-FU-103673"/>
    <x v="0"/>
    <x v="0"/>
    <s v="Corcoran Document Holder, Wood"/>
    <n v="78.416499999999999"/>
    <n v="4"/>
    <n v="8.1365999999999996"/>
    <x v="7"/>
    <x v="4"/>
  </r>
  <r>
    <x v="950"/>
    <x v="704"/>
    <x v="534"/>
    <x v="2"/>
    <s v="SH-19295"/>
    <s v="Spencer Haynes"/>
    <x v="0"/>
    <s v="United States"/>
    <x v="107"/>
    <x v="40"/>
    <x v="0"/>
    <s v="FUR-FU-101124"/>
    <x v="0"/>
    <x v="0"/>
    <s v="Rutledge Desk Organizer Tray, Letter Size"/>
    <n v="40.084400000000002"/>
    <n v="4"/>
    <n v="14.359500000000001"/>
    <x v="6"/>
    <x v="8"/>
  </r>
  <r>
    <x v="951"/>
    <x v="386"/>
    <x v="389"/>
    <x v="2"/>
    <s v="MW-20468"/>
    <s v="Michael Wang"/>
    <x v="1"/>
    <s v="United States"/>
    <x v="27"/>
    <x v="26"/>
    <x v="3"/>
    <s v="FUR-FU-101124"/>
    <x v="0"/>
    <x v="0"/>
    <s v="Rutledge Desk Organizer Tray, Letter Size"/>
    <n v="136.5668"/>
    <n v="2"/>
    <n v="78.793000000000006"/>
    <x v="0"/>
    <x v="4"/>
  </r>
  <r>
    <x v="952"/>
    <x v="705"/>
    <x v="342"/>
    <x v="2"/>
    <s v="MM-18751"/>
    <s v="Matthew Mcmillan"/>
    <x v="2"/>
    <s v="United States"/>
    <x v="13"/>
    <x v="14"/>
    <x v="3"/>
    <s v="FUR-FU-104133"/>
    <x v="0"/>
    <x v="0"/>
    <s v="Preston Wood Photo Frame, Mahogany"/>
    <n v="10.796799999999999"/>
    <n v="4"/>
    <n v="0.54549999999999998"/>
    <x v="7"/>
    <x v="9"/>
  </r>
  <r>
    <x v="953"/>
    <x v="706"/>
    <x v="705"/>
    <x v="0"/>
    <s v="RC-19173"/>
    <s v="Richard Cooper"/>
    <x v="2"/>
    <s v="United States"/>
    <x v="75"/>
    <x v="39"/>
    <x v="0"/>
    <s v="FUR-FU-101341"/>
    <x v="0"/>
    <x v="0"/>
    <s v="Griswold Chairmats for Medium Pile Carpet"/>
    <n v="15.992599999999999"/>
    <n v="8"/>
    <n v="1.0989"/>
    <x v="0"/>
    <x v="3"/>
  </r>
  <r>
    <x v="954"/>
    <x v="707"/>
    <x v="706"/>
    <x v="2"/>
    <s v="MC-17579"/>
    <s v="Margaret Coleman"/>
    <x v="2"/>
    <s v="United States"/>
    <x v="112"/>
    <x v="1"/>
    <x v="0"/>
    <s v="FUR-CH-102091"/>
    <x v="0"/>
    <x v="1"/>
    <s v="Vantage Swivel Task Chair, Blue"/>
    <n v="536.01229999999998"/>
    <n v="2"/>
    <n v="-78.642899999999997"/>
    <x v="5"/>
    <x v="6"/>
  </r>
  <r>
    <x v="955"/>
    <x v="708"/>
    <x v="293"/>
    <x v="2"/>
    <s v="JA-16939"/>
    <s v="Jasmin Alvarado"/>
    <x v="2"/>
    <s v="United States"/>
    <x v="28"/>
    <x v="4"/>
    <x v="1"/>
    <s v="FUR-FU-106906"/>
    <x v="0"/>
    <x v="0"/>
    <s v="Cobalt LED Magnifier Lamp with Clamp Base"/>
    <n v="258.84609999999998"/>
    <n v="3"/>
    <n v="-2.5834999999999999"/>
    <x v="6"/>
    <x v="9"/>
  </r>
  <r>
    <x v="955"/>
    <x v="708"/>
    <x v="293"/>
    <x v="2"/>
    <s v="JA-16939"/>
    <s v="Jasmin Alvarado"/>
    <x v="2"/>
    <s v="United States"/>
    <x v="28"/>
    <x v="4"/>
    <x v="1"/>
    <s v="FUR-BO-107956"/>
    <x v="0"/>
    <x v="2"/>
    <s v="Sterling Wide Bookcase, Charcoal Gray"/>
    <n v="135.88030000000001"/>
    <n v="3"/>
    <n v="-25.7636"/>
    <x v="6"/>
    <x v="9"/>
  </r>
  <r>
    <x v="956"/>
    <x v="709"/>
    <x v="71"/>
    <x v="2"/>
    <s v="KL-20209"/>
    <s v="Kelly Lee"/>
    <x v="1"/>
    <s v="United States"/>
    <x v="23"/>
    <x v="5"/>
    <x v="2"/>
    <s v="FUR-FU-101341"/>
    <x v="0"/>
    <x v="0"/>
    <s v="Griswold Chairmats for Medium Pile Carpet"/>
    <n v="22.788599999999999"/>
    <n v="3"/>
    <n v="3.4279000000000002"/>
    <x v="3"/>
    <x v="5"/>
  </r>
  <r>
    <x v="957"/>
    <x v="1"/>
    <x v="707"/>
    <x v="2"/>
    <s v="CT-20796"/>
    <s v="Colin Terry"/>
    <x v="2"/>
    <s v="United States"/>
    <x v="48"/>
    <x v="35"/>
    <x v="3"/>
    <s v="FUR-CH-100441"/>
    <x v="0"/>
    <x v="1"/>
    <s v="Dalton Folding Chair, 4/Carton"/>
    <n v="404.56040000000002"/>
    <n v="1"/>
    <n v="0.1741"/>
    <x v="6"/>
    <x v="1"/>
  </r>
  <r>
    <x v="958"/>
    <x v="254"/>
    <x v="708"/>
    <x v="2"/>
    <s v="VH-10958"/>
    <s v="Vanessa Howard"/>
    <x v="1"/>
    <s v="United States"/>
    <x v="77"/>
    <x v="42"/>
    <x v="1"/>
    <s v="FUR-FU-106906"/>
    <x v="0"/>
    <x v="0"/>
    <s v="Cobalt LED Magnifier Lamp with Clamp Base"/>
    <n v="27.888500000000001"/>
    <n v="5"/>
    <n v="10.0303"/>
    <x v="4"/>
    <x v="10"/>
  </r>
  <r>
    <x v="959"/>
    <x v="710"/>
    <x v="709"/>
    <x v="2"/>
    <s v="AL-17433"/>
    <s v="Alyssa Long"/>
    <x v="2"/>
    <s v="United States"/>
    <x v="79"/>
    <x v="16"/>
    <x v="0"/>
    <s v="FUR-FU-101124"/>
    <x v="0"/>
    <x v="0"/>
    <s v="Rutledge Desk Organizer Tray, Letter Size"/>
    <n v="60.597499999999997"/>
    <n v="6"/>
    <n v="8.3928999999999991"/>
    <x v="6"/>
    <x v="7"/>
  </r>
  <r>
    <x v="960"/>
    <x v="711"/>
    <x v="88"/>
    <x v="2"/>
    <s v="KG-18423"/>
    <s v="Kimberly Gutierrez"/>
    <x v="2"/>
    <s v="United States"/>
    <x v="28"/>
    <x v="4"/>
    <x v="1"/>
    <s v="FUR-FU-104133"/>
    <x v="0"/>
    <x v="0"/>
    <s v="Preston Wood Photo Frame, Mahogany"/>
    <n v="160.92490000000001"/>
    <n v="5"/>
    <n v="88.705799999999996"/>
    <x v="2"/>
    <x v="1"/>
  </r>
  <r>
    <x v="961"/>
    <x v="712"/>
    <x v="710"/>
    <x v="2"/>
    <s v="JW-11512"/>
    <s v="Jack White"/>
    <x v="2"/>
    <s v="United States"/>
    <x v="4"/>
    <x v="4"/>
    <x v="1"/>
    <s v="FUR-FU-105733"/>
    <x v="0"/>
    <x v="0"/>
    <s v="Sable Halogen Replacement Bulb, 2-Pack"/>
    <n v="11.3757"/>
    <n v="3"/>
    <n v="-0.46910000000000002"/>
    <x v="1"/>
    <x v="4"/>
  </r>
  <r>
    <x v="962"/>
    <x v="28"/>
    <x v="559"/>
    <x v="0"/>
    <s v="DB-17043"/>
    <s v="Daniel Bush"/>
    <x v="1"/>
    <s v="United States"/>
    <x v="41"/>
    <x v="27"/>
    <x v="0"/>
    <s v="FUR-CH-102704"/>
    <x v="0"/>
    <x v="1"/>
    <s v="Brookline High-Back Executive Chair, Black Leather"/>
    <n v="367.61619999999999"/>
    <n v="3"/>
    <n v="166.233"/>
    <x v="7"/>
    <x v="4"/>
  </r>
  <r>
    <x v="962"/>
    <x v="28"/>
    <x v="559"/>
    <x v="0"/>
    <s v="DB-17043"/>
    <s v="Daniel Bush"/>
    <x v="1"/>
    <s v="United States"/>
    <x v="41"/>
    <x v="27"/>
    <x v="0"/>
    <s v="FUR-FU-108837"/>
    <x v="0"/>
    <x v="0"/>
    <s v="Ivanhoe Poster Frame, Aluminum"/>
    <n v="36.803400000000003"/>
    <n v="5"/>
    <n v="7.7507999999999999"/>
    <x v="7"/>
    <x v="4"/>
  </r>
  <r>
    <x v="962"/>
    <x v="28"/>
    <x v="559"/>
    <x v="0"/>
    <s v="DB-17043"/>
    <s v="Daniel Bush"/>
    <x v="1"/>
    <s v="United States"/>
    <x v="41"/>
    <x v="27"/>
    <x v="0"/>
    <s v="FUR-CH-106455"/>
    <x v="0"/>
    <x v="1"/>
    <s v="Nolan Leather Highback Chair, Pneumatic Adjustment"/>
    <n v="1491.7653"/>
    <n v="6"/>
    <n v="-174.50909999999999"/>
    <x v="7"/>
    <x v="4"/>
  </r>
  <r>
    <x v="963"/>
    <x v="378"/>
    <x v="381"/>
    <x v="2"/>
    <s v="DM-12103"/>
    <s v="David Martinez"/>
    <x v="0"/>
    <s v="United States"/>
    <x v="76"/>
    <x v="34"/>
    <x v="1"/>
    <s v="FUR-FU-106906"/>
    <x v="0"/>
    <x v="0"/>
    <s v="Cobalt LED Magnifier Lamp with Clamp Base"/>
    <n v="24.880199999999999"/>
    <n v="2"/>
    <n v="12.1051"/>
    <x v="5"/>
    <x v="7"/>
  </r>
  <r>
    <x v="964"/>
    <x v="467"/>
    <x v="476"/>
    <x v="2"/>
    <s v="CL-13657"/>
    <s v="Connie Lawrence"/>
    <x v="2"/>
    <s v="United States"/>
    <x v="3"/>
    <x v="3"/>
    <x v="1"/>
    <s v="FUR-FU-103673"/>
    <x v="0"/>
    <x v="0"/>
    <s v="Corcoran Document Holder, Wood"/>
    <n v="255.95590000000001"/>
    <n v="2"/>
    <n v="-53.588200000000001"/>
    <x v="2"/>
    <x v="4"/>
  </r>
  <r>
    <x v="965"/>
    <x v="134"/>
    <x v="711"/>
    <x v="2"/>
    <s v="JT-11160"/>
    <s v="Jose Travis"/>
    <x v="1"/>
    <s v="United States"/>
    <x v="100"/>
    <x v="45"/>
    <x v="3"/>
    <s v="FUR-CH-102091"/>
    <x v="0"/>
    <x v="1"/>
    <s v="Vantage Swivel Task Chair, Blue"/>
    <n v="2571.6518999999998"/>
    <n v="3"/>
    <n v="214.3887"/>
    <x v="1"/>
    <x v="5"/>
  </r>
  <r>
    <x v="966"/>
    <x v="713"/>
    <x v="712"/>
    <x v="0"/>
    <s v="ML-14011"/>
    <s v="Michael Lopez"/>
    <x v="2"/>
    <s v="United States"/>
    <x v="38"/>
    <x v="32"/>
    <x v="3"/>
    <s v="FUR-FU-106906"/>
    <x v="0"/>
    <x v="0"/>
    <s v="Cobalt LED Magnifier Lamp with Clamp Base"/>
    <n v="31.584800000000001"/>
    <n v="8"/>
    <n v="10.8497"/>
    <x v="3"/>
    <x v="11"/>
  </r>
  <r>
    <x v="967"/>
    <x v="714"/>
    <x v="43"/>
    <x v="1"/>
    <s v="AH-15147"/>
    <s v="Allison Hickman"/>
    <x v="2"/>
    <s v="United States"/>
    <x v="29"/>
    <x v="13"/>
    <x v="3"/>
    <s v="FUR-TA-107022"/>
    <x v="0"/>
    <x v="3"/>
    <s v="Alden Rectangular Conference Table"/>
    <n v="297.38049999999998"/>
    <n v="1"/>
    <n v="16.3447"/>
    <x v="1"/>
    <x v="6"/>
  </r>
  <r>
    <x v="968"/>
    <x v="471"/>
    <x v="713"/>
    <x v="2"/>
    <s v="TM-17007"/>
    <s v="Tracy Montoya"/>
    <x v="2"/>
    <s v="United States"/>
    <x v="36"/>
    <x v="31"/>
    <x v="2"/>
    <s v="FUR-FU-108837"/>
    <x v="0"/>
    <x v="0"/>
    <s v="Ivanhoe Poster Frame, Aluminum"/>
    <n v="174.72800000000001"/>
    <n v="4"/>
    <n v="56.268700000000003"/>
    <x v="3"/>
    <x v="1"/>
  </r>
  <r>
    <x v="969"/>
    <x v="419"/>
    <x v="419"/>
    <x v="2"/>
    <s v="JW-11512"/>
    <s v="Jack White"/>
    <x v="2"/>
    <s v="United States"/>
    <x v="36"/>
    <x v="31"/>
    <x v="2"/>
    <s v="FUR-FU-103673"/>
    <x v="0"/>
    <x v="0"/>
    <s v="Corcoran Document Holder, Wood"/>
    <n v="33.688699999999997"/>
    <n v="2"/>
    <n v="24.4739"/>
    <x v="0"/>
    <x v="1"/>
  </r>
  <r>
    <x v="970"/>
    <x v="638"/>
    <x v="714"/>
    <x v="2"/>
    <s v="MP-17123"/>
    <s v="Michael Powell"/>
    <x v="2"/>
    <s v="United States"/>
    <x v="88"/>
    <x v="31"/>
    <x v="2"/>
    <s v="FUR-BO-103595"/>
    <x v="0"/>
    <x v="2"/>
    <s v="Pinehurst 6-Shelf Industrial Bookcase"/>
    <n v="520.79729999999995"/>
    <n v="1"/>
    <n v="-16.8111"/>
    <x v="2"/>
    <x v="6"/>
  </r>
  <r>
    <x v="971"/>
    <x v="715"/>
    <x v="715"/>
    <x v="0"/>
    <s v="EW-19431"/>
    <s v="Emily Wilson"/>
    <x v="1"/>
    <s v="United States"/>
    <x v="82"/>
    <x v="19"/>
    <x v="2"/>
    <s v="FUR-FU-104558"/>
    <x v="0"/>
    <x v="0"/>
    <s v="Lambert Swing Arm Desk Lamp"/>
    <n v="63.438099999999999"/>
    <n v="2"/>
    <n v="42.286099999999998"/>
    <x v="1"/>
    <x v="9"/>
  </r>
  <r>
    <x v="971"/>
    <x v="715"/>
    <x v="715"/>
    <x v="0"/>
    <s v="EW-19431"/>
    <s v="Emily Wilson"/>
    <x v="1"/>
    <s v="United States"/>
    <x v="82"/>
    <x v="19"/>
    <x v="2"/>
    <s v="FUR-FU-100317"/>
    <x v="0"/>
    <x v="0"/>
    <s v="Nomad Floor Lamp, Telescoping Adjustable"/>
    <n v="33.855800000000002"/>
    <n v="3"/>
    <n v="31.602799999999998"/>
    <x v="1"/>
    <x v="9"/>
  </r>
  <r>
    <x v="972"/>
    <x v="716"/>
    <x v="716"/>
    <x v="2"/>
    <s v="RL-18890"/>
    <s v="Ryan Landry"/>
    <x v="2"/>
    <s v="United States"/>
    <x v="97"/>
    <x v="32"/>
    <x v="3"/>
    <s v="FUR-FU-108837"/>
    <x v="0"/>
    <x v="0"/>
    <s v="Ivanhoe Poster Frame, Aluminum"/>
    <n v="8.7484999999999999"/>
    <n v="3"/>
    <n v="2.2057000000000002"/>
    <x v="5"/>
    <x v="2"/>
  </r>
  <r>
    <x v="973"/>
    <x v="717"/>
    <x v="717"/>
    <x v="2"/>
    <s v="JD-13878"/>
    <s v="Julie Dominguez"/>
    <x v="2"/>
    <s v="United States"/>
    <x v="17"/>
    <x v="18"/>
    <x v="3"/>
    <s v="FUR-CH-102091"/>
    <x v="0"/>
    <x v="1"/>
    <s v="Vantage Swivel Task Chair, Blue"/>
    <n v="330.32409999999999"/>
    <n v="9"/>
    <n v="76.4101"/>
    <x v="4"/>
    <x v="9"/>
  </r>
  <r>
    <x v="974"/>
    <x v="718"/>
    <x v="718"/>
    <x v="2"/>
    <s v="AB-12646"/>
    <s v="Ashley Barton"/>
    <x v="2"/>
    <s v="United States"/>
    <x v="24"/>
    <x v="23"/>
    <x v="2"/>
    <s v="FUR-CH-105507"/>
    <x v="0"/>
    <x v="1"/>
    <s v="Kingsley Mesh-Back Task Chair"/>
    <n v="282.92750000000001"/>
    <n v="2"/>
    <n v="-46.631799999999998"/>
    <x v="7"/>
    <x v="5"/>
  </r>
  <r>
    <x v="975"/>
    <x v="716"/>
    <x v="716"/>
    <x v="0"/>
    <s v="CM-13510"/>
    <s v="Cynthia Moore"/>
    <x v="2"/>
    <s v="United States"/>
    <x v="13"/>
    <x v="14"/>
    <x v="3"/>
    <s v="FUR-CH-106455"/>
    <x v="0"/>
    <x v="1"/>
    <s v="Nolan Leather Highback Chair, Pneumatic Adjustment"/>
    <n v="2230.768"/>
    <n v="2"/>
    <n v="594.81730000000005"/>
    <x v="5"/>
    <x v="2"/>
  </r>
  <r>
    <x v="975"/>
    <x v="716"/>
    <x v="716"/>
    <x v="0"/>
    <s v="CM-13510"/>
    <s v="Cynthia Moore"/>
    <x v="2"/>
    <s v="United States"/>
    <x v="13"/>
    <x v="14"/>
    <x v="3"/>
    <s v="FUR-FU-104133"/>
    <x v="0"/>
    <x v="0"/>
    <s v="Preston Wood Photo Frame, Mahogany"/>
    <n v="115.16670000000001"/>
    <n v="3"/>
    <n v="35.654200000000003"/>
    <x v="5"/>
    <x v="2"/>
  </r>
  <r>
    <x v="976"/>
    <x v="719"/>
    <x v="719"/>
    <x v="0"/>
    <s v="FS-11674"/>
    <s v="Fred Smith"/>
    <x v="2"/>
    <s v="United States"/>
    <x v="77"/>
    <x v="42"/>
    <x v="1"/>
    <s v="FUR-FU-104558"/>
    <x v="0"/>
    <x v="0"/>
    <s v="Lambert Swing Arm Desk Lamp"/>
    <n v="2.8835000000000002"/>
    <n v="1"/>
    <n v="1.2378"/>
    <x v="7"/>
    <x v="2"/>
  </r>
  <r>
    <x v="977"/>
    <x v="720"/>
    <x v="189"/>
    <x v="0"/>
    <s v="TT-20392"/>
    <s v="Travis Tucker"/>
    <x v="2"/>
    <s v="United States"/>
    <x v="107"/>
    <x v="40"/>
    <x v="0"/>
    <s v="FUR-TA-102223"/>
    <x v="0"/>
    <x v="3"/>
    <s v="Marchetti Round Conference Table, X-Base"/>
    <n v="691.49929999999995"/>
    <n v="2"/>
    <n v="159.48159999999999"/>
    <x v="7"/>
    <x v="4"/>
  </r>
  <r>
    <x v="977"/>
    <x v="720"/>
    <x v="189"/>
    <x v="0"/>
    <s v="TT-20392"/>
    <s v="Travis Tucker"/>
    <x v="2"/>
    <s v="United States"/>
    <x v="107"/>
    <x v="40"/>
    <x v="0"/>
    <s v="FUR-FU-105733"/>
    <x v="0"/>
    <x v="0"/>
    <s v="Sable Halogen Replacement Bulb, 2-Pack"/>
    <n v="116.8947"/>
    <n v="5"/>
    <n v="71.442499999999995"/>
    <x v="7"/>
    <x v="4"/>
  </r>
  <r>
    <x v="978"/>
    <x v="194"/>
    <x v="246"/>
    <x v="2"/>
    <s v="RC-11746"/>
    <s v="Rhonda Chavez"/>
    <x v="1"/>
    <s v="United States"/>
    <x v="60"/>
    <x v="40"/>
    <x v="0"/>
    <s v="FUR-FU-101341"/>
    <x v="0"/>
    <x v="0"/>
    <s v="Griswold Chairmats for Medium Pile Carpet"/>
    <n v="40.370100000000001"/>
    <n v="2"/>
    <n v="16.602699999999999"/>
    <x v="6"/>
    <x v="9"/>
  </r>
  <r>
    <x v="979"/>
    <x v="618"/>
    <x v="89"/>
    <x v="1"/>
    <s v="SW-11790"/>
    <s v="Shelia Wallace"/>
    <x v="2"/>
    <s v="United States"/>
    <x v="29"/>
    <x v="13"/>
    <x v="3"/>
    <s v="FUR-BO-109883"/>
    <x v="0"/>
    <x v="2"/>
    <s v="Ashford Mobile 4-Shelf Bookcase"/>
    <n v="943.4538"/>
    <n v="2"/>
    <n v="-252.88669999999999"/>
    <x v="1"/>
    <x v="4"/>
  </r>
  <r>
    <x v="980"/>
    <x v="395"/>
    <x v="720"/>
    <x v="1"/>
    <s v="FK-13841"/>
    <s v="Felicia Krueger"/>
    <x v="2"/>
    <s v="United States"/>
    <x v="20"/>
    <x v="21"/>
    <x v="1"/>
    <s v="FUR-CH-105507"/>
    <x v="0"/>
    <x v="1"/>
    <s v="Kingsley Mesh-Back Task Chair"/>
    <n v="108.13720000000001"/>
    <n v="2"/>
    <n v="-28.362300000000001"/>
    <x v="1"/>
    <x v="5"/>
  </r>
  <r>
    <x v="981"/>
    <x v="721"/>
    <x v="721"/>
    <x v="2"/>
    <s v="KC-18479"/>
    <s v="Kirk Carter"/>
    <x v="2"/>
    <s v="United States"/>
    <x v="4"/>
    <x v="4"/>
    <x v="1"/>
    <s v="FUR-TA-103467"/>
    <x v="0"/>
    <x v="3"/>
    <s v="Kessler Round Bullnose High Table"/>
    <n v="173.1858"/>
    <n v="3"/>
    <n v="1.0537000000000001"/>
    <x v="4"/>
    <x v="2"/>
  </r>
  <r>
    <x v="982"/>
    <x v="722"/>
    <x v="432"/>
    <x v="1"/>
    <s v="JP-11113"/>
    <s v="James Parks"/>
    <x v="2"/>
    <s v="United States"/>
    <x v="122"/>
    <x v="43"/>
    <x v="2"/>
    <s v="FUR-FU-103673"/>
    <x v="0"/>
    <x v="0"/>
    <s v="Corcoran Document Holder, Wood"/>
    <n v="91.515199999999993"/>
    <n v="6"/>
    <n v="-28.077300000000001"/>
    <x v="0"/>
    <x v="7"/>
  </r>
  <r>
    <x v="983"/>
    <x v="723"/>
    <x v="722"/>
    <x v="2"/>
    <s v="JC-14333"/>
    <s v="Julian Conner"/>
    <x v="2"/>
    <s v="United States"/>
    <x v="108"/>
    <x v="17"/>
    <x v="3"/>
    <s v="FUR-FU-100853"/>
    <x v="0"/>
    <x v="0"/>
    <s v="Blaine Cubicle Wall Clock, Black"/>
    <n v="150.268"/>
    <n v="6"/>
    <n v="-6.8634000000000004"/>
    <x v="4"/>
    <x v="1"/>
  </r>
  <r>
    <x v="984"/>
    <x v="281"/>
    <x v="723"/>
    <x v="2"/>
    <s v="KJ-11604"/>
    <s v="Keith Jennings"/>
    <x v="1"/>
    <s v="United States"/>
    <x v="88"/>
    <x v="31"/>
    <x v="2"/>
    <s v="FUR-FU-100317"/>
    <x v="0"/>
    <x v="0"/>
    <s v="Nomad Floor Lamp, Telescoping Adjustable"/>
    <n v="98.561999999999998"/>
    <n v="3"/>
    <n v="11.266500000000001"/>
    <x v="1"/>
    <x v="7"/>
  </r>
  <r>
    <x v="985"/>
    <x v="724"/>
    <x v="718"/>
    <x v="2"/>
    <s v="MJ-16211"/>
    <s v="Michael Johnson"/>
    <x v="1"/>
    <s v="United States"/>
    <x v="85"/>
    <x v="44"/>
    <x v="0"/>
    <s v="FUR-CH-106624"/>
    <x v="0"/>
    <x v="1"/>
    <s v="Adler Fabric Manager's Chair, Slate Gray"/>
    <n v="1394.9025999999999"/>
    <n v="4"/>
    <n v="319.2473"/>
    <x v="0"/>
    <x v="5"/>
  </r>
  <r>
    <x v="986"/>
    <x v="333"/>
    <x v="564"/>
    <x v="2"/>
    <s v="AV-16126"/>
    <s v="Angela Vaughn"/>
    <x v="0"/>
    <s v="United States"/>
    <x v="82"/>
    <x v="19"/>
    <x v="2"/>
    <s v="FUR-FU-107705"/>
    <x v="0"/>
    <x v="0"/>
    <s v="Hawthorne Desk Accessory Set, Oak"/>
    <n v="81.904200000000003"/>
    <n v="4"/>
    <n v="14.736499999999999"/>
    <x v="5"/>
    <x v="1"/>
  </r>
  <r>
    <x v="987"/>
    <x v="725"/>
    <x v="724"/>
    <x v="2"/>
    <s v="SW-13788"/>
    <s v="Suzanne Wood"/>
    <x v="0"/>
    <s v="United States"/>
    <x v="72"/>
    <x v="6"/>
    <x v="1"/>
    <s v="FUR-TA-105363"/>
    <x v="0"/>
    <x v="3"/>
    <s v="Ashcombe Rectangular Table Top"/>
    <n v="183.13239999999999"/>
    <n v="8"/>
    <n v="45.150300000000001"/>
    <x v="5"/>
    <x v="7"/>
  </r>
  <r>
    <x v="987"/>
    <x v="725"/>
    <x v="724"/>
    <x v="2"/>
    <s v="SW-13788"/>
    <s v="Suzanne Wood"/>
    <x v="0"/>
    <s v="United States"/>
    <x v="72"/>
    <x v="6"/>
    <x v="1"/>
    <s v="FUR-CH-106455"/>
    <x v="0"/>
    <x v="1"/>
    <s v="Nolan Leather Highback Chair, Pneumatic Adjustment"/>
    <n v="685.47090000000003"/>
    <n v="3"/>
    <n v="-320.73880000000003"/>
    <x v="5"/>
    <x v="7"/>
  </r>
  <r>
    <x v="988"/>
    <x v="726"/>
    <x v="725"/>
    <x v="2"/>
    <s v="JB-20868"/>
    <s v="Jesse Brown"/>
    <x v="2"/>
    <s v="United States"/>
    <x v="20"/>
    <x v="21"/>
    <x v="1"/>
    <s v="FUR-FU-100317"/>
    <x v="0"/>
    <x v="0"/>
    <s v="Nomad Floor Lamp, Telescoping Adjustable"/>
    <n v="536.46050000000002"/>
    <n v="2"/>
    <n v="75.870699999999999"/>
    <x v="0"/>
    <x v="4"/>
  </r>
  <r>
    <x v="989"/>
    <x v="727"/>
    <x v="117"/>
    <x v="2"/>
    <s v="AY-21784"/>
    <s v="Amber Yang"/>
    <x v="2"/>
    <s v="United States"/>
    <x v="49"/>
    <x v="36"/>
    <x v="0"/>
    <s v="FUR-CH-107657"/>
    <x v="0"/>
    <x v="1"/>
    <s v="Hollis Stacking Chair, Rounded Back"/>
    <n v="1438.8162"/>
    <n v="3"/>
    <n v="274.5498"/>
    <x v="2"/>
    <x v="6"/>
  </r>
  <r>
    <x v="989"/>
    <x v="727"/>
    <x v="117"/>
    <x v="2"/>
    <s v="AY-21784"/>
    <s v="Amber Yang"/>
    <x v="2"/>
    <s v="United States"/>
    <x v="49"/>
    <x v="36"/>
    <x v="0"/>
    <s v="FUR-CH-100444"/>
    <x v="0"/>
    <x v="1"/>
    <s v="Harborview Mesh Task Chair, Adjustable Arms"/>
    <n v="163.04519999999999"/>
    <n v="3"/>
    <n v="7.9896000000000003"/>
    <x v="2"/>
    <x v="6"/>
  </r>
  <r>
    <x v="990"/>
    <x v="279"/>
    <x v="726"/>
    <x v="1"/>
    <s v="MN-15180"/>
    <s v="Megan Nelson"/>
    <x v="2"/>
    <s v="United States"/>
    <x v="44"/>
    <x v="19"/>
    <x v="2"/>
    <s v="FUR-FU-104133"/>
    <x v="0"/>
    <x v="0"/>
    <s v="Preston Wood Photo Frame, Mahogany"/>
    <n v="21.767700000000001"/>
    <n v="3"/>
    <n v="8.1084999999999994"/>
    <x v="7"/>
    <x v="0"/>
  </r>
  <r>
    <x v="991"/>
    <x v="133"/>
    <x v="727"/>
    <x v="2"/>
    <s v="EW-12060"/>
    <s v="Erin Warner"/>
    <x v="2"/>
    <s v="United States"/>
    <x v="121"/>
    <x v="3"/>
    <x v="1"/>
    <s v="FUR-FU-108837"/>
    <x v="0"/>
    <x v="0"/>
    <s v="Ivanhoe Poster Frame, Aluminum"/>
    <n v="26.158899999999999"/>
    <n v="3"/>
    <n v="19.401"/>
    <x v="6"/>
    <x v="2"/>
  </r>
  <r>
    <x v="992"/>
    <x v="728"/>
    <x v="728"/>
    <x v="1"/>
    <s v="LI-16658"/>
    <s v="Lori Ingram"/>
    <x v="2"/>
    <s v="United States"/>
    <x v="29"/>
    <x v="13"/>
    <x v="3"/>
    <s v="FUR-FU-104558"/>
    <x v="0"/>
    <x v="0"/>
    <s v="Lambert Swing Arm Desk Lamp"/>
    <n v="488.6277"/>
    <n v="3"/>
    <n v="-51.772300000000001"/>
    <x v="7"/>
    <x v="8"/>
  </r>
  <r>
    <x v="993"/>
    <x v="292"/>
    <x v="729"/>
    <x v="0"/>
    <s v="RB-21395"/>
    <s v="Renee Browning"/>
    <x v="1"/>
    <s v="United States"/>
    <x v="19"/>
    <x v="20"/>
    <x v="2"/>
    <s v="FUR-TA-105529"/>
    <x v="0"/>
    <x v="3"/>
    <s v="Fenwick Compact Office Desk"/>
    <n v="389.51530000000002"/>
    <n v="2"/>
    <n v="18.386700000000001"/>
    <x v="1"/>
    <x v="7"/>
  </r>
  <r>
    <x v="993"/>
    <x v="292"/>
    <x v="729"/>
    <x v="0"/>
    <s v="RB-21395"/>
    <s v="Renee Browning"/>
    <x v="1"/>
    <s v="United States"/>
    <x v="19"/>
    <x v="20"/>
    <x v="2"/>
    <s v="FUR-FU-103673"/>
    <x v="0"/>
    <x v="0"/>
    <s v="Corcoran Document Holder, Wood"/>
    <n v="25.126999999999999"/>
    <n v="4"/>
    <n v="-2.5527000000000002"/>
    <x v="1"/>
    <x v="7"/>
  </r>
  <r>
    <x v="994"/>
    <x v="729"/>
    <x v="730"/>
    <x v="1"/>
    <s v="PN-11232"/>
    <s v="Phillip Nelson"/>
    <x v="2"/>
    <s v="United States"/>
    <x v="27"/>
    <x v="26"/>
    <x v="3"/>
    <s v="FUR-CH-101375"/>
    <x v="0"/>
    <x v="1"/>
    <s v="Sutton Push-Button Manager's Chair, Indigo"/>
    <n v="209.92230000000001"/>
    <n v="5"/>
    <n v="61.279899999999998"/>
    <x v="1"/>
    <x v="2"/>
  </r>
  <r>
    <x v="995"/>
    <x v="730"/>
    <x v="435"/>
    <x v="0"/>
    <s v="RM-12143"/>
    <s v="Rhonda Martin"/>
    <x v="1"/>
    <s v="United States"/>
    <x v="37"/>
    <x v="14"/>
    <x v="3"/>
    <s v="FUR-CH-102704"/>
    <x v="0"/>
    <x v="1"/>
    <s v="Brookline High-Back Executive Chair, Black Leather"/>
    <n v="162.4211"/>
    <n v="4"/>
    <n v="58.027299999999997"/>
    <x v="3"/>
    <x v="4"/>
  </r>
  <r>
    <x v="996"/>
    <x v="731"/>
    <x v="731"/>
    <x v="2"/>
    <s v="FK-13841"/>
    <s v="Felicia Krueger"/>
    <x v="2"/>
    <s v="United States"/>
    <x v="15"/>
    <x v="16"/>
    <x v="0"/>
    <s v="FUR-FU-108837"/>
    <x v="0"/>
    <x v="0"/>
    <s v="Ivanhoe Poster Frame, Aluminum"/>
    <n v="14.119400000000001"/>
    <n v="3"/>
    <n v="0.29260000000000003"/>
    <x v="0"/>
    <x v="7"/>
  </r>
  <r>
    <x v="997"/>
    <x v="721"/>
    <x v="732"/>
    <x v="2"/>
    <s v="IA-13899"/>
    <s v="Isaiah Avila"/>
    <x v="1"/>
    <s v="United States"/>
    <x v="106"/>
    <x v="34"/>
    <x v="1"/>
    <s v="FUR-FU-105733"/>
    <x v="0"/>
    <x v="0"/>
    <s v="Sable Halogen Replacement Bulb, 2-Pack"/>
    <n v="69.854299999999995"/>
    <n v="6"/>
    <n v="10.4758"/>
    <x v="6"/>
    <x v="2"/>
  </r>
  <r>
    <x v="998"/>
    <x v="732"/>
    <x v="733"/>
    <x v="2"/>
    <s v="PB-14119"/>
    <s v="Pamela Boyd"/>
    <x v="1"/>
    <s v="United States"/>
    <x v="47"/>
    <x v="25"/>
    <x v="3"/>
    <s v="FUR-FU-105733"/>
    <x v="0"/>
    <x v="0"/>
    <s v="Sable Halogen Replacement Bulb, 2-Pack"/>
    <n v="106.2709"/>
    <n v="3"/>
    <n v="49.475499999999997"/>
    <x v="3"/>
    <x v="1"/>
  </r>
  <r>
    <x v="999"/>
    <x v="272"/>
    <x v="634"/>
    <x v="2"/>
    <s v="MM-12608"/>
    <s v="Monica Miller"/>
    <x v="1"/>
    <s v="United States"/>
    <x v="118"/>
    <x v="38"/>
    <x v="1"/>
    <s v="FUR-CH-107657"/>
    <x v="0"/>
    <x v="1"/>
    <s v="Hollis Stacking Chair, Rounded Back"/>
    <n v="279.94310000000002"/>
    <n v="2"/>
    <n v="-2.9575999999999998"/>
    <x v="3"/>
    <x v="3"/>
  </r>
  <r>
    <x v="999"/>
    <x v="272"/>
    <x v="634"/>
    <x v="2"/>
    <s v="MM-12608"/>
    <s v="Monica Miller"/>
    <x v="1"/>
    <s v="United States"/>
    <x v="118"/>
    <x v="38"/>
    <x v="1"/>
    <s v="FUR-BO-109883"/>
    <x v="0"/>
    <x v="2"/>
    <s v="Ashford Mobile 4-Shelf Bookcase"/>
    <n v="977.83500000000004"/>
    <n v="3"/>
    <n v="-684.10379999999998"/>
    <x v="3"/>
    <x v="3"/>
  </r>
  <r>
    <x v="1000"/>
    <x v="640"/>
    <x v="413"/>
    <x v="2"/>
    <s v="PB-14119"/>
    <s v="Pamela Boyd"/>
    <x v="1"/>
    <s v="United States"/>
    <x v="25"/>
    <x v="24"/>
    <x v="1"/>
    <s v="FUR-FU-107705"/>
    <x v="0"/>
    <x v="0"/>
    <s v="Hawthorne Desk Accessory Set, Oak"/>
    <n v="116.77209999999999"/>
    <n v="2"/>
    <n v="-9.1059999999999999"/>
    <x v="2"/>
    <x v="6"/>
  </r>
  <r>
    <x v="1001"/>
    <x v="733"/>
    <x v="325"/>
    <x v="2"/>
    <s v="JD-15491"/>
    <s v="Jennifer Simpson DVM"/>
    <x v="0"/>
    <s v="United States"/>
    <x v="0"/>
    <x v="6"/>
    <x v="1"/>
    <s v="FUR-FU-108837"/>
    <x v="0"/>
    <x v="0"/>
    <s v="Ivanhoe Poster Frame, Aluminum"/>
    <n v="37.031599999999997"/>
    <n v="2"/>
    <n v="-0.52500000000000002"/>
    <x v="6"/>
    <x v="0"/>
  </r>
  <r>
    <x v="1002"/>
    <x v="363"/>
    <x v="364"/>
    <x v="2"/>
    <s v="SD-13492"/>
    <s v="Sandra Drake"/>
    <x v="2"/>
    <s v="United States"/>
    <x v="58"/>
    <x v="32"/>
    <x v="3"/>
    <s v="FUR-FU-101124"/>
    <x v="0"/>
    <x v="0"/>
    <s v="Rutledge Desk Organizer Tray, Letter Size"/>
    <n v="89.125399999999999"/>
    <n v="1"/>
    <n v="-7.4215"/>
    <x v="5"/>
    <x v="2"/>
  </r>
  <r>
    <x v="1003"/>
    <x v="190"/>
    <x v="734"/>
    <x v="1"/>
    <s v="KL-15183"/>
    <s v="Kenneth Lewis"/>
    <x v="2"/>
    <s v="United States"/>
    <x v="39"/>
    <x v="33"/>
    <x v="3"/>
    <s v="FUR-FU-100317"/>
    <x v="0"/>
    <x v="0"/>
    <s v="Nomad Floor Lamp, Telescoping Adjustable"/>
    <n v="5.4592999999999998"/>
    <n v="3"/>
    <n v="1.3918999999999999"/>
    <x v="1"/>
    <x v="10"/>
  </r>
  <r>
    <x v="1004"/>
    <x v="734"/>
    <x v="417"/>
    <x v="1"/>
    <s v="CL-19571"/>
    <s v="Charles Lester"/>
    <x v="2"/>
    <s v="United States"/>
    <x v="72"/>
    <x v="6"/>
    <x v="1"/>
    <s v="FUR-FU-106211"/>
    <x v="0"/>
    <x v="0"/>
    <s v="Aurora Brushed Chrome Wall Clock, 14in"/>
    <n v="38.992899999999999"/>
    <n v="1"/>
    <n v="13.283899999999999"/>
    <x v="1"/>
    <x v="3"/>
  </r>
  <r>
    <x v="1004"/>
    <x v="734"/>
    <x v="417"/>
    <x v="1"/>
    <s v="CL-19571"/>
    <s v="Charles Lester"/>
    <x v="2"/>
    <s v="United States"/>
    <x v="72"/>
    <x v="6"/>
    <x v="1"/>
    <s v="FUR-TA-103467"/>
    <x v="0"/>
    <x v="3"/>
    <s v="Kessler Round Bullnose High Table"/>
    <n v="223.27520000000001"/>
    <n v="3"/>
    <n v="-44.734299999999998"/>
    <x v="1"/>
    <x v="3"/>
  </r>
  <r>
    <x v="1005"/>
    <x v="580"/>
    <x v="671"/>
    <x v="2"/>
    <s v="TR-17749"/>
    <s v="Timothy Romero"/>
    <x v="1"/>
    <s v="United States"/>
    <x v="60"/>
    <x v="40"/>
    <x v="0"/>
    <s v="FUR-FU-101341"/>
    <x v="0"/>
    <x v="0"/>
    <s v="Griswold Chairmats for Medium Pile Carpet"/>
    <n v="120.10939999999999"/>
    <n v="1"/>
    <n v="4.2595000000000001"/>
    <x v="6"/>
    <x v="8"/>
  </r>
  <r>
    <x v="1006"/>
    <x v="735"/>
    <x v="193"/>
    <x v="2"/>
    <s v="CW-12677"/>
    <s v="Christina Walters"/>
    <x v="1"/>
    <s v="United States"/>
    <x v="37"/>
    <x v="14"/>
    <x v="3"/>
    <s v="FUR-FU-108837"/>
    <x v="0"/>
    <x v="0"/>
    <s v="Ivanhoe Poster Frame, Aluminum"/>
    <n v="82.374600000000001"/>
    <n v="3"/>
    <n v="33.127600000000001"/>
    <x v="5"/>
    <x v="5"/>
  </r>
  <r>
    <x v="1007"/>
    <x v="66"/>
    <x v="95"/>
    <x v="2"/>
    <s v="PD-15409"/>
    <s v="Pamela Diaz"/>
    <x v="0"/>
    <s v="United States"/>
    <x v="97"/>
    <x v="32"/>
    <x v="3"/>
    <s v="FUR-BO-109883"/>
    <x v="0"/>
    <x v="2"/>
    <s v="Ashford Mobile 4-Shelf Bookcase"/>
    <n v="576.82619999999997"/>
    <n v="3"/>
    <n v="-22.621300000000002"/>
    <x v="6"/>
    <x v="0"/>
  </r>
  <r>
    <x v="1008"/>
    <x v="736"/>
    <x v="735"/>
    <x v="1"/>
    <s v="FW-17784"/>
    <s v="Franklin Wright"/>
    <x v="2"/>
    <s v="United States"/>
    <x v="29"/>
    <x v="13"/>
    <x v="3"/>
    <s v="FUR-TA-105355"/>
    <x v="0"/>
    <x v="3"/>
    <s v="Wexford Racetrack Conference Table"/>
    <n v="162.27330000000001"/>
    <n v="5"/>
    <n v="-24.926600000000001"/>
    <x v="7"/>
    <x v="3"/>
  </r>
  <r>
    <x v="1009"/>
    <x v="515"/>
    <x v="194"/>
    <x v="2"/>
    <s v="AH-20476"/>
    <s v="Allison Hill"/>
    <x v="2"/>
    <s v="United States"/>
    <x v="55"/>
    <x v="12"/>
    <x v="2"/>
    <s v="FUR-TA-100823"/>
    <x v="0"/>
    <x v="3"/>
    <s v="Redstone Wood Tables, Set of 2"/>
    <n v="986.42809999999997"/>
    <n v="2"/>
    <n v="-211.72659999999999"/>
    <x v="1"/>
    <x v="5"/>
  </r>
  <r>
    <x v="1010"/>
    <x v="737"/>
    <x v="325"/>
    <x v="0"/>
    <s v="JA-16939"/>
    <s v="Jasmin Alvarado"/>
    <x v="0"/>
    <s v="United States"/>
    <x v="94"/>
    <x v="30"/>
    <x v="0"/>
    <s v="FUR-TA-107564"/>
    <x v="0"/>
    <x v="3"/>
    <s v="Bellwood Slim Training Table, Light Gray"/>
    <n v="528.70590000000004"/>
    <n v="3"/>
    <n v="222.3382"/>
    <x v="3"/>
    <x v="0"/>
  </r>
  <r>
    <x v="1011"/>
    <x v="738"/>
    <x v="736"/>
    <x v="2"/>
    <s v="BB-12536"/>
    <s v="Brett Burns"/>
    <x v="0"/>
    <s v="United States"/>
    <x v="7"/>
    <x v="7"/>
    <x v="2"/>
    <s v="FUR-BO-104471"/>
    <x v="0"/>
    <x v="2"/>
    <s v="Camden Modular Bookcase, Custom Colors"/>
    <n v="197.26949999999999"/>
    <n v="2"/>
    <n v="9.7238000000000007"/>
    <x v="2"/>
    <x v="10"/>
  </r>
  <r>
    <x v="1012"/>
    <x v="739"/>
    <x v="224"/>
    <x v="2"/>
    <s v="AV-11290"/>
    <s v="Adam Vaughan"/>
    <x v="1"/>
    <s v="United States"/>
    <x v="93"/>
    <x v="9"/>
    <x v="0"/>
    <s v="FUR-TA-105355"/>
    <x v="0"/>
    <x v="3"/>
    <s v="Wexford Racetrack Conference Table"/>
    <n v="1698.1339"/>
    <n v="3"/>
    <n v="-655.21619999999996"/>
    <x v="4"/>
    <x v="2"/>
  </r>
  <r>
    <x v="1013"/>
    <x v="740"/>
    <x v="32"/>
    <x v="0"/>
    <s v="JB-20726"/>
    <s v="Jamie Baird"/>
    <x v="1"/>
    <s v="United States"/>
    <x v="118"/>
    <x v="38"/>
    <x v="1"/>
    <s v="FUR-FU-106906"/>
    <x v="0"/>
    <x v="0"/>
    <s v="Cobalt LED Magnifier Lamp with Clamp Base"/>
    <n v="188.82640000000001"/>
    <n v="4"/>
    <n v="-19.205300000000001"/>
    <x v="0"/>
    <x v="10"/>
  </r>
  <r>
    <x v="1013"/>
    <x v="740"/>
    <x v="32"/>
    <x v="0"/>
    <s v="JB-20726"/>
    <s v="Jamie Baird"/>
    <x v="1"/>
    <s v="United States"/>
    <x v="118"/>
    <x v="38"/>
    <x v="1"/>
    <s v="FUR-CH-109697"/>
    <x v="0"/>
    <x v="1"/>
    <s v="Rowan Mid-Back Tilter Chair"/>
    <n v="289.8424"/>
    <n v="4"/>
    <n v="54.229599999999998"/>
    <x v="0"/>
    <x v="10"/>
  </r>
  <r>
    <x v="1014"/>
    <x v="581"/>
    <x v="737"/>
    <x v="2"/>
    <s v="MM-21032"/>
    <s v="Matthew Moore"/>
    <x v="2"/>
    <s v="United States"/>
    <x v="50"/>
    <x v="21"/>
    <x v="1"/>
    <s v="FUR-CH-101375"/>
    <x v="0"/>
    <x v="1"/>
    <s v="Sutton Push-Button Manager's Chair, Indigo"/>
    <n v="39.508400000000002"/>
    <n v="11"/>
    <n v="4.3764000000000003"/>
    <x v="3"/>
    <x v="0"/>
  </r>
  <r>
    <x v="1015"/>
    <x v="741"/>
    <x v="639"/>
    <x v="0"/>
    <s v="JC-16396"/>
    <s v="Jordan Chambers"/>
    <x v="2"/>
    <s v="United States"/>
    <x v="19"/>
    <x v="20"/>
    <x v="2"/>
    <s v="FUR-TA-105355"/>
    <x v="0"/>
    <x v="3"/>
    <s v="Wexford Racetrack Conference Table"/>
    <n v="771.43820000000005"/>
    <n v="2"/>
    <n v="-51.412500000000001"/>
    <x v="5"/>
    <x v="11"/>
  </r>
  <r>
    <x v="1016"/>
    <x v="742"/>
    <x v="738"/>
    <x v="2"/>
    <s v="AJ-16596"/>
    <s v="Amanda Jones"/>
    <x v="2"/>
    <s v="United States"/>
    <x v="93"/>
    <x v="9"/>
    <x v="0"/>
    <s v="FUR-TA-106211"/>
    <x v="0"/>
    <x v="3"/>
    <s v="Grantham Half-Moon Meeting Table"/>
    <n v="945.58699999999999"/>
    <n v="5"/>
    <n v="-170.0616"/>
    <x v="4"/>
    <x v="11"/>
  </r>
  <r>
    <x v="1017"/>
    <x v="743"/>
    <x v="739"/>
    <x v="2"/>
    <s v="CM-15107"/>
    <s v="Courtney Mills"/>
    <x v="1"/>
    <s v="United States"/>
    <x v="46"/>
    <x v="28"/>
    <x v="2"/>
    <s v="FUR-TA-105529"/>
    <x v="0"/>
    <x v="3"/>
    <s v="Fenwick Compact Office Desk"/>
    <n v="583.66549999999995"/>
    <n v="2"/>
    <n v="-214.69059999999999"/>
    <x v="1"/>
    <x v="11"/>
  </r>
  <r>
    <x v="1018"/>
    <x v="744"/>
    <x v="390"/>
    <x v="2"/>
    <s v="SH-19891"/>
    <s v="Shane Henderson"/>
    <x v="1"/>
    <s v="United States"/>
    <x v="7"/>
    <x v="7"/>
    <x v="2"/>
    <s v="FUR-BO-107999"/>
    <x v="0"/>
    <x v="2"/>
    <s v="Braxton Barrister Bookcase, Mahogany"/>
    <n v="289.71839999999997"/>
    <n v="1"/>
    <n v="-58.2209"/>
    <x v="2"/>
    <x v="6"/>
  </r>
  <r>
    <x v="1019"/>
    <x v="153"/>
    <x v="154"/>
    <x v="1"/>
    <s v="RR-11832"/>
    <s v="Ryan Rosales"/>
    <x v="0"/>
    <s v="United States"/>
    <x v="21"/>
    <x v="18"/>
    <x v="3"/>
    <s v="FUR-FU-100317"/>
    <x v="0"/>
    <x v="0"/>
    <s v="Nomad Floor Lamp, Telescoping Adjustable"/>
    <n v="61.557499999999997"/>
    <n v="3"/>
    <n v="31.956"/>
    <x v="7"/>
    <x v="3"/>
  </r>
  <r>
    <x v="1020"/>
    <x v="745"/>
    <x v="99"/>
    <x v="2"/>
    <s v="KR-13848"/>
    <s v="Keith Rodriguez"/>
    <x v="2"/>
    <s v="United States"/>
    <x v="126"/>
    <x v="47"/>
    <x v="0"/>
    <s v="FUR-FU-101341"/>
    <x v="0"/>
    <x v="0"/>
    <s v="Griswold Chairmats for Medium Pile Carpet"/>
    <n v="13.1929"/>
    <n v="4"/>
    <n v="5.3113999999999999"/>
    <x v="4"/>
    <x v="4"/>
  </r>
  <r>
    <x v="1021"/>
    <x v="460"/>
    <x v="473"/>
    <x v="0"/>
    <s v="AJ-16389"/>
    <s v="Adam Jackson"/>
    <x v="2"/>
    <s v="United States"/>
    <x v="39"/>
    <x v="33"/>
    <x v="3"/>
    <s v="FUR-TA-102977"/>
    <x v="0"/>
    <x v="3"/>
    <s v="Caldwell 44 x 96 Conference Table"/>
    <n v="122.1078"/>
    <n v="3"/>
    <n v="-20.3886"/>
    <x v="1"/>
    <x v="5"/>
  </r>
  <r>
    <x v="1021"/>
    <x v="460"/>
    <x v="473"/>
    <x v="0"/>
    <s v="AJ-16389"/>
    <s v="Adam Jackson"/>
    <x v="2"/>
    <s v="United States"/>
    <x v="39"/>
    <x v="33"/>
    <x v="3"/>
    <s v="FUR-CH-106455"/>
    <x v="0"/>
    <x v="1"/>
    <s v="Nolan Leather Highback Chair, Pneumatic Adjustment"/>
    <n v="207.08609999999999"/>
    <n v="5"/>
    <n v="41.661200000000001"/>
    <x v="1"/>
    <x v="5"/>
  </r>
  <r>
    <x v="1022"/>
    <x v="746"/>
    <x v="220"/>
    <x v="0"/>
    <s v="AH-15147"/>
    <s v="Allison Hickman"/>
    <x v="2"/>
    <s v="United States"/>
    <x v="106"/>
    <x v="34"/>
    <x v="1"/>
    <s v="FUR-FU-100317"/>
    <x v="0"/>
    <x v="0"/>
    <s v="Nomad Floor Lamp, Telescoping Adjustable"/>
    <n v="21.575399999999998"/>
    <n v="6"/>
    <n v="7.0067000000000004"/>
    <x v="7"/>
    <x v="6"/>
  </r>
  <r>
    <x v="1023"/>
    <x v="197"/>
    <x v="740"/>
    <x v="2"/>
    <s v="EC-10711"/>
    <s v="Eric Carney"/>
    <x v="0"/>
    <s v="United States"/>
    <x v="102"/>
    <x v="35"/>
    <x v="3"/>
    <s v="FUR-FU-107705"/>
    <x v="0"/>
    <x v="0"/>
    <s v="Hawthorne Desk Accessory Set, Oak"/>
    <n v="20.338999999999999"/>
    <n v="4"/>
    <n v="0.29659999999999997"/>
    <x v="2"/>
    <x v="1"/>
  </r>
  <r>
    <x v="1023"/>
    <x v="197"/>
    <x v="740"/>
    <x v="2"/>
    <s v="EC-10711"/>
    <s v="Eric Carney"/>
    <x v="0"/>
    <s v="United States"/>
    <x v="102"/>
    <x v="35"/>
    <x v="3"/>
    <s v="FUR-FU-108837"/>
    <x v="0"/>
    <x v="0"/>
    <s v="Ivanhoe Poster Frame, Aluminum"/>
    <n v="90.491500000000002"/>
    <n v="4"/>
    <n v="1.3742000000000001"/>
    <x v="2"/>
    <x v="1"/>
  </r>
  <r>
    <x v="1023"/>
    <x v="197"/>
    <x v="740"/>
    <x v="2"/>
    <s v="EC-10711"/>
    <s v="Eric Carney"/>
    <x v="0"/>
    <s v="United States"/>
    <x v="102"/>
    <x v="35"/>
    <x v="3"/>
    <s v="FUR-CH-108751"/>
    <x v="0"/>
    <x v="1"/>
    <s v="Prescott Ergonomic Chair with Lumbar Support"/>
    <n v="449.3836"/>
    <n v="4"/>
    <n v="-86.514399999999995"/>
    <x v="2"/>
    <x v="1"/>
  </r>
  <r>
    <x v="1023"/>
    <x v="197"/>
    <x v="740"/>
    <x v="2"/>
    <s v="EC-10711"/>
    <s v="Eric Carney"/>
    <x v="0"/>
    <s v="United States"/>
    <x v="102"/>
    <x v="35"/>
    <x v="3"/>
    <s v="FUR-FU-101124"/>
    <x v="0"/>
    <x v="0"/>
    <s v="Rutledge Desk Organizer Tray, Letter Size"/>
    <n v="8.0934000000000008"/>
    <n v="3"/>
    <n v="-0.44700000000000001"/>
    <x v="2"/>
    <x v="1"/>
  </r>
  <r>
    <x v="1024"/>
    <x v="278"/>
    <x v="618"/>
    <x v="2"/>
    <s v="CV-12851"/>
    <s v="Christian Vaughn"/>
    <x v="1"/>
    <s v="United States"/>
    <x v="79"/>
    <x v="16"/>
    <x v="0"/>
    <s v="FUR-FU-104558"/>
    <x v="0"/>
    <x v="0"/>
    <s v="Lambert Swing Arm Desk Lamp"/>
    <n v="8.0820000000000007"/>
    <n v="1"/>
    <n v="0.1002"/>
    <x v="6"/>
    <x v="9"/>
  </r>
  <r>
    <x v="1025"/>
    <x v="570"/>
    <x v="741"/>
    <x v="2"/>
    <s v="SW-11790"/>
    <s v="Shelia Wallace"/>
    <x v="2"/>
    <s v="United States"/>
    <x v="41"/>
    <x v="27"/>
    <x v="0"/>
    <s v="FUR-FU-101124"/>
    <x v="0"/>
    <x v="0"/>
    <s v="Rutledge Desk Organizer Tray, Letter Size"/>
    <n v="79.083299999999994"/>
    <n v="1"/>
    <n v="-23.1845"/>
    <x v="4"/>
    <x v="4"/>
  </r>
  <r>
    <x v="1026"/>
    <x v="747"/>
    <x v="742"/>
    <x v="2"/>
    <s v="LH-12200"/>
    <s v="Lisa Hunter"/>
    <x v="1"/>
    <s v="United States"/>
    <x v="29"/>
    <x v="13"/>
    <x v="3"/>
    <s v="FUR-CH-107657"/>
    <x v="0"/>
    <x v="1"/>
    <s v="Hollis Stacking Chair, Rounded Back"/>
    <n v="641.20839999999998"/>
    <n v="5"/>
    <n v="-88.627099999999999"/>
    <x v="5"/>
    <x v="9"/>
  </r>
  <r>
    <x v="1027"/>
    <x v="748"/>
    <x v="8"/>
    <x v="1"/>
    <s v="CG-15967"/>
    <s v="Cindy Gomez"/>
    <x v="2"/>
    <s v="United States"/>
    <x v="15"/>
    <x v="16"/>
    <x v="0"/>
    <s v="FUR-CH-102704"/>
    <x v="0"/>
    <x v="1"/>
    <s v="Brookline High-Back Executive Chair, Black Leather"/>
    <n v="292.9366"/>
    <n v="2"/>
    <n v="47.727600000000002"/>
    <x v="1"/>
    <x v="6"/>
  </r>
  <r>
    <x v="1027"/>
    <x v="748"/>
    <x v="8"/>
    <x v="1"/>
    <s v="CG-15967"/>
    <s v="Cindy Gomez"/>
    <x v="2"/>
    <s v="United States"/>
    <x v="15"/>
    <x v="16"/>
    <x v="0"/>
    <s v="FUR-CH-102704"/>
    <x v="0"/>
    <x v="1"/>
    <s v="Brookline High-Back Executive Chair, Black Leather"/>
    <n v="237.9802"/>
    <n v="6"/>
    <n v="26.5152"/>
    <x v="1"/>
    <x v="6"/>
  </r>
  <r>
    <x v="1028"/>
    <x v="583"/>
    <x v="617"/>
    <x v="3"/>
    <s v="JK-17066"/>
    <s v="Johnny Khan"/>
    <x v="1"/>
    <s v="United States"/>
    <x v="37"/>
    <x v="14"/>
    <x v="3"/>
    <s v="FUR-CH-107657"/>
    <x v="0"/>
    <x v="1"/>
    <s v="Hollis Stacking Chair, Rounded Back"/>
    <n v="768.25890000000004"/>
    <n v="2"/>
    <n v="-172.38300000000001"/>
    <x v="7"/>
    <x v="3"/>
  </r>
  <r>
    <x v="1029"/>
    <x v="749"/>
    <x v="743"/>
    <x v="1"/>
    <s v="BH-20809"/>
    <s v="Bryan Herrera"/>
    <x v="2"/>
    <s v="United States"/>
    <x v="46"/>
    <x v="28"/>
    <x v="2"/>
    <s v="FUR-BO-104471"/>
    <x v="0"/>
    <x v="2"/>
    <s v="Camden Modular Bookcase, Custom Colors"/>
    <n v="1171.1950999999999"/>
    <n v="6"/>
    <n v="1.5605"/>
    <x v="7"/>
    <x v="10"/>
  </r>
  <r>
    <x v="1030"/>
    <x v="750"/>
    <x v="382"/>
    <x v="2"/>
    <s v="JB-18928"/>
    <s v="Justin Baker"/>
    <x v="2"/>
    <s v="United States"/>
    <x v="85"/>
    <x v="44"/>
    <x v="0"/>
    <s v="FUR-FU-105733"/>
    <x v="0"/>
    <x v="0"/>
    <s v="Sable Halogen Replacement Bulb, 2-Pack"/>
    <n v="19.3187"/>
    <n v="5"/>
    <n v="7.4374000000000002"/>
    <x v="2"/>
    <x v="10"/>
  </r>
  <r>
    <x v="1031"/>
    <x v="751"/>
    <x v="744"/>
    <x v="2"/>
    <s v="RO-19977"/>
    <s v="Robert Oconnell"/>
    <x v="2"/>
    <s v="United States"/>
    <x v="13"/>
    <x v="14"/>
    <x v="3"/>
    <s v="FUR-CH-108751"/>
    <x v="0"/>
    <x v="1"/>
    <s v="Prescott Ergonomic Chair with Lumbar Support"/>
    <n v="542.03030000000001"/>
    <n v="2"/>
    <n v="32.929900000000004"/>
    <x v="6"/>
    <x v="10"/>
  </r>
  <r>
    <x v="1032"/>
    <x v="594"/>
    <x v="745"/>
    <x v="2"/>
    <s v="AE-18835"/>
    <s v="Anthony Everett"/>
    <x v="0"/>
    <s v="United States"/>
    <x v="50"/>
    <x v="21"/>
    <x v="1"/>
    <s v="FUR-CH-100441"/>
    <x v="0"/>
    <x v="1"/>
    <s v="Dalton Folding Chair, 4/Carton"/>
    <n v="178.20760000000001"/>
    <n v="2"/>
    <n v="-34.030099999999997"/>
    <x v="6"/>
    <x v="6"/>
  </r>
  <r>
    <x v="1033"/>
    <x v="86"/>
    <x v="746"/>
    <x v="3"/>
    <s v="NP-19260"/>
    <s v="Nicole Parrish"/>
    <x v="2"/>
    <s v="United States"/>
    <x v="3"/>
    <x v="3"/>
    <x v="1"/>
    <s v="FUR-CH-101375"/>
    <x v="0"/>
    <x v="1"/>
    <s v="Sutton Push-Button Manager's Chair, Indigo"/>
    <n v="942.62819999999999"/>
    <n v="1"/>
    <n v="323.11219999999997"/>
    <x v="7"/>
    <x v="1"/>
  </r>
  <r>
    <x v="1034"/>
    <x v="635"/>
    <x v="747"/>
    <x v="2"/>
    <s v="EM-16745"/>
    <s v="Evelyn Martinez"/>
    <x v="2"/>
    <s v="United States"/>
    <x v="40"/>
    <x v="15"/>
    <x v="1"/>
    <s v="FUR-BO-107140"/>
    <x v="0"/>
    <x v="2"/>
    <s v="Delacroix Lawyers Bookcase, Cherry Finish"/>
    <n v="495.01339999999999"/>
    <n v="3"/>
    <n v="-58.473399999999998"/>
    <x v="5"/>
    <x v="9"/>
  </r>
  <r>
    <x v="1035"/>
    <x v="752"/>
    <x v="748"/>
    <x v="1"/>
    <s v="HN-15442"/>
    <s v="Howard Norman"/>
    <x v="1"/>
    <s v="United States"/>
    <x v="12"/>
    <x v="13"/>
    <x v="3"/>
    <s v="FUR-FU-106906"/>
    <x v="0"/>
    <x v="0"/>
    <s v="Cobalt LED Magnifier Lamp with Clamp Base"/>
    <n v="52.293399999999998"/>
    <n v="6"/>
    <n v="2.8666999999999998"/>
    <x v="1"/>
    <x v="4"/>
  </r>
  <r>
    <x v="1036"/>
    <x v="753"/>
    <x v="57"/>
    <x v="2"/>
    <s v="LA-18317"/>
    <s v="Lawrence Adkins"/>
    <x v="0"/>
    <s v="United States"/>
    <x v="60"/>
    <x v="40"/>
    <x v="0"/>
    <s v="FUR-BO-109883"/>
    <x v="0"/>
    <x v="2"/>
    <s v="Ashford Mobile 4-Shelf Bookcase"/>
    <n v="174.44380000000001"/>
    <n v="1"/>
    <n v="66.407499999999999"/>
    <x v="0"/>
    <x v="8"/>
  </r>
  <r>
    <x v="1037"/>
    <x v="754"/>
    <x v="749"/>
    <x v="2"/>
    <s v="MS-11988"/>
    <s v="Michael Stanley"/>
    <x v="2"/>
    <s v="United States"/>
    <x v="28"/>
    <x v="4"/>
    <x v="1"/>
    <s v="FUR-FU-106211"/>
    <x v="0"/>
    <x v="0"/>
    <s v="Aurora Brushed Chrome Wall Clock, 14in"/>
    <n v="57.101300000000002"/>
    <n v="2"/>
    <n v="-13.459899999999999"/>
    <x v="7"/>
    <x v="10"/>
  </r>
  <r>
    <x v="1038"/>
    <x v="490"/>
    <x v="498"/>
    <x v="2"/>
    <s v="SH-19891"/>
    <s v="Shane Henderson"/>
    <x v="1"/>
    <s v="United States"/>
    <x v="49"/>
    <x v="36"/>
    <x v="0"/>
    <s v="FUR-FU-104558"/>
    <x v="0"/>
    <x v="0"/>
    <s v="Lambert Swing Arm Desk Lamp"/>
    <n v="124.2257"/>
    <n v="5"/>
    <n v="2.6049000000000002"/>
    <x v="5"/>
    <x v="11"/>
  </r>
  <r>
    <x v="1039"/>
    <x v="755"/>
    <x v="750"/>
    <x v="2"/>
    <s v="GP-20391"/>
    <s v="Gregory Ponce"/>
    <x v="0"/>
    <s v="United States"/>
    <x v="86"/>
    <x v="43"/>
    <x v="2"/>
    <s v="FUR-CH-108751"/>
    <x v="0"/>
    <x v="1"/>
    <s v="Prescott Ergonomic Chair with Lumbar Support"/>
    <n v="454.27879999999999"/>
    <n v="6"/>
    <n v="-75.697400000000002"/>
    <x v="6"/>
    <x v="10"/>
  </r>
  <r>
    <x v="1039"/>
    <x v="755"/>
    <x v="750"/>
    <x v="2"/>
    <s v="GP-20391"/>
    <s v="Gregory Ponce"/>
    <x v="0"/>
    <s v="United States"/>
    <x v="86"/>
    <x v="43"/>
    <x v="2"/>
    <s v="FUR-FU-107705"/>
    <x v="0"/>
    <x v="0"/>
    <s v="Hawthorne Desk Accessory Set, Oak"/>
    <n v="109.1503"/>
    <n v="6"/>
    <n v="21.987200000000001"/>
    <x v="6"/>
    <x v="10"/>
  </r>
  <r>
    <x v="1040"/>
    <x v="687"/>
    <x v="436"/>
    <x v="2"/>
    <s v="LS-16267"/>
    <s v="Lance Simmons"/>
    <x v="2"/>
    <s v="United States"/>
    <x v="49"/>
    <x v="36"/>
    <x v="0"/>
    <s v="FUR-BO-108818"/>
    <x v="0"/>
    <x v="2"/>
    <s v="Meridian Glass-Door Bookcase, Espresso Finish"/>
    <n v="296.70670000000001"/>
    <n v="4"/>
    <n v="40.759399999999999"/>
    <x v="1"/>
    <x v="9"/>
  </r>
  <r>
    <x v="1041"/>
    <x v="756"/>
    <x v="751"/>
    <x v="0"/>
    <s v="KD-10090"/>
    <s v="Kevin Davis"/>
    <x v="2"/>
    <s v="United States"/>
    <x v="59"/>
    <x v="39"/>
    <x v="0"/>
    <s v="FUR-FU-103673"/>
    <x v="0"/>
    <x v="0"/>
    <s v="Corcoran Document Holder, Wood"/>
    <n v="45.244500000000002"/>
    <n v="5"/>
    <n v="1.1014999999999999"/>
    <x v="1"/>
    <x v="6"/>
  </r>
  <r>
    <x v="1042"/>
    <x v="757"/>
    <x v="752"/>
    <x v="2"/>
    <s v="RJ-18348"/>
    <s v="Rebecca Jackson"/>
    <x v="2"/>
    <s v="United States"/>
    <x v="96"/>
    <x v="15"/>
    <x v="1"/>
    <s v="FUR-FU-103673"/>
    <x v="0"/>
    <x v="0"/>
    <s v="Corcoran Document Holder, Wood"/>
    <n v="25.270900000000001"/>
    <n v="3"/>
    <n v="11.426"/>
    <x v="7"/>
    <x v="6"/>
  </r>
  <r>
    <x v="1043"/>
    <x v="758"/>
    <x v="404"/>
    <x v="2"/>
    <s v="JP-10009"/>
    <s v="Jonathan Peterson"/>
    <x v="2"/>
    <s v="United States"/>
    <x v="62"/>
    <x v="25"/>
    <x v="3"/>
    <s v="FUR-TA-104262"/>
    <x v="0"/>
    <x v="3"/>
    <s v="Thorne End Table, 20-1/2H x 24W x 20D"/>
    <n v="270.96899999999999"/>
    <n v="2"/>
    <n v="-283.97890000000001"/>
    <x v="7"/>
    <x v="6"/>
  </r>
  <r>
    <x v="1044"/>
    <x v="759"/>
    <x v="121"/>
    <x v="2"/>
    <s v="RB-15974"/>
    <s v="Riley Bryant"/>
    <x v="0"/>
    <s v="United States"/>
    <x v="55"/>
    <x v="12"/>
    <x v="2"/>
    <s v="FUR-FU-100853"/>
    <x v="0"/>
    <x v="0"/>
    <s v="Blaine Cubicle Wall Clock, Black"/>
    <n v="17.1205"/>
    <n v="1"/>
    <n v="4.6862000000000004"/>
    <x v="0"/>
    <x v="7"/>
  </r>
  <r>
    <x v="1045"/>
    <x v="760"/>
    <x v="594"/>
    <x v="0"/>
    <s v="DM-10319"/>
    <s v="Debra Morton"/>
    <x v="2"/>
    <s v="United States"/>
    <x v="82"/>
    <x v="19"/>
    <x v="2"/>
    <s v="FUR-CH-108751"/>
    <x v="0"/>
    <x v="1"/>
    <s v="Prescott Ergonomic Chair with Lumbar Support"/>
    <n v="54.619500000000002"/>
    <n v="2"/>
    <n v="21.248799999999999"/>
    <x v="1"/>
    <x v="4"/>
  </r>
  <r>
    <x v="1046"/>
    <x v="680"/>
    <x v="753"/>
    <x v="2"/>
    <s v="KW-18308"/>
    <s v="Kathryn Williams"/>
    <x v="2"/>
    <s v="United States"/>
    <x v="84"/>
    <x v="29"/>
    <x v="0"/>
    <s v="FUR-CH-106455"/>
    <x v="0"/>
    <x v="1"/>
    <s v="Nolan Leather Highback Chair, Pneumatic Adjustment"/>
    <n v="133.3246"/>
    <n v="5"/>
    <n v="16.015599999999999"/>
    <x v="3"/>
    <x v="8"/>
  </r>
  <r>
    <x v="1047"/>
    <x v="761"/>
    <x v="754"/>
    <x v="0"/>
    <s v="WD-14279"/>
    <s v="William Day"/>
    <x v="2"/>
    <s v="United States"/>
    <x v="49"/>
    <x v="36"/>
    <x v="0"/>
    <s v="FUR-CH-109246"/>
    <x v="0"/>
    <x v="1"/>
    <s v="Beckett Steno Chair, Gray"/>
    <n v="470.33890000000002"/>
    <n v="8"/>
    <n v="161.38140000000001"/>
    <x v="0"/>
    <x v="9"/>
  </r>
  <r>
    <x v="1048"/>
    <x v="745"/>
    <x v="755"/>
    <x v="2"/>
    <s v="CG-15967"/>
    <s v="Cindy Gomez"/>
    <x v="2"/>
    <s v="United States"/>
    <x v="60"/>
    <x v="40"/>
    <x v="0"/>
    <s v="FUR-FU-105733"/>
    <x v="0"/>
    <x v="0"/>
    <s v="Sable Halogen Replacement Bulb, 2-Pack"/>
    <n v="64.456100000000006"/>
    <n v="10"/>
    <n v="-3.7787999999999999"/>
    <x v="0"/>
    <x v="4"/>
  </r>
  <r>
    <x v="1049"/>
    <x v="578"/>
    <x v="337"/>
    <x v="2"/>
    <s v="BH-12041"/>
    <s v="Barbara Hester"/>
    <x v="0"/>
    <s v="United States"/>
    <x v="22"/>
    <x v="22"/>
    <x v="2"/>
    <s v="FUR-FU-100317"/>
    <x v="0"/>
    <x v="0"/>
    <s v="Nomad Floor Lamp, Telescoping Adjustable"/>
    <n v="40.668700000000001"/>
    <n v="2"/>
    <n v="-23.562000000000001"/>
    <x v="2"/>
    <x v="6"/>
  </r>
  <r>
    <x v="1050"/>
    <x v="762"/>
    <x v="756"/>
    <x v="2"/>
    <s v="AJ-13566"/>
    <s v="Ariana Jennings"/>
    <x v="2"/>
    <s v="United States"/>
    <x v="77"/>
    <x v="42"/>
    <x v="1"/>
    <s v="FUR-FU-105733"/>
    <x v="0"/>
    <x v="0"/>
    <s v="Sable Halogen Replacement Bulb, 2-Pack"/>
    <n v="114.2794"/>
    <n v="13"/>
    <n v="-8.0076999999999998"/>
    <x v="3"/>
    <x v="10"/>
  </r>
  <r>
    <x v="1051"/>
    <x v="763"/>
    <x v="162"/>
    <x v="2"/>
    <s v="GH-13450"/>
    <s v="George Harper"/>
    <x v="2"/>
    <s v="United States"/>
    <x v="81"/>
    <x v="43"/>
    <x v="2"/>
    <s v="FUR-CH-107657"/>
    <x v="0"/>
    <x v="1"/>
    <s v="Hollis Stacking Chair, Rounded Back"/>
    <n v="577.3759"/>
    <n v="3"/>
    <n v="-165.2535"/>
    <x v="1"/>
    <x v="8"/>
  </r>
  <r>
    <x v="1052"/>
    <x v="764"/>
    <x v="463"/>
    <x v="2"/>
    <s v="BP-16227"/>
    <s v="Brittney Phillips"/>
    <x v="2"/>
    <s v="United States"/>
    <x v="116"/>
    <x v="38"/>
    <x v="1"/>
    <s v="FUR-CH-102091"/>
    <x v="0"/>
    <x v="1"/>
    <s v="Vantage Swivel Task Chair, Blue"/>
    <n v="691.34019999999998"/>
    <n v="1"/>
    <n v="-2.1181999999999999"/>
    <x v="1"/>
    <x v="8"/>
  </r>
  <r>
    <x v="1053"/>
    <x v="765"/>
    <x v="757"/>
    <x v="0"/>
    <s v="DR-18270"/>
    <s v="David Robinson"/>
    <x v="2"/>
    <s v="United States"/>
    <x v="6"/>
    <x v="6"/>
    <x v="1"/>
    <s v="FUR-FU-101341"/>
    <x v="0"/>
    <x v="0"/>
    <s v="Griswold Chairmats for Medium Pile Carpet"/>
    <n v="202.0746"/>
    <n v="3"/>
    <n v="8.8915000000000006"/>
    <x v="3"/>
    <x v="4"/>
  </r>
  <r>
    <x v="1054"/>
    <x v="751"/>
    <x v="569"/>
    <x v="2"/>
    <s v="JS-21169"/>
    <s v="Jason Stein"/>
    <x v="2"/>
    <s v="United States"/>
    <x v="76"/>
    <x v="34"/>
    <x v="1"/>
    <s v="FUR-TA-107449"/>
    <x v="0"/>
    <x v="3"/>
    <s v="Pembroke 36 x 72 Conference Table"/>
    <n v="1694.0879"/>
    <n v="5"/>
    <n v="-465.62209999999999"/>
    <x v="3"/>
    <x v="10"/>
  </r>
  <r>
    <x v="1055"/>
    <x v="170"/>
    <x v="758"/>
    <x v="0"/>
    <s v="KJ-11604"/>
    <s v="Keith Jennings"/>
    <x v="2"/>
    <s v="United States"/>
    <x v="69"/>
    <x v="41"/>
    <x v="3"/>
    <s v="FUR-CH-100444"/>
    <x v="0"/>
    <x v="1"/>
    <s v="Harborview Mesh Task Chair, Adjustable Arms"/>
    <n v="377.13159999999999"/>
    <n v="5"/>
    <n v="43.738100000000003"/>
    <x v="3"/>
    <x v="2"/>
  </r>
  <r>
    <x v="1055"/>
    <x v="170"/>
    <x v="758"/>
    <x v="0"/>
    <s v="KJ-11604"/>
    <s v="Keith Jennings"/>
    <x v="2"/>
    <s v="United States"/>
    <x v="69"/>
    <x v="41"/>
    <x v="3"/>
    <s v="FUR-TA-105529"/>
    <x v="0"/>
    <x v="3"/>
    <s v="Fenwick Compact Office Desk"/>
    <n v="87.110900000000001"/>
    <n v="9"/>
    <n v="-21.535699999999999"/>
    <x v="3"/>
    <x v="2"/>
  </r>
  <r>
    <x v="1056"/>
    <x v="747"/>
    <x v="155"/>
    <x v="0"/>
    <s v="BJ-20299"/>
    <s v="Brent Jordan"/>
    <x v="1"/>
    <s v="United States"/>
    <x v="45"/>
    <x v="34"/>
    <x v="1"/>
    <s v="FUR-FU-107705"/>
    <x v="0"/>
    <x v="0"/>
    <s v="Hawthorne Desk Accessory Set, Oak"/>
    <n v="64.215100000000007"/>
    <n v="1"/>
    <n v="5.0667999999999997"/>
    <x v="1"/>
    <x v="9"/>
  </r>
  <r>
    <x v="1057"/>
    <x v="470"/>
    <x v="342"/>
    <x v="2"/>
    <s v="CW-10916"/>
    <s v="Christine Wright"/>
    <x v="1"/>
    <s v="United States"/>
    <x v="22"/>
    <x v="22"/>
    <x v="2"/>
    <s v="FUR-BO-106371"/>
    <x v="0"/>
    <x v="2"/>
    <s v="Fairmont Ladder Shelf, Black Metal Frame"/>
    <n v="2899.2593000000002"/>
    <n v="1"/>
    <n v="-74.006"/>
    <x v="2"/>
    <x v="9"/>
  </r>
  <r>
    <x v="1058"/>
    <x v="766"/>
    <x v="759"/>
    <x v="2"/>
    <s v="LP-21409"/>
    <s v="Lisa Perry"/>
    <x v="1"/>
    <s v="United States"/>
    <x v="33"/>
    <x v="23"/>
    <x v="2"/>
    <s v="FUR-CH-107657"/>
    <x v="0"/>
    <x v="1"/>
    <s v="Hollis Stacking Chair, Rounded Back"/>
    <n v="126.2371"/>
    <n v="4"/>
    <n v="43.922499999999999"/>
    <x v="0"/>
    <x v="10"/>
  </r>
  <r>
    <x v="1059"/>
    <x v="767"/>
    <x v="760"/>
    <x v="0"/>
    <s v="KW-20714"/>
    <s v="Kathleen Webster"/>
    <x v="1"/>
    <s v="United States"/>
    <x v="97"/>
    <x v="32"/>
    <x v="3"/>
    <s v="FUR-TA-106211"/>
    <x v="0"/>
    <x v="3"/>
    <s v="Grantham Half-Moon Meeting Table"/>
    <n v="845.40060000000005"/>
    <n v="4"/>
    <n v="-5.8794000000000004"/>
    <x v="5"/>
    <x v="7"/>
  </r>
  <r>
    <x v="1060"/>
    <x v="768"/>
    <x v="477"/>
    <x v="2"/>
    <s v="MP-13505"/>
    <s v="Mr. Michael Scott PhD"/>
    <x v="0"/>
    <s v="United States"/>
    <x v="80"/>
    <x v="1"/>
    <x v="0"/>
    <s v="FUR-FU-106211"/>
    <x v="0"/>
    <x v="0"/>
    <s v="Aurora Brushed Chrome Wall Clock, 14in"/>
    <n v="140.958"/>
    <n v="2"/>
    <n v="21.279"/>
    <x v="4"/>
    <x v="3"/>
  </r>
  <r>
    <x v="1061"/>
    <x v="769"/>
    <x v="761"/>
    <x v="2"/>
    <s v="HF-13346"/>
    <s v="Holly Farmer"/>
    <x v="0"/>
    <s v="United States"/>
    <x v="123"/>
    <x v="24"/>
    <x v="1"/>
    <s v="FUR-FU-103673"/>
    <x v="0"/>
    <x v="0"/>
    <s v="Corcoran Document Holder, Wood"/>
    <n v="581.3125"/>
    <n v="2"/>
    <n v="-69.837900000000005"/>
    <x v="7"/>
    <x v="3"/>
  </r>
  <r>
    <x v="1062"/>
    <x v="770"/>
    <x v="762"/>
    <x v="0"/>
    <s v="JA-13470"/>
    <s v="Julie Alexander"/>
    <x v="1"/>
    <s v="United States"/>
    <x v="8"/>
    <x v="8"/>
    <x v="1"/>
    <s v="FUR-FU-107705"/>
    <x v="0"/>
    <x v="0"/>
    <s v="Hawthorne Desk Accessory Set, Oak"/>
    <n v="150.80629999999999"/>
    <n v="2"/>
    <n v="27.4221"/>
    <x v="0"/>
    <x v="9"/>
  </r>
  <r>
    <x v="1062"/>
    <x v="770"/>
    <x v="762"/>
    <x v="0"/>
    <s v="JA-13470"/>
    <s v="Julie Alexander"/>
    <x v="1"/>
    <s v="United States"/>
    <x v="8"/>
    <x v="8"/>
    <x v="1"/>
    <s v="FUR-CH-109697"/>
    <x v="0"/>
    <x v="1"/>
    <s v="Rowan Mid-Back Tilter Chair"/>
    <n v="749.80079999999998"/>
    <n v="6"/>
    <n v="57.7607"/>
    <x v="0"/>
    <x v="9"/>
  </r>
  <r>
    <x v="1063"/>
    <x v="746"/>
    <x v="763"/>
    <x v="2"/>
    <s v="TB-16209"/>
    <s v="Tracy Ballard"/>
    <x v="2"/>
    <s v="United States"/>
    <x v="108"/>
    <x v="17"/>
    <x v="3"/>
    <s v="FUR-FU-104133"/>
    <x v="0"/>
    <x v="0"/>
    <s v="Preston Wood Photo Frame, Mahogany"/>
    <n v="7.1342999999999996"/>
    <n v="2"/>
    <n v="-3.0669"/>
    <x v="6"/>
    <x v="6"/>
  </r>
  <r>
    <x v="1064"/>
    <x v="98"/>
    <x v="392"/>
    <x v="3"/>
    <s v="RD-11343"/>
    <s v="Ronald Davis"/>
    <x v="2"/>
    <s v="United States"/>
    <x v="5"/>
    <x v="5"/>
    <x v="2"/>
    <s v="FUR-CH-109246"/>
    <x v="0"/>
    <x v="1"/>
    <s v="Beckett Steno Chair, Gray"/>
    <n v="689.12480000000005"/>
    <n v="4"/>
    <n v="-4.7874999999999996"/>
    <x v="7"/>
    <x v="9"/>
  </r>
  <r>
    <x v="1065"/>
    <x v="771"/>
    <x v="764"/>
    <x v="2"/>
    <s v="NB-19324"/>
    <s v="Nancy Brown"/>
    <x v="1"/>
    <s v="United States"/>
    <x v="11"/>
    <x v="12"/>
    <x v="2"/>
    <s v="FUR-FU-103673"/>
    <x v="0"/>
    <x v="0"/>
    <s v="Corcoran Document Holder, Wood"/>
    <n v="118.0142"/>
    <n v="3"/>
    <n v="-53.542900000000003"/>
    <x v="0"/>
    <x v="10"/>
  </r>
  <r>
    <x v="1066"/>
    <x v="638"/>
    <x v="696"/>
    <x v="1"/>
    <s v="SM-17668"/>
    <s v="Stephanie Manning"/>
    <x v="1"/>
    <s v="United States"/>
    <x v="111"/>
    <x v="8"/>
    <x v="1"/>
    <s v="FUR-FU-101341"/>
    <x v="0"/>
    <x v="0"/>
    <s v="Griswold Chairmats for Medium Pile Carpet"/>
    <n v="44.7239"/>
    <n v="2"/>
    <n v="-10.694100000000001"/>
    <x v="7"/>
    <x v="6"/>
  </r>
  <r>
    <x v="1066"/>
    <x v="638"/>
    <x v="696"/>
    <x v="1"/>
    <s v="SM-17668"/>
    <s v="Stephanie Manning"/>
    <x v="1"/>
    <s v="United States"/>
    <x v="111"/>
    <x v="8"/>
    <x v="1"/>
    <s v="FUR-FU-104558"/>
    <x v="0"/>
    <x v="0"/>
    <s v="Lambert Swing Arm Desk Lamp"/>
    <n v="32.101599999999998"/>
    <n v="1"/>
    <n v="-7.4786000000000001"/>
    <x v="7"/>
    <x v="6"/>
  </r>
  <r>
    <x v="1067"/>
    <x v="498"/>
    <x v="765"/>
    <x v="0"/>
    <s v="CV-10590"/>
    <s v="Cynthia Vang"/>
    <x v="0"/>
    <s v="United States"/>
    <x v="113"/>
    <x v="47"/>
    <x v="0"/>
    <s v="FUR-CH-101375"/>
    <x v="0"/>
    <x v="1"/>
    <s v="Sutton Push-Button Manager's Chair, Indigo"/>
    <n v="380.20769999999999"/>
    <n v="2"/>
    <n v="25.206299999999999"/>
    <x v="1"/>
    <x v="11"/>
  </r>
  <r>
    <x v="1068"/>
    <x v="37"/>
    <x v="538"/>
    <x v="2"/>
    <s v="SS-11049"/>
    <s v="Susan Serrano"/>
    <x v="2"/>
    <s v="United States"/>
    <x v="49"/>
    <x v="36"/>
    <x v="0"/>
    <s v="FUR-TA-105363"/>
    <x v="0"/>
    <x v="3"/>
    <s v="Ashcombe Rectangular Table Top"/>
    <n v="182.93989999999999"/>
    <n v="3"/>
    <n v="-63.776699999999998"/>
    <x v="7"/>
    <x v="1"/>
  </r>
  <r>
    <x v="1068"/>
    <x v="37"/>
    <x v="538"/>
    <x v="2"/>
    <s v="SS-11049"/>
    <s v="Susan Serrano"/>
    <x v="2"/>
    <s v="United States"/>
    <x v="49"/>
    <x v="36"/>
    <x v="0"/>
    <s v="FUR-TA-103467"/>
    <x v="0"/>
    <x v="3"/>
    <s v="Kessler Round Bullnose High Table"/>
    <n v="959.93759999999997"/>
    <n v="7"/>
    <n v="130.0077"/>
    <x v="7"/>
    <x v="1"/>
  </r>
  <r>
    <x v="1069"/>
    <x v="427"/>
    <x v="766"/>
    <x v="0"/>
    <s v="MM-15617"/>
    <s v="Michael Mitchell"/>
    <x v="2"/>
    <s v="United States"/>
    <x v="88"/>
    <x v="31"/>
    <x v="2"/>
    <s v="FUR-CH-108751"/>
    <x v="0"/>
    <x v="1"/>
    <s v="Prescott Ergonomic Chair with Lumbar Support"/>
    <n v="383.4271"/>
    <n v="6"/>
    <n v="211.4376"/>
    <x v="1"/>
    <x v="1"/>
  </r>
  <r>
    <x v="1070"/>
    <x v="772"/>
    <x v="767"/>
    <x v="2"/>
    <s v="TJ-13111"/>
    <s v="Trevor Johnson"/>
    <x v="1"/>
    <s v="United States"/>
    <x v="68"/>
    <x v="33"/>
    <x v="3"/>
    <s v="FUR-FU-104558"/>
    <x v="0"/>
    <x v="0"/>
    <s v="Lambert Swing Arm Desk Lamp"/>
    <n v="503.26960000000003"/>
    <n v="1"/>
    <n v="104.9055"/>
    <x v="5"/>
    <x v="7"/>
  </r>
  <r>
    <x v="1071"/>
    <x v="73"/>
    <x v="768"/>
    <x v="0"/>
    <s v="JK-20882"/>
    <s v="Jessica Khan"/>
    <x v="2"/>
    <s v="United States"/>
    <x v="107"/>
    <x v="40"/>
    <x v="0"/>
    <s v="FUR-CH-102091"/>
    <x v="0"/>
    <x v="1"/>
    <s v="Vantage Swivel Task Chair, Blue"/>
    <n v="836.40959999999995"/>
    <n v="2"/>
    <n v="61.740900000000003"/>
    <x v="3"/>
    <x v="4"/>
  </r>
  <r>
    <x v="1071"/>
    <x v="73"/>
    <x v="768"/>
    <x v="0"/>
    <s v="JK-20882"/>
    <s v="Jessica Khan"/>
    <x v="2"/>
    <s v="United States"/>
    <x v="107"/>
    <x v="40"/>
    <x v="0"/>
    <s v="FUR-FU-106211"/>
    <x v="0"/>
    <x v="0"/>
    <s v="Aurora Brushed Chrome Wall Clock, 14in"/>
    <n v="6.9842000000000004"/>
    <n v="2"/>
    <n v="1.9389000000000001"/>
    <x v="3"/>
    <x v="4"/>
  </r>
  <r>
    <x v="1072"/>
    <x v="773"/>
    <x v="690"/>
    <x v="2"/>
    <s v="MH-18346"/>
    <s v="Michelle Ho"/>
    <x v="1"/>
    <s v="United States"/>
    <x v="13"/>
    <x v="14"/>
    <x v="3"/>
    <s v="FUR-TA-105529"/>
    <x v="0"/>
    <x v="3"/>
    <s v="Fenwick Compact Office Desk"/>
    <n v="178.5523"/>
    <n v="2"/>
    <n v="-21.5883"/>
    <x v="7"/>
    <x v="3"/>
  </r>
  <r>
    <x v="1072"/>
    <x v="773"/>
    <x v="690"/>
    <x v="2"/>
    <s v="MH-18346"/>
    <s v="Michelle Ho"/>
    <x v="1"/>
    <s v="United States"/>
    <x v="13"/>
    <x v="14"/>
    <x v="3"/>
    <s v="FUR-CH-100444"/>
    <x v="0"/>
    <x v="1"/>
    <s v="Harborview Mesh Task Chair, Adjustable Arms"/>
    <n v="789.88400000000001"/>
    <n v="1"/>
    <n v="235.95310000000001"/>
    <x v="7"/>
    <x v="3"/>
  </r>
  <r>
    <x v="1073"/>
    <x v="774"/>
    <x v="769"/>
    <x v="2"/>
    <s v="JG-15559"/>
    <s v="Jessica Garcia"/>
    <x v="1"/>
    <s v="United States"/>
    <x v="39"/>
    <x v="33"/>
    <x v="3"/>
    <s v="FUR-CH-106455"/>
    <x v="0"/>
    <x v="1"/>
    <s v="Nolan Leather Highback Chair, Pneumatic Adjustment"/>
    <n v="221.86500000000001"/>
    <n v="3"/>
    <n v="-22.276199999999999"/>
    <x v="1"/>
    <x v="2"/>
  </r>
  <r>
    <x v="1073"/>
    <x v="774"/>
    <x v="769"/>
    <x v="2"/>
    <s v="JG-15559"/>
    <s v="Jessica Garcia"/>
    <x v="1"/>
    <s v="United States"/>
    <x v="39"/>
    <x v="33"/>
    <x v="3"/>
    <s v="FUR-CH-101375"/>
    <x v="0"/>
    <x v="1"/>
    <s v="Sutton Push-Button Manager's Chair, Indigo"/>
    <n v="889.71090000000004"/>
    <n v="4"/>
    <n v="79.873800000000003"/>
    <x v="1"/>
    <x v="2"/>
  </r>
  <r>
    <x v="1073"/>
    <x v="774"/>
    <x v="769"/>
    <x v="2"/>
    <s v="JG-15559"/>
    <s v="Jessica Garcia"/>
    <x v="1"/>
    <s v="United States"/>
    <x v="39"/>
    <x v="33"/>
    <x v="3"/>
    <s v="FUR-FU-107705"/>
    <x v="0"/>
    <x v="0"/>
    <s v="Hawthorne Desk Accessory Set, Oak"/>
    <n v="126.7993"/>
    <n v="3"/>
    <n v="-20.982500000000002"/>
    <x v="1"/>
    <x v="2"/>
  </r>
  <r>
    <x v="1074"/>
    <x v="672"/>
    <x v="770"/>
    <x v="2"/>
    <s v="SS-16252"/>
    <s v="Stephanie Salazar"/>
    <x v="1"/>
    <s v="United States"/>
    <x v="114"/>
    <x v="42"/>
    <x v="1"/>
    <s v="FUR-FU-104558"/>
    <x v="0"/>
    <x v="0"/>
    <s v="Lambert Swing Arm Desk Lamp"/>
    <n v="30.657"/>
    <n v="11"/>
    <n v="10.2858"/>
    <x v="4"/>
    <x v="6"/>
  </r>
  <r>
    <x v="1075"/>
    <x v="775"/>
    <x v="697"/>
    <x v="2"/>
    <s v="KE-21787"/>
    <s v="Kenneth Edwards"/>
    <x v="2"/>
    <s v="United States"/>
    <x v="60"/>
    <x v="40"/>
    <x v="0"/>
    <s v="FUR-BO-104471"/>
    <x v="0"/>
    <x v="2"/>
    <s v="Camden Modular Bookcase, Custom Colors"/>
    <n v="308.28620000000001"/>
    <n v="1"/>
    <n v="-196.54089999999999"/>
    <x v="1"/>
    <x v="9"/>
  </r>
  <r>
    <x v="1075"/>
    <x v="775"/>
    <x v="697"/>
    <x v="2"/>
    <s v="KE-21787"/>
    <s v="Kenneth Edwards"/>
    <x v="2"/>
    <s v="United States"/>
    <x v="60"/>
    <x v="40"/>
    <x v="0"/>
    <s v="FUR-FU-107705"/>
    <x v="0"/>
    <x v="0"/>
    <s v="Hawthorne Desk Accessory Set, Oak"/>
    <n v="9.0859000000000005"/>
    <n v="5"/>
    <n v="0.40389999999999998"/>
    <x v="1"/>
    <x v="9"/>
  </r>
  <r>
    <x v="1076"/>
    <x v="466"/>
    <x v="620"/>
    <x v="0"/>
    <s v="JP-11891"/>
    <s v="Joanna Pacheco"/>
    <x v="1"/>
    <s v="United States"/>
    <x v="99"/>
    <x v="20"/>
    <x v="2"/>
    <s v="FUR-CH-102091"/>
    <x v="0"/>
    <x v="1"/>
    <s v="Vantage Swivel Task Chair, Blue"/>
    <n v="166.5241"/>
    <n v="2"/>
    <n v="40.931800000000003"/>
    <x v="0"/>
    <x v="3"/>
  </r>
  <r>
    <x v="1076"/>
    <x v="466"/>
    <x v="620"/>
    <x v="0"/>
    <s v="JP-11891"/>
    <s v="Joanna Pacheco"/>
    <x v="1"/>
    <s v="United States"/>
    <x v="99"/>
    <x v="20"/>
    <x v="2"/>
    <s v="FUR-CH-101375"/>
    <x v="0"/>
    <x v="1"/>
    <s v="Sutton Push-Button Manager's Chair, Indigo"/>
    <n v="293.13220000000001"/>
    <n v="3"/>
    <n v="70.320999999999998"/>
    <x v="0"/>
    <x v="3"/>
  </r>
  <r>
    <x v="1077"/>
    <x v="87"/>
    <x v="771"/>
    <x v="2"/>
    <s v="CT-21133"/>
    <s v="Curtis Taylor"/>
    <x v="2"/>
    <s v="United States"/>
    <x v="111"/>
    <x v="8"/>
    <x v="1"/>
    <s v="FUR-FU-100853"/>
    <x v="0"/>
    <x v="0"/>
    <s v="Blaine Cubicle Wall Clock, Black"/>
    <n v="108.7972"/>
    <n v="3"/>
    <n v="19.950700000000001"/>
    <x v="0"/>
    <x v="8"/>
  </r>
  <r>
    <x v="1078"/>
    <x v="673"/>
    <x v="772"/>
    <x v="2"/>
    <s v="CH-21769"/>
    <s v="Casey Hernandez"/>
    <x v="2"/>
    <s v="United States"/>
    <x v="16"/>
    <x v="17"/>
    <x v="3"/>
    <s v="FUR-TA-107022"/>
    <x v="0"/>
    <x v="3"/>
    <s v="Alden Rectangular Conference Table"/>
    <n v="644.60429999999997"/>
    <n v="4"/>
    <n v="72.267499999999998"/>
    <x v="7"/>
    <x v="9"/>
  </r>
  <r>
    <x v="1078"/>
    <x v="673"/>
    <x v="772"/>
    <x v="2"/>
    <s v="CH-21769"/>
    <s v="Casey Hernandez"/>
    <x v="2"/>
    <s v="United States"/>
    <x v="16"/>
    <x v="17"/>
    <x v="3"/>
    <s v="FUR-CH-102091"/>
    <x v="0"/>
    <x v="1"/>
    <s v="Vantage Swivel Task Chair, Blue"/>
    <n v="252.09059999999999"/>
    <n v="2"/>
    <n v="-17.566500000000001"/>
    <x v="7"/>
    <x v="9"/>
  </r>
  <r>
    <x v="1078"/>
    <x v="673"/>
    <x v="772"/>
    <x v="2"/>
    <s v="CH-21769"/>
    <s v="Casey Hernandez"/>
    <x v="2"/>
    <s v="United States"/>
    <x v="16"/>
    <x v="17"/>
    <x v="3"/>
    <s v="FUR-BO-107956"/>
    <x v="0"/>
    <x v="2"/>
    <s v="Sterling Wide Bookcase, Charcoal Gray"/>
    <n v="177.89529999999999"/>
    <n v="4"/>
    <n v="-29.524899999999999"/>
    <x v="7"/>
    <x v="9"/>
  </r>
  <r>
    <x v="1079"/>
    <x v="776"/>
    <x v="773"/>
    <x v="2"/>
    <s v="WP-11654"/>
    <s v="Whitney Peters"/>
    <x v="0"/>
    <s v="United States"/>
    <x v="83"/>
    <x v="27"/>
    <x v="0"/>
    <s v="FUR-BO-100475"/>
    <x v="0"/>
    <x v="2"/>
    <s v="Overton 3-Shelf Corner Bookcase"/>
    <n v="879.07799999999997"/>
    <n v="4"/>
    <n v="310.7808"/>
    <x v="5"/>
    <x v="5"/>
  </r>
  <r>
    <x v="1079"/>
    <x v="776"/>
    <x v="773"/>
    <x v="2"/>
    <s v="WP-11654"/>
    <s v="Whitney Peters"/>
    <x v="0"/>
    <s v="United States"/>
    <x v="83"/>
    <x v="27"/>
    <x v="0"/>
    <s v="FUR-FU-105733"/>
    <x v="0"/>
    <x v="0"/>
    <s v="Sable Halogen Replacement Bulb, 2-Pack"/>
    <n v="45.431699999999999"/>
    <n v="3"/>
    <n v="5.0593000000000004"/>
    <x v="5"/>
    <x v="5"/>
  </r>
  <r>
    <x v="1079"/>
    <x v="776"/>
    <x v="773"/>
    <x v="2"/>
    <s v="WP-11654"/>
    <s v="Whitney Peters"/>
    <x v="0"/>
    <s v="United States"/>
    <x v="83"/>
    <x v="27"/>
    <x v="0"/>
    <s v="FUR-CH-102704"/>
    <x v="0"/>
    <x v="1"/>
    <s v="Brookline High-Back Executive Chair, Black Leather"/>
    <n v="860.75139999999999"/>
    <n v="1"/>
    <n v="167.2629"/>
    <x v="5"/>
    <x v="5"/>
  </r>
  <r>
    <x v="1080"/>
    <x v="552"/>
    <x v="561"/>
    <x v="2"/>
    <s v="VR-14349"/>
    <s v="Vincent Reynolds"/>
    <x v="2"/>
    <s v="United States"/>
    <x v="33"/>
    <x v="23"/>
    <x v="2"/>
    <s v="FUR-CH-102091"/>
    <x v="0"/>
    <x v="1"/>
    <s v="Vantage Swivel Task Chair, Blue"/>
    <n v="176.43620000000001"/>
    <n v="3"/>
    <n v="-41.332999999999998"/>
    <x v="0"/>
    <x v="9"/>
  </r>
  <r>
    <x v="1081"/>
    <x v="777"/>
    <x v="774"/>
    <x v="2"/>
    <s v="BH-10320"/>
    <s v="Brent Hernandez"/>
    <x v="2"/>
    <s v="United States"/>
    <x v="2"/>
    <x v="2"/>
    <x v="0"/>
    <s v="FUR-FU-108837"/>
    <x v="0"/>
    <x v="0"/>
    <s v="Ivanhoe Poster Frame, Aluminum"/>
    <n v="52.640500000000003"/>
    <n v="1"/>
    <n v="-3.1735000000000002"/>
    <x v="1"/>
    <x v="0"/>
  </r>
  <r>
    <x v="1081"/>
    <x v="777"/>
    <x v="774"/>
    <x v="2"/>
    <s v="BH-10320"/>
    <s v="Brent Hernandez"/>
    <x v="2"/>
    <s v="United States"/>
    <x v="2"/>
    <x v="2"/>
    <x v="0"/>
    <s v="FUR-FU-100853"/>
    <x v="0"/>
    <x v="0"/>
    <s v="Blaine Cubicle Wall Clock, Black"/>
    <n v="47.0822"/>
    <n v="3"/>
    <n v="-5.7641999999999998"/>
    <x v="1"/>
    <x v="0"/>
  </r>
  <r>
    <x v="1081"/>
    <x v="777"/>
    <x v="774"/>
    <x v="2"/>
    <s v="BH-10320"/>
    <s v="Brent Hernandez"/>
    <x v="2"/>
    <s v="United States"/>
    <x v="2"/>
    <x v="2"/>
    <x v="0"/>
    <s v="FUR-FU-108837"/>
    <x v="0"/>
    <x v="0"/>
    <s v="Ivanhoe Poster Frame, Aluminum"/>
    <n v="245.50190000000001"/>
    <n v="2"/>
    <n v="-5.9187000000000003"/>
    <x v="1"/>
    <x v="0"/>
  </r>
  <r>
    <x v="1081"/>
    <x v="777"/>
    <x v="774"/>
    <x v="2"/>
    <s v="BH-10320"/>
    <s v="Brent Hernandez"/>
    <x v="2"/>
    <s v="United States"/>
    <x v="2"/>
    <x v="2"/>
    <x v="0"/>
    <s v="FUR-FU-103673"/>
    <x v="0"/>
    <x v="0"/>
    <s v="Corcoran Document Holder, Wood"/>
    <n v="32.974499999999999"/>
    <n v="2"/>
    <n v="-15.700200000000001"/>
    <x v="1"/>
    <x v="0"/>
  </r>
  <r>
    <x v="1082"/>
    <x v="778"/>
    <x v="775"/>
    <x v="2"/>
    <s v="SB-11122"/>
    <s v="Sharon Boyd"/>
    <x v="2"/>
    <s v="United States"/>
    <x v="93"/>
    <x v="9"/>
    <x v="0"/>
    <s v="FUR-BO-104471"/>
    <x v="0"/>
    <x v="2"/>
    <s v="Camden Modular Bookcase, Custom Colors"/>
    <n v="907.8895"/>
    <n v="7"/>
    <n v="-606.85670000000005"/>
    <x v="2"/>
    <x v="5"/>
  </r>
  <r>
    <x v="1083"/>
    <x v="275"/>
    <x v="776"/>
    <x v="2"/>
    <s v="DF-19446"/>
    <s v="Donna Frye"/>
    <x v="2"/>
    <s v="United States"/>
    <x v="72"/>
    <x v="6"/>
    <x v="1"/>
    <s v="FUR-FU-101341"/>
    <x v="0"/>
    <x v="0"/>
    <s v="Griswold Chairmats for Medium Pile Carpet"/>
    <n v="66.337199999999996"/>
    <n v="2"/>
    <n v="-6.2518000000000002"/>
    <x v="2"/>
    <x v="10"/>
  </r>
  <r>
    <x v="1084"/>
    <x v="779"/>
    <x v="777"/>
    <x v="2"/>
    <s v="AM-17041"/>
    <s v="Aaron Miller"/>
    <x v="1"/>
    <s v="United States"/>
    <x v="40"/>
    <x v="15"/>
    <x v="1"/>
    <s v="FUR-BO-108818"/>
    <x v="0"/>
    <x v="2"/>
    <s v="Meridian Glass-Door Bookcase, Espresso Finish"/>
    <n v="79.698499999999996"/>
    <n v="5"/>
    <n v="2.1760000000000002"/>
    <x v="2"/>
    <x v="11"/>
  </r>
  <r>
    <x v="1085"/>
    <x v="780"/>
    <x v="778"/>
    <x v="2"/>
    <s v="SM-16547"/>
    <s v="Shelley Miller"/>
    <x v="2"/>
    <s v="United States"/>
    <x v="46"/>
    <x v="28"/>
    <x v="2"/>
    <s v="FUR-BO-107956"/>
    <x v="0"/>
    <x v="2"/>
    <s v="Sterling Wide Bookcase, Charcoal Gray"/>
    <n v="217.46250000000001"/>
    <n v="4"/>
    <n v="-62.327100000000002"/>
    <x v="7"/>
    <x v="11"/>
  </r>
  <r>
    <x v="1086"/>
    <x v="781"/>
    <x v="779"/>
    <x v="2"/>
    <s v="ET-12607"/>
    <s v="Eric Thomas"/>
    <x v="2"/>
    <s v="United States"/>
    <x v="48"/>
    <x v="35"/>
    <x v="3"/>
    <s v="FUR-CH-109697"/>
    <x v="0"/>
    <x v="1"/>
    <s v="Rowan Mid-Back Tilter Chair"/>
    <n v="45.6631"/>
    <n v="3"/>
    <n v="21.438099999999999"/>
    <x v="3"/>
    <x v="1"/>
  </r>
  <r>
    <x v="1087"/>
    <x v="47"/>
    <x v="217"/>
    <x v="0"/>
    <s v="AM-10626"/>
    <s v="Amy Martinez"/>
    <x v="1"/>
    <s v="United States"/>
    <x v="110"/>
    <x v="47"/>
    <x v="0"/>
    <s v="FUR-BO-108947"/>
    <x v="0"/>
    <x v="2"/>
    <s v="Concord Ladder Bookcase, Walnut"/>
    <n v="854.82349999999997"/>
    <n v="3"/>
    <n v="-185.91550000000001"/>
    <x v="7"/>
    <x v="6"/>
  </r>
  <r>
    <x v="1087"/>
    <x v="47"/>
    <x v="217"/>
    <x v="0"/>
    <s v="AM-10626"/>
    <s v="Amy Martinez"/>
    <x v="1"/>
    <s v="United States"/>
    <x v="110"/>
    <x v="47"/>
    <x v="0"/>
    <s v="FUR-FU-101124"/>
    <x v="0"/>
    <x v="0"/>
    <s v="Rutledge Desk Organizer Tray, Letter Size"/>
    <n v="35.460999999999999"/>
    <n v="4"/>
    <n v="3.3807"/>
    <x v="7"/>
    <x v="6"/>
  </r>
  <r>
    <x v="1088"/>
    <x v="420"/>
    <x v="102"/>
    <x v="2"/>
    <s v="DW-19007"/>
    <s v="Dr. William Warren"/>
    <x v="2"/>
    <s v="United States"/>
    <x v="127"/>
    <x v="46"/>
    <x v="3"/>
    <s v="FUR-BO-109883"/>
    <x v="0"/>
    <x v="2"/>
    <s v="Ashford Mobile 4-Shelf Bookcase"/>
    <n v="3211.9373000000001"/>
    <n v="5"/>
    <n v="11.8299"/>
    <x v="0"/>
    <x v="11"/>
  </r>
  <r>
    <x v="1088"/>
    <x v="420"/>
    <x v="102"/>
    <x v="2"/>
    <s v="DW-19007"/>
    <s v="Dr. William Warren"/>
    <x v="2"/>
    <s v="United States"/>
    <x v="127"/>
    <x v="46"/>
    <x v="3"/>
    <s v="FUR-FU-107705"/>
    <x v="0"/>
    <x v="0"/>
    <s v="Hawthorne Desk Accessory Set, Oak"/>
    <n v="241.21360000000001"/>
    <n v="5"/>
    <n v="38.677900000000001"/>
    <x v="0"/>
    <x v="11"/>
  </r>
  <r>
    <x v="1089"/>
    <x v="235"/>
    <x v="727"/>
    <x v="2"/>
    <s v="LR-10344"/>
    <s v="Laura Roberts"/>
    <x v="2"/>
    <s v="United States"/>
    <x v="66"/>
    <x v="23"/>
    <x v="2"/>
    <s v="FUR-CH-100441"/>
    <x v="0"/>
    <x v="1"/>
    <s v="Dalton Folding Chair, 4/Carton"/>
    <n v="503.28730000000002"/>
    <n v="4"/>
    <n v="-73.967500000000001"/>
    <x v="5"/>
    <x v="2"/>
  </r>
  <r>
    <x v="1090"/>
    <x v="782"/>
    <x v="780"/>
    <x v="2"/>
    <s v="BL-12705"/>
    <s v="Brian Lee"/>
    <x v="0"/>
    <s v="United States"/>
    <x v="111"/>
    <x v="8"/>
    <x v="1"/>
    <s v="FUR-FU-104133"/>
    <x v="0"/>
    <x v="0"/>
    <s v="Preston Wood Photo Frame, Mahogany"/>
    <n v="105.8944"/>
    <n v="3"/>
    <n v="-58.965400000000002"/>
    <x v="2"/>
    <x v="11"/>
  </r>
  <r>
    <x v="1091"/>
    <x v="766"/>
    <x v="759"/>
    <x v="0"/>
    <s v="ES-11193"/>
    <s v="Elizabeth Sharp"/>
    <x v="2"/>
    <s v="United States"/>
    <x v="33"/>
    <x v="23"/>
    <x v="2"/>
    <s v="FUR-CH-100444"/>
    <x v="0"/>
    <x v="1"/>
    <s v="Harborview Mesh Task Chair, Adjustable Arms"/>
    <n v="305.60289999999998"/>
    <n v="2"/>
    <n v="133.73259999999999"/>
    <x v="0"/>
    <x v="10"/>
  </r>
  <r>
    <x v="1092"/>
    <x v="375"/>
    <x v="629"/>
    <x v="2"/>
    <s v="LW-11827"/>
    <s v="Lindsey Walker"/>
    <x v="0"/>
    <s v="United States"/>
    <x v="42"/>
    <x v="11"/>
    <x v="2"/>
    <s v="FUR-CH-100444"/>
    <x v="0"/>
    <x v="1"/>
    <s v="Harborview Mesh Task Chair, Adjustable Arms"/>
    <n v="427.66219999999998"/>
    <n v="4"/>
    <n v="-20.007999999999999"/>
    <x v="1"/>
    <x v="0"/>
  </r>
  <r>
    <x v="1092"/>
    <x v="375"/>
    <x v="629"/>
    <x v="2"/>
    <s v="LW-11827"/>
    <s v="Lindsey Walker"/>
    <x v="0"/>
    <s v="United States"/>
    <x v="42"/>
    <x v="11"/>
    <x v="2"/>
    <s v="FUR-FU-101124"/>
    <x v="0"/>
    <x v="0"/>
    <s v="Rutledge Desk Organizer Tray, Letter Size"/>
    <n v="383.22480000000002"/>
    <n v="4"/>
    <n v="100.2398"/>
    <x v="1"/>
    <x v="0"/>
  </r>
  <r>
    <x v="1093"/>
    <x v="783"/>
    <x v="781"/>
    <x v="2"/>
    <s v="PD-15409"/>
    <s v="Pamela Diaz"/>
    <x v="2"/>
    <s v="United States"/>
    <x v="121"/>
    <x v="3"/>
    <x v="1"/>
    <s v="FUR-FU-108837"/>
    <x v="0"/>
    <x v="0"/>
    <s v="Ivanhoe Poster Frame, Aluminum"/>
    <n v="19.959900000000001"/>
    <n v="9"/>
    <n v="5.1794000000000002"/>
    <x v="5"/>
    <x v="1"/>
  </r>
  <r>
    <x v="1093"/>
    <x v="783"/>
    <x v="781"/>
    <x v="2"/>
    <s v="PD-15409"/>
    <s v="Pamela Diaz"/>
    <x v="2"/>
    <s v="United States"/>
    <x v="121"/>
    <x v="3"/>
    <x v="1"/>
    <s v="FUR-CH-109697"/>
    <x v="0"/>
    <x v="1"/>
    <s v="Rowan Mid-Back Tilter Chair"/>
    <n v="431.52159999999998"/>
    <n v="5"/>
    <n v="219.21090000000001"/>
    <x v="5"/>
    <x v="1"/>
  </r>
  <r>
    <x v="1093"/>
    <x v="783"/>
    <x v="781"/>
    <x v="2"/>
    <s v="PD-15409"/>
    <s v="Pamela Diaz"/>
    <x v="2"/>
    <s v="United States"/>
    <x v="121"/>
    <x v="3"/>
    <x v="1"/>
    <s v="FUR-FU-108837"/>
    <x v="0"/>
    <x v="0"/>
    <s v="Ivanhoe Poster Frame, Aluminum"/>
    <n v="37.025100000000002"/>
    <n v="3"/>
    <n v="21.433800000000002"/>
    <x v="5"/>
    <x v="1"/>
  </r>
  <r>
    <x v="1094"/>
    <x v="784"/>
    <x v="782"/>
    <x v="0"/>
    <s v="GL-13483"/>
    <s v="Garrett Lin"/>
    <x v="2"/>
    <s v="United States"/>
    <x v="86"/>
    <x v="43"/>
    <x v="2"/>
    <s v="FUR-FU-108837"/>
    <x v="0"/>
    <x v="0"/>
    <s v="Ivanhoe Poster Frame, Aluminum"/>
    <n v="26.8782"/>
    <n v="1"/>
    <n v="6.3151000000000002"/>
    <x v="7"/>
    <x v="10"/>
  </r>
  <r>
    <x v="1095"/>
    <x v="179"/>
    <x v="558"/>
    <x v="0"/>
    <s v="ML-14011"/>
    <s v="Michael Lopez"/>
    <x v="1"/>
    <s v="United States"/>
    <x v="79"/>
    <x v="16"/>
    <x v="0"/>
    <s v="FUR-FU-107705"/>
    <x v="0"/>
    <x v="0"/>
    <s v="Hawthorne Desk Accessory Set, Oak"/>
    <n v="108.1065"/>
    <n v="2"/>
    <n v="41.808"/>
    <x v="7"/>
    <x v="11"/>
  </r>
  <r>
    <x v="1096"/>
    <x v="785"/>
    <x v="12"/>
    <x v="2"/>
    <s v="CL-20147"/>
    <s v="Christian Leblanc"/>
    <x v="2"/>
    <s v="United States"/>
    <x v="90"/>
    <x v="45"/>
    <x v="3"/>
    <s v="FUR-CH-100444"/>
    <x v="0"/>
    <x v="1"/>
    <s v="Harborview Mesh Task Chair, Adjustable Arms"/>
    <n v="248.65880000000001"/>
    <n v="1"/>
    <n v="-34.6098"/>
    <x v="3"/>
    <x v="8"/>
  </r>
  <r>
    <x v="1097"/>
    <x v="515"/>
    <x v="194"/>
    <x v="1"/>
    <s v="TH-14451"/>
    <s v="Timothy Hayden"/>
    <x v="1"/>
    <s v="United States"/>
    <x v="21"/>
    <x v="18"/>
    <x v="3"/>
    <s v="FUR-FU-106906"/>
    <x v="0"/>
    <x v="0"/>
    <s v="Cobalt LED Magnifier Lamp with Clamp Base"/>
    <n v="33.478900000000003"/>
    <n v="4"/>
    <n v="-12.578099999999999"/>
    <x v="1"/>
    <x v="5"/>
  </r>
  <r>
    <x v="1098"/>
    <x v="174"/>
    <x v="352"/>
    <x v="2"/>
    <s v="BJ-20299"/>
    <s v="Brent Jordan"/>
    <x v="2"/>
    <s v="United States"/>
    <x v="91"/>
    <x v="45"/>
    <x v="3"/>
    <s v="FUR-CH-105507"/>
    <x v="0"/>
    <x v="1"/>
    <s v="Kingsley Mesh-Back Task Chair"/>
    <n v="1076.6866"/>
    <n v="2"/>
    <n v="-135.1961"/>
    <x v="1"/>
    <x v="7"/>
  </r>
  <r>
    <x v="1099"/>
    <x v="678"/>
    <x v="783"/>
    <x v="2"/>
    <s v="JO-19432"/>
    <s v="Joseph Ochoa"/>
    <x v="2"/>
    <s v="United States"/>
    <x v="33"/>
    <x v="23"/>
    <x v="2"/>
    <s v="FUR-CH-107657"/>
    <x v="0"/>
    <x v="1"/>
    <s v="Hollis Stacking Chair, Rounded Back"/>
    <n v="1003.0293"/>
    <n v="2"/>
    <n v="206.4862"/>
    <x v="2"/>
    <x v="11"/>
  </r>
  <r>
    <x v="1100"/>
    <x v="768"/>
    <x v="414"/>
    <x v="1"/>
    <s v="RL-10006"/>
    <s v="Raymond Le"/>
    <x v="1"/>
    <s v="United States"/>
    <x v="108"/>
    <x v="17"/>
    <x v="3"/>
    <s v="FUR-FU-100317"/>
    <x v="0"/>
    <x v="0"/>
    <s v="Nomad Floor Lamp, Telescoping Adjustable"/>
    <n v="173.96530000000001"/>
    <n v="2"/>
    <n v="43.544800000000002"/>
    <x v="1"/>
    <x v="3"/>
  </r>
  <r>
    <x v="1101"/>
    <x v="161"/>
    <x v="784"/>
    <x v="2"/>
    <s v="BH-10320"/>
    <s v="Brent Hernandez"/>
    <x v="2"/>
    <s v="United States"/>
    <x v="25"/>
    <x v="24"/>
    <x v="1"/>
    <s v="FUR-FU-104133"/>
    <x v="0"/>
    <x v="0"/>
    <s v="Preston Wood Photo Frame, Mahogany"/>
    <n v="151.7116"/>
    <n v="4"/>
    <n v="-51.786900000000003"/>
    <x v="1"/>
    <x v="3"/>
  </r>
  <r>
    <x v="1102"/>
    <x v="490"/>
    <x v="785"/>
    <x v="2"/>
    <s v="DR-18270"/>
    <s v="David Robinson"/>
    <x v="1"/>
    <s v="United States"/>
    <x v="46"/>
    <x v="28"/>
    <x v="2"/>
    <s v="FUR-CH-105507"/>
    <x v="0"/>
    <x v="1"/>
    <s v="Kingsley Mesh-Back Task Chair"/>
    <n v="133.1249"/>
    <n v="5"/>
    <n v="50.794899999999998"/>
    <x v="7"/>
    <x v="11"/>
  </r>
  <r>
    <x v="1103"/>
    <x v="649"/>
    <x v="786"/>
    <x v="2"/>
    <s v="RM-21792"/>
    <s v="Robert Morgan"/>
    <x v="0"/>
    <s v="United States"/>
    <x v="103"/>
    <x v="43"/>
    <x v="2"/>
    <s v="FUR-TA-105529"/>
    <x v="0"/>
    <x v="3"/>
    <s v="Fenwick Compact Office Desk"/>
    <n v="195.96430000000001"/>
    <n v="4"/>
    <n v="-155.4144"/>
    <x v="2"/>
    <x v="3"/>
  </r>
  <r>
    <x v="1104"/>
    <x v="260"/>
    <x v="787"/>
    <x v="2"/>
    <s v="GJ-12584"/>
    <s v="Gary Jackson"/>
    <x v="2"/>
    <s v="United States"/>
    <x v="25"/>
    <x v="24"/>
    <x v="1"/>
    <s v="FUR-FU-105733"/>
    <x v="0"/>
    <x v="0"/>
    <s v="Sable Halogen Replacement Bulb, 2-Pack"/>
    <n v="25.6816"/>
    <n v="5"/>
    <n v="5.7808999999999999"/>
    <x v="5"/>
    <x v="3"/>
  </r>
  <r>
    <x v="1105"/>
    <x v="515"/>
    <x v="194"/>
    <x v="2"/>
    <s v="RT-12532"/>
    <s v="Robin Thompson"/>
    <x v="1"/>
    <s v="United States"/>
    <x v="23"/>
    <x v="5"/>
    <x v="2"/>
    <s v="FUR-TA-105363"/>
    <x v="0"/>
    <x v="3"/>
    <s v="Ashcombe Rectangular Table Top"/>
    <n v="1396.5669"/>
    <n v="5"/>
    <n v="461.27179999999998"/>
    <x v="1"/>
    <x v="5"/>
  </r>
  <r>
    <x v="1106"/>
    <x v="786"/>
    <x v="788"/>
    <x v="0"/>
    <s v="CR-18785"/>
    <s v="Crystal Robinson"/>
    <x v="2"/>
    <s v="United States"/>
    <x v="6"/>
    <x v="6"/>
    <x v="1"/>
    <s v="FUR-FU-106211"/>
    <x v="0"/>
    <x v="0"/>
    <s v="Aurora Brushed Chrome Wall Clock, 14in"/>
    <n v="26.720500000000001"/>
    <n v="5"/>
    <n v="-1.7122999999999999"/>
    <x v="3"/>
    <x v="10"/>
  </r>
  <r>
    <x v="1107"/>
    <x v="178"/>
    <x v="789"/>
    <x v="0"/>
    <s v="DC-16054"/>
    <s v="Dana Chapman"/>
    <x v="1"/>
    <s v="United States"/>
    <x v="75"/>
    <x v="39"/>
    <x v="0"/>
    <s v="FUR-FU-104133"/>
    <x v="0"/>
    <x v="0"/>
    <s v="Preston Wood Photo Frame, Mahogany"/>
    <n v="242.4023"/>
    <n v="2"/>
    <n v="-101.4213"/>
    <x v="0"/>
    <x v="4"/>
  </r>
  <r>
    <x v="1108"/>
    <x v="787"/>
    <x v="466"/>
    <x v="2"/>
    <s v="NB-21770"/>
    <s v="Natalie Bautista"/>
    <x v="2"/>
    <s v="United States"/>
    <x v="15"/>
    <x v="16"/>
    <x v="0"/>
    <s v="FUR-FU-104558"/>
    <x v="0"/>
    <x v="0"/>
    <s v="Lambert Swing Arm Desk Lamp"/>
    <n v="56.8962"/>
    <n v="5"/>
    <n v="21.128"/>
    <x v="7"/>
    <x v="4"/>
  </r>
  <r>
    <x v="1109"/>
    <x v="325"/>
    <x v="790"/>
    <x v="2"/>
    <s v="SJ-16201"/>
    <s v="Shannon Jones"/>
    <x v="2"/>
    <s v="United States"/>
    <x v="38"/>
    <x v="32"/>
    <x v="3"/>
    <s v="FUR-CH-106624"/>
    <x v="0"/>
    <x v="1"/>
    <s v="Adler Fabric Manager's Chair, Slate Gray"/>
    <n v="160.48259999999999"/>
    <n v="4"/>
    <n v="24.1599"/>
    <x v="1"/>
    <x v="5"/>
  </r>
  <r>
    <x v="1109"/>
    <x v="325"/>
    <x v="790"/>
    <x v="2"/>
    <s v="SJ-16201"/>
    <s v="Shannon Jones"/>
    <x v="2"/>
    <s v="United States"/>
    <x v="38"/>
    <x v="32"/>
    <x v="3"/>
    <s v="FUR-CH-108751"/>
    <x v="0"/>
    <x v="1"/>
    <s v="Prescott Ergonomic Chair with Lumbar Support"/>
    <n v="331.61160000000001"/>
    <n v="2"/>
    <n v="114.054"/>
    <x v="1"/>
    <x v="5"/>
  </r>
  <r>
    <x v="1109"/>
    <x v="325"/>
    <x v="790"/>
    <x v="2"/>
    <s v="SJ-16201"/>
    <s v="Shannon Jones"/>
    <x v="2"/>
    <s v="United States"/>
    <x v="38"/>
    <x v="32"/>
    <x v="3"/>
    <s v="FUR-FU-108837"/>
    <x v="0"/>
    <x v="0"/>
    <s v="Ivanhoe Poster Frame, Aluminum"/>
    <n v="22.851800000000001"/>
    <n v="8"/>
    <n v="-6.6002000000000001"/>
    <x v="1"/>
    <x v="5"/>
  </r>
  <r>
    <x v="1110"/>
    <x v="788"/>
    <x v="592"/>
    <x v="1"/>
    <s v="RO-19977"/>
    <s v="Robert Oconnell"/>
    <x v="2"/>
    <s v="United States"/>
    <x v="48"/>
    <x v="35"/>
    <x v="3"/>
    <s v="FUR-CH-109246"/>
    <x v="0"/>
    <x v="1"/>
    <s v="Beckett Steno Chair, Gray"/>
    <n v="211.49080000000001"/>
    <n v="3"/>
    <n v="6.8419999999999996"/>
    <x v="7"/>
    <x v="0"/>
  </r>
  <r>
    <x v="1111"/>
    <x v="789"/>
    <x v="227"/>
    <x v="3"/>
    <s v="KE-16653"/>
    <s v="Kelly Edwards"/>
    <x v="1"/>
    <s v="United States"/>
    <x v="46"/>
    <x v="28"/>
    <x v="2"/>
    <s v="FUR-CH-106455"/>
    <x v="0"/>
    <x v="1"/>
    <s v="Nolan Leather Highback Chair, Pneumatic Adjustment"/>
    <n v="1191.5678"/>
    <n v="2"/>
    <n v="-48.667299999999997"/>
    <x v="7"/>
    <x v="6"/>
  </r>
  <r>
    <x v="1112"/>
    <x v="790"/>
    <x v="663"/>
    <x v="2"/>
    <s v="DA-11796"/>
    <s v="David Alvarez"/>
    <x v="0"/>
    <s v="United States"/>
    <x v="99"/>
    <x v="20"/>
    <x v="2"/>
    <s v="FUR-FU-107705"/>
    <x v="0"/>
    <x v="0"/>
    <s v="Hawthorne Desk Accessory Set, Oak"/>
    <n v="172.45330000000001"/>
    <n v="4"/>
    <n v="-58.781799999999997"/>
    <x v="7"/>
    <x v="3"/>
  </r>
  <r>
    <x v="1113"/>
    <x v="175"/>
    <x v="561"/>
    <x v="1"/>
    <s v="AM-17041"/>
    <s v="Aaron Miller"/>
    <x v="0"/>
    <s v="United States"/>
    <x v="88"/>
    <x v="31"/>
    <x v="2"/>
    <s v="FUR-BO-108947"/>
    <x v="0"/>
    <x v="2"/>
    <s v="Concord Ladder Bookcase, Walnut"/>
    <n v="157.68299999999999"/>
    <n v="1"/>
    <n v="22.3645"/>
    <x v="7"/>
    <x v="9"/>
  </r>
  <r>
    <x v="1113"/>
    <x v="175"/>
    <x v="561"/>
    <x v="1"/>
    <s v="AM-17041"/>
    <s v="Aaron Miller"/>
    <x v="0"/>
    <s v="United States"/>
    <x v="88"/>
    <x v="31"/>
    <x v="2"/>
    <s v="FUR-FU-103673"/>
    <x v="0"/>
    <x v="0"/>
    <s v="Corcoran Document Holder, Wood"/>
    <n v="69.141499999999994"/>
    <n v="2"/>
    <n v="-10.431699999999999"/>
    <x v="7"/>
    <x v="9"/>
  </r>
  <r>
    <x v="1114"/>
    <x v="791"/>
    <x v="791"/>
    <x v="2"/>
    <s v="CJ-15155"/>
    <s v="Crystal Johnson"/>
    <x v="0"/>
    <s v="United States"/>
    <x v="41"/>
    <x v="27"/>
    <x v="0"/>
    <s v="FUR-FU-108837"/>
    <x v="0"/>
    <x v="0"/>
    <s v="Ivanhoe Poster Frame, Aluminum"/>
    <n v="29.596800000000002"/>
    <n v="2"/>
    <n v="8.0657999999999994"/>
    <x v="0"/>
    <x v="1"/>
  </r>
  <r>
    <x v="1115"/>
    <x v="147"/>
    <x v="792"/>
    <x v="2"/>
    <s v="MH-18317"/>
    <s v="Matthew Harrington"/>
    <x v="2"/>
    <s v="United States"/>
    <x v="61"/>
    <x v="10"/>
    <x v="1"/>
    <s v="FUR-FU-106211"/>
    <x v="0"/>
    <x v="0"/>
    <s v="Aurora Brushed Chrome Wall Clock, 14in"/>
    <n v="37.1967"/>
    <n v="2"/>
    <n v="1.5952999999999999"/>
    <x v="7"/>
    <x v="5"/>
  </r>
  <r>
    <x v="1116"/>
    <x v="792"/>
    <x v="92"/>
    <x v="2"/>
    <s v="TB-16209"/>
    <s v="Tracy Ballard"/>
    <x v="2"/>
    <s v="United States"/>
    <x v="5"/>
    <x v="5"/>
    <x v="2"/>
    <s v="FUR-CH-105507"/>
    <x v="0"/>
    <x v="1"/>
    <s v="Kingsley Mesh-Back Task Chair"/>
    <n v="150.75360000000001"/>
    <n v="4"/>
    <n v="52.902900000000002"/>
    <x v="6"/>
    <x v="0"/>
  </r>
  <r>
    <x v="1117"/>
    <x v="793"/>
    <x v="72"/>
    <x v="2"/>
    <s v="JS-17238"/>
    <s v="Jeremy Scott"/>
    <x v="2"/>
    <s v="United States"/>
    <x v="22"/>
    <x v="22"/>
    <x v="2"/>
    <s v="FUR-CH-100441"/>
    <x v="0"/>
    <x v="1"/>
    <s v="Dalton Folding Chair, 4/Carton"/>
    <n v="172.1454"/>
    <n v="4"/>
    <n v="12.7896"/>
    <x v="7"/>
    <x v="10"/>
  </r>
  <r>
    <x v="1118"/>
    <x v="232"/>
    <x v="594"/>
    <x v="2"/>
    <s v="KM-15663"/>
    <s v="Krista Martinez"/>
    <x v="0"/>
    <s v="United States"/>
    <x v="99"/>
    <x v="20"/>
    <x v="2"/>
    <s v="FUR-FU-108837"/>
    <x v="0"/>
    <x v="0"/>
    <s v="Ivanhoe Poster Frame, Aluminum"/>
    <n v="38.477400000000003"/>
    <n v="1"/>
    <n v="18.5823"/>
    <x v="4"/>
    <x v="4"/>
  </r>
  <r>
    <x v="1119"/>
    <x v="794"/>
    <x v="5"/>
    <x v="1"/>
    <s v="DB-20617"/>
    <s v="Daniel Baker"/>
    <x v="0"/>
    <s v="United States"/>
    <x v="16"/>
    <x v="17"/>
    <x v="3"/>
    <s v="FUR-CH-106624"/>
    <x v="0"/>
    <x v="1"/>
    <s v="Adler Fabric Manager's Chair, Slate Gray"/>
    <n v="170.05420000000001"/>
    <n v="4"/>
    <n v="30.075299999999999"/>
    <x v="7"/>
    <x v="3"/>
  </r>
  <r>
    <x v="1120"/>
    <x v="402"/>
    <x v="615"/>
    <x v="0"/>
    <s v="TS-12504"/>
    <s v="Tina Sanders"/>
    <x v="2"/>
    <s v="United States"/>
    <x v="80"/>
    <x v="1"/>
    <x v="0"/>
    <s v="FUR-BO-107999"/>
    <x v="0"/>
    <x v="2"/>
    <s v="Braxton Barrister Bookcase, Mahogany"/>
    <n v="184.00739999999999"/>
    <n v="5"/>
    <n v="-26.058599999999998"/>
    <x v="7"/>
    <x v="8"/>
  </r>
  <r>
    <x v="1121"/>
    <x v="481"/>
    <x v="373"/>
    <x v="0"/>
    <s v="JS-14371"/>
    <s v="Jamie Smith"/>
    <x v="1"/>
    <s v="United States"/>
    <x v="88"/>
    <x v="31"/>
    <x v="2"/>
    <s v="FUR-BO-108947"/>
    <x v="0"/>
    <x v="2"/>
    <s v="Concord Ladder Bookcase, Walnut"/>
    <n v="45.893799999999999"/>
    <n v="2"/>
    <n v="-5.6744000000000003"/>
    <x v="7"/>
    <x v="9"/>
  </r>
  <r>
    <x v="1122"/>
    <x v="795"/>
    <x v="793"/>
    <x v="1"/>
    <s v="DM-10319"/>
    <s v="Debra Morton"/>
    <x v="2"/>
    <s v="United States"/>
    <x v="127"/>
    <x v="46"/>
    <x v="3"/>
    <s v="FUR-FU-100317"/>
    <x v="0"/>
    <x v="0"/>
    <s v="Nomad Floor Lamp, Telescoping Adjustable"/>
    <n v="42.241799999999998"/>
    <n v="1"/>
    <n v="14.1424"/>
    <x v="7"/>
    <x v="5"/>
  </r>
  <r>
    <x v="1123"/>
    <x v="779"/>
    <x v="794"/>
    <x v="2"/>
    <s v="SG-21489"/>
    <s v="Samantha Gardner"/>
    <x v="0"/>
    <s v="United States"/>
    <x v="11"/>
    <x v="12"/>
    <x v="2"/>
    <s v="FUR-FU-106211"/>
    <x v="0"/>
    <x v="0"/>
    <s v="Aurora Brushed Chrome Wall Clock, 14in"/>
    <n v="126.6122"/>
    <n v="1"/>
    <n v="-12.967000000000001"/>
    <x v="3"/>
    <x v="11"/>
  </r>
  <r>
    <x v="1124"/>
    <x v="485"/>
    <x v="503"/>
    <x v="2"/>
    <s v="VR-14349"/>
    <s v="Vincent Reynolds"/>
    <x v="2"/>
    <s v="United States"/>
    <x v="93"/>
    <x v="9"/>
    <x v="0"/>
    <s v="FUR-FU-104558"/>
    <x v="0"/>
    <x v="0"/>
    <s v="Lambert Swing Arm Desk Lamp"/>
    <n v="15.5397"/>
    <n v="3"/>
    <n v="1.4744999999999999"/>
    <x v="5"/>
    <x v="9"/>
  </r>
  <r>
    <x v="1125"/>
    <x v="432"/>
    <x v="795"/>
    <x v="0"/>
    <s v="AJ-13566"/>
    <s v="Ariana Jennings"/>
    <x v="1"/>
    <s v="United States"/>
    <x v="49"/>
    <x v="36"/>
    <x v="0"/>
    <s v="FUR-TA-105355"/>
    <x v="0"/>
    <x v="3"/>
    <s v="Wexford Racetrack Conference Table"/>
    <n v="2078.3579"/>
    <n v="4"/>
    <n v="-165.25489999999999"/>
    <x v="3"/>
    <x v="7"/>
  </r>
  <r>
    <x v="1126"/>
    <x v="796"/>
    <x v="80"/>
    <x v="2"/>
    <s v="RA-10058"/>
    <s v="Ralph Anderson"/>
    <x v="2"/>
    <s v="United States"/>
    <x v="61"/>
    <x v="10"/>
    <x v="1"/>
    <s v="FUR-CH-105507"/>
    <x v="0"/>
    <x v="1"/>
    <s v="Kingsley Mesh-Back Task Chair"/>
    <n v="621.94550000000004"/>
    <n v="2"/>
    <n v="161.15790000000001"/>
    <x v="3"/>
    <x v="0"/>
  </r>
  <r>
    <x v="1127"/>
    <x v="797"/>
    <x v="796"/>
    <x v="2"/>
    <s v="KD-11964"/>
    <s v="Kerry Chavez DDS"/>
    <x v="0"/>
    <s v="United States"/>
    <x v="29"/>
    <x v="13"/>
    <x v="3"/>
    <s v="FUR-FU-104558"/>
    <x v="0"/>
    <x v="0"/>
    <s v="Lambert Swing Arm Desk Lamp"/>
    <n v="15.94"/>
    <n v="5"/>
    <n v="1.5407"/>
    <x v="6"/>
    <x v="8"/>
  </r>
  <r>
    <x v="1128"/>
    <x v="798"/>
    <x v="797"/>
    <x v="0"/>
    <s v="AL-19569"/>
    <s v="Alicia Li"/>
    <x v="1"/>
    <s v="United States"/>
    <x v="29"/>
    <x v="13"/>
    <x v="3"/>
    <s v="FUR-FU-108837"/>
    <x v="0"/>
    <x v="0"/>
    <s v="Ivanhoe Poster Frame, Aluminum"/>
    <n v="132.04179999999999"/>
    <n v="3"/>
    <n v="2.9056000000000002"/>
    <x v="1"/>
    <x v="11"/>
  </r>
  <r>
    <x v="1129"/>
    <x v="294"/>
    <x v="294"/>
    <x v="2"/>
    <s v="CR-17956"/>
    <s v="Carlos Ryan"/>
    <x v="1"/>
    <s v="United States"/>
    <x v="72"/>
    <x v="6"/>
    <x v="1"/>
    <s v="FUR-CH-106455"/>
    <x v="0"/>
    <x v="1"/>
    <s v="Nolan Leather Highback Chair, Pneumatic Adjustment"/>
    <n v="153.82929999999999"/>
    <n v="2"/>
    <n v="28.122199999999999"/>
    <x v="1"/>
    <x v="7"/>
  </r>
  <r>
    <x v="1130"/>
    <x v="799"/>
    <x v="66"/>
    <x v="2"/>
    <s v="JC-14333"/>
    <s v="Julian Conner"/>
    <x v="2"/>
    <s v="United States"/>
    <x v="7"/>
    <x v="7"/>
    <x v="2"/>
    <s v="FUR-BO-108947"/>
    <x v="0"/>
    <x v="2"/>
    <s v="Concord Ladder Bookcase, Walnut"/>
    <n v="84.822299999999998"/>
    <n v="1"/>
    <n v="27.098400000000002"/>
    <x v="2"/>
    <x v="0"/>
  </r>
  <r>
    <x v="1131"/>
    <x v="454"/>
    <x v="798"/>
    <x v="1"/>
    <s v="MR-19755"/>
    <s v="Molly Rodriguez"/>
    <x v="2"/>
    <s v="United States"/>
    <x v="120"/>
    <x v="42"/>
    <x v="1"/>
    <s v="FUR-CH-102704"/>
    <x v="0"/>
    <x v="1"/>
    <s v="Brookline High-Back Executive Chair, Black Leather"/>
    <n v="105.1503"/>
    <n v="4"/>
    <n v="1.4036"/>
    <x v="1"/>
    <x v="11"/>
  </r>
  <r>
    <x v="1131"/>
    <x v="454"/>
    <x v="798"/>
    <x v="1"/>
    <s v="MR-19755"/>
    <s v="Molly Rodriguez"/>
    <x v="2"/>
    <s v="United States"/>
    <x v="120"/>
    <x v="42"/>
    <x v="1"/>
    <s v="FUR-CH-105507"/>
    <x v="0"/>
    <x v="1"/>
    <s v="Kingsley Mesh-Back Task Chair"/>
    <n v="73.738900000000001"/>
    <n v="4"/>
    <n v="12.0565"/>
    <x v="1"/>
    <x v="11"/>
  </r>
  <r>
    <x v="1132"/>
    <x v="800"/>
    <x v="542"/>
    <x v="2"/>
    <s v="DF-10188"/>
    <s v="Devon Flores"/>
    <x v="2"/>
    <s v="United States"/>
    <x v="78"/>
    <x v="37"/>
    <x v="0"/>
    <s v="FUR-FU-101341"/>
    <x v="0"/>
    <x v="0"/>
    <s v="Griswold Chairmats for Medium Pile Carpet"/>
    <n v="13.0587"/>
    <n v="3"/>
    <n v="4.1753999999999998"/>
    <x v="3"/>
    <x v="1"/>
  </r>
  <r>
    <x v="1132"/>
    <x v="800"/>
    <x v="542"/>
    <x v="2"/>
    <s v="DF-10188"/>
    <s v="Devon Flores"/>
    <x v="2"/>
    <s v="United States"/>
    <x v="78"/>
    <x v="37"/>
    <x v="0"/>
    <s v="FUR-CH-106455"/>
    <x v="0"/>
    <x v="1"/>
    <s v="Nolan Leather Highback Chair, Pneumatic Adjustment"/>
    <n v="100.3282"/>
    <n v="6"/>
    <n v="-28.013999999999999"/>
    <x v="3"/>
    <x v="1"/>
  </r>
  <r>
    <x v="1133"/>
    <x v="801"/>
    <x v="91"/>
    <x v="2"/>
    <s v="HV-19038"/>
    <s v="Holly Valentine"/>
    <x v="2"/>
    <s v="United States"/>
    <x v="64"/>
    <x v="29"/>
    <x v="0"/>
    <s v="FUR-CH-106455"/>
    <x v="0"/>
    <x v="1"/>
    <s v="Nolan Leather Highback Chair, Pneumatic Adjustment"/>
    <n v="290.64449999999999"/>
    <n v="4"/>
    <n v="-29.381799999999998"/>
    <x v="0"/>
    <x v="8"/>
  </r>
  <r>
    <x v="1134"/>
    <x v="802"/>
    <x v="799"/>
    <x v="2"/>
    <s v="AW-19771"/>
    <s v="Amber Wright"/>
    <x v="2"/>
    <s v="United States"/>
    <x v="22"/>
    <x v="22"/>
    <x v="2"/>
    <s v="FUR-CH-102091"/>
    <x v="0"/>
    <x v="1"/>
    <s v="Vantage Swivel Task Chair, Blue"/>
    <n v="202.19309999999999"/>
    <n v="5"/>
    <n v="53.702800000000003"/>
    <x v="3"/>
    <x v="8"/>
  </r>
  <r>
    <x v="1135"/>
    <x v="570"/>
    <x v="741"/>
    <x v="2"/>
    <s v="AK-12417"/>
    <s v="Amy Kelley"/>
    <x v="2"/>
    <s v="United States"/>
    <x v="110"/>
    <x v="47"/>
    <x v="0"/>
    <s v="FUR-FU-107705"/>
    <x v="0"/>
    <x v="0"/>
    <s v="Hawthorne Desk Accessory Set, Oak"/>
    <n v="49.137799999999999"/>
    <n v="2"/>
    <n v="1.1369"/>
    <x v="4"/>
    <x v="4"/>
  </r>
  <r>
    <x v="1136"/>
    <x v="803"/>
    <x v="146"/>
    <x v="2"/>
    <s v="JC-11139"/>
    <s v="Jessica Callahan"/>
    <x v="2"/>
    <s v="United States"/>
    <x v="111"/>
    <x v="8"/>
    <x v="1"/>
    <s v="FUR-FU-107705"/>
    <x v="0"/>
    <x v="0"/>
    <s v="Hawthorne Desk Accessory Set, Oak"/>
    <n v="144.8185"/>
    <n v="3"/>
    <n v="13.146000000000001"/>
    <x v="4"/>
    <x v="1"/>
  </r>
  <r>
    <x v="1137"/>
    <x v="272"/>
    <x v="273"/>
    <x v="3"/>
    <s v="CM-18786"/>
    <s v="Carolyn Miller"/>
    <x v="1"/>
    <s v="United States"/>
    <x v="105"/>
    <x v="10"/>
    <x v="1"/>
    <s v="FUR-FU-104133"/>
    <x v="0"/>
    <x v="0"/>
    <s v="Preston Wood Photo Frame, Mahogany"/>
    <n v="3.6598000000000002"/>
    <n v="1"/>
    <n v="5.6800000000000003E-2"/>
    <x v="7"/>
    <x v="3"/>
  </r>
  <r>
    <x v="1138"/>
    <x v="418"/>
    <x v="406"/>
    <x v="2"/>
    <s v="KD-18834"/>
    <s v="Kristen Davis"/>
    <x v="2"/>
    <s v="United States"/>
    <x v="24"/>
    <x v="23"/>
    <x v="2"/>
    <s v="FUR-CH-108751"/>
    <x v="0"/>
    <x v="1"/>
    <s v="Prescott Ergonomic Chair with Lumbar Support"/>
    <n v="405.53739999999999"/>
    <n v="3"/>
    <n v="78.680199999999999"/>
    <x v="0"/>
    <x v="2"/>
  </r>
  <r>
    <x v="1139"/>
    <x v="15"/>
    <x v="552"/>
    <x v="2"/>
    <s v="EW-20168"/>
    <s v="Evelyn Williams"/>
    <x v="1"/>
    <s v="United States"/>
    <x v="3"/>
    <x v="3"/>
    <x v="1"/>
    <s v="FUR-CH-102704"/>
    <x v="0"/>
    <x v="1"/>
    <s v="Brookline High-Back Executive Chair, Black Leather"/>
    <n v="502.9196"/>
    <n v="2"/>
    <n v="-53.991700000000002"/>
    <x v="5"/>
    <x v="9"/>
  </r>
  <r>
    <x v="1140"/>
    <x v="804"/>
    <x v="724"/>
    <x v="1"/>
    <s v="JM-14371"/>
    <s v="Jonathan Glass MD"/>
    <x v="2"/>
    <s v="United States"/>
    <x v="38"/>
    <x v="32"/>
    <x v="3"/>
    <s v="FUR-FU-107705"/>
    <x v="0"/>
    <x v="0"/>
    <s v="Hawthorne Desk Accessory Set, Oak"/>
    <n v="18.1799"/>
    <n v="2"/>
    <n v="-3.5609000000000002"/>
    <x v="0"/>
    <x v="7"/>
  </r>
  <r>
    <x v="1141"/>
    <x v="683"/>
    <x v="686"/>
    <x v="3"/>
    <s v="EM-13185"/>
    <s v="Elizabeth Mendez"/>
    <x v="0"/>
    <s v="United States"/>
    <x v="0"/>
    <x v="0"/>
    <x v="0"/>
    <s v="FUR-CH-101375"/>
    <x v="0"/>
    <x v="1"/>
    <s v="Sutton Push-Button Manager's Chair, Indigo"/>
    <n v="117.1417"/>
    <n v="8"/>
    <n v="72.7209"/>
    <x v="7"/>
    <x v="10"/>
  </r>
  <r>
    <x v="1142"/>
    <x v="805"/>
    <x v="396"/>
    <x v="2"/>
    <s v="MV-21612"/>
    <s v="Morgan Valencia"/>
    <x v="1"/>
    <s v="United States"/>
    <x v="9"/>
    <x v="10"/>
    <x v="1"/>
    <s v="FUR-CH-102091"/>
    <x v="0"/>
    <x v="1"/>
    <s v="Vantage Swivel Task Chair, Blue"/>
    <n v="978.1771"/>
    <n v="3"/>
    <n v="-48.139499999999998"/>
    <x v="7"/>
    <x v="8"/>
  </r>
  <r>
    <x v="1143"/>
    <x v="806"/>
    <x v="800"/>
    <x v="2"/>
    <s v="TB-14499"/>
    <s v="Tammy Boone"/>
    <x v="1"/>
    <s v="United States"/>
    <x v="89"/>
    <x v="11"/>
    <x v="2"/>
    <s v="FUR-CH-102704"/>
    <x v="0"/>
    <x v="1"/>
    <s v="Brookline High-Back Executive Chair, Black Leather"/>
    <n v="850.6069"/>
    <n v="7"/>
    <n v="33.445099999999996"/>
    <x v="1"/>
    <x v="5"/>
  </r>
  <r>
    <x v="1144"/>
    <x v="807"/>
    <x v="801"/>
    <x v="2"/>
    <s v="CS-21968"/>
    <s v="Charles Shah"/>
    <x v="2"/>
    <s v="United States"/>
    <x v="50"/>
    <x v="21"/>
    <x v="1"/>
    <s v="FUR-FU-107705"/>
    <x v="0"/>
    <x v="0"/>
    <s v="Hawthorne Desk Accessory Set, Oak"/>
    <n v="20.148499999999999"/>
    <n v="1"/>
    <n v="1.2356"/>
    <x v="6"/>
    <x v="8"/>
  </r>
  <r>
    <x v="1145"/>
    <x v="808"/>
    <x v="720"/>
    <x v="2"/>
    <s v="MP-12045"/>
    <s v="Mark Perez"/>
    <x v="0"/>
    <s v="United States"/>
    <x v="5"/>
    <x v="5"/>
    <x v="2"/>
    <s v="FUR-FU-103673"/>
    <x v="0"/>
    <x v="0"/>
    <s v="Corcoran Document Holder, Wood"/>
    <n v="5.9409999999999998"/>
    <n v="3"/>
    <n v="1.5375000000000001"/>
    <x v="2"/>
    <x v="5"/>
  </r>
  <r>
    <x v="1146"/>
    <x v="498"/>
    <x v="802"/>
    <x v="2"/>
    <s v="AV-16126"/>
    <s v="Angela Vaughn"/>
    <x v="2"/>
    <s v="United States"/>
    <x v="16"/>
    <x v="17"/>
    <x v="3"/>
    <s v="FUR-BO-106371"/>
    <x v="0"/>
    <x v="2"/>
    <s v="Fairmont Ladder Shelf, Black Metal Frame"/>
    <n v="700.63850000000002"/>
    <n v="3"/>
    <n v="-152.6617"/>
    <x v="7"/>
    <x v="11"/>
  </r>
  <r>
    <x v="1146"/>
    <x v="498"/>
    <x v="802"/>
    <x v="2"/>
    <s v="AV-16126"/>
    <s v="Angela Vaughn"/>
    <x v="2"/>
    <s v="United States"/>
    <x v="16"/>
    <x v="17"/>
    <x v="3"/>
    <s v="FUR-FU-108837"/>
    <x v="0"/>
    <x v="0"/>
    <s v="Ivanhoe Poster Frame, Aluminum"/>
    <n v="34.510899999999999"/>
    <n v="2"/>
    <n v="-22.216200000000001"/>
    <x v="7"/>
    <x v="11"/>
  </r>
  <r>
    <x v="1147"/>
    <x v="525"/>
    <x v="796"/>
    <x v="2"/>
    <s v="CR-16916"/>
    <s v="Christopher Rubio"/>
    <x v="2"/>
    <s v="United States"/>
    <x v="60"/>
    <x v="40"/>
    <x v="0"/>
    <s v="FUR-CH-100441"/>
    <x v="0"/>
    <x v="1"/>
    <s v="Dalton Folding Chair, 4/Carton"/>
    <n v="123.21"/>
    <n v="4"/>
    <n v="-60.905900000000003"/>
    <x v="4"/>
    <x v="8"/>
  </r>
  <r>
    <x v="1147"/>
    <x v="525"/>
    <x v="796"/>
    <x v="2"/>
    <s v="CR-16916"/>
    <s v="Christopher Rubio"/>
    <x v="2"/>
    <s v="United States"/>
    <x v="60"/>
    <x v="40"/>
    <x v="0"/>
    <s v="FUR-CH-106624"/>
    <x v="0"/>
    <x v="1"/>
    <s v="Adler Fabric Manager's Chair, Slate Gray"/>
    <n v="397.22879999999998"/>
    <n v="3"/>
    <n v="88.887600000000006"/>
    <x v="4"/>
    <x v="8"/>
  </r>
  <r>
    <x v="1147"/>
    <x v="525"/>
    <x v="796"/>
    <x v="2"/>
    <s v="CR-16916"/>
    <s v="Christopher Rubio"/>
    <x v="2"/>
    <s v="United States"/>
    <x v="60"/>
    <x v="40"/>
    <x v="0"/>
    <s v="FUR-TA-103467"/>
    <x v="0"/>
    <x v="3"/>
    <s v="Kessler Round Bullnose High Table"/>
    <n v="428.50689999999997"/>
    <n v="1"/>
    <n v="104.0727"/>
    <x v="4"/>
    <x v="8"/>
  </r>
  <r>
    <x v="1148"/>
    <x v="809"/>
    <x v="645"/>
    <x v="1"/>
    <s v="CT-17777"/>
    <s v="Connie Turner"/>
    <x v="1"/>
    <s v="United States"/>
    <x v="126"/>
    <x v="47"/>
    <x v="0"/>
    <s v="FUR-FU-101341"/>
    <x v="0"/>
    <x v="0"/>
    <s v="Griswold Chairmats for Medium Pile Carpet"/>
    <n v="33.105899999999998"/>
    <n v="5"/>
    <n v="-9.3152000000000008"/>
    <x v="0"/>
    <x v="8"/>
  </r>
  <r>
    <x v="1149"/>
    <x v="218"/>
    <x v="669"/>
    <x v="2"/>
    <s v="RA-14803"/>
    <s v="Richard Aguirre"/>
    <x v="1"/>
    <s v="United States"/>
    <x v="103"/>
    <x v="46"/>
    <x v="3"/>
    <s v="FUR-CH-102704"/>
    <x v="0"/>
    <x v="1"/>
    <s v="Brookline High-Back Executive Chair, Black Leather"/>
    <n v="329.42450000000002"/>
    <n v="2"/>
    <n v="39.575800000000001"/>
    <x v="7"/>
    <x v="6"/>
  </r>
  <r>
    <x v="1150"/>
    <x v="348"/>
    <x v="211"/>
    <x v="0"/>
    <s v="VH-10958"/>
    <s v="Vanessa Howard"/>
    <x v="2"/>
    <s v="United States"/>
    <x v="33"/>
    <x v="23"/>
    <x v="2"/>
    <s v="FUR-FU-100317"/>
    <x v="0"/>
    <x v="0"/>
    <s v="Nomad Floor Lamp, Telescoping Adjustable"/>
    <n v="4.6239999999999997"/>
    <n v="7"/>
    <n v="1.3665"/>
    <x v="5"/>
    <x v="11"/>
  </r>
  <r>
    <x v="1151"/>
    <x v="569"/>
    <x v="803"/>
    <x v="2"/>
    <s v="FS-11674"/>
    <s v="Fred Smith"/>
    <x v="2"/>
    <s v="United States"/>
    <x v="62"/>
    <x v="25"/>
    <x v="3"/>
    <s v="FUR-BO-107999"/>
    <x v="0"/>
    <x v="2"/>
    <s v="Braxton Barrister Bookcase, Mahogany"/>
    <n v="571.83360000000005"/>
    <n v="5"/>
    <n v="-5.8266"/>
    <x v="7"/>
    <x v="7"/>
  </r>
  <r>
    <x v="1152"/>
    <x v="810"/>
    <x v="804"/>
    <x v="2"/>
    <s v="LH-20942"/>
    <s v="Lori Hernandez"/>
    <x v="2"/>
    <s v="United States"/>
    <x v="109"/>
    <x v="17"/>
    <x v="3"/>
    <s v="FUR-CH-107657"/>
    <x v="0"/>
    <x v="1"/>
    <s v="Hollis Stacking Chair, Rounded Back"/>
    <n v="245.11099999999999"/>
    <n v="5"/>
    <n v="-60.831699999999998"/>
    <x v="4"/>
    <x v="4"/>
  </r>
  <r>
    <x v="1153"/>
    <x v="802"/>
    <x v="216"/>
    <x v="0"/>
    <s v="AH-10931"/>
    <s v="Anthony Harmon"/>
    <x v="2"/>
    <s v="United States"/>
    <x v="111"/>
    <x v="8"/>
    <x v="1"/>
    <s v="FUR-FU-103673"/>
    <x v="0"/>
    <x v="0"/>
    <s v="Corcoran Document Holder, Wood"/>
    <n v="46.448300000000003"/>
    <n v="2"/>
    <n v="-4.3358999999999996"/>
    <x v="5"/>
    <x v="8"/>
  </r>
  <r>
    <x v="1154"/>
    <x v="811"/>
    <x v="393"/>
    <x v="0"/>
    <s v="BL-12705"/>
    <s v="Brian Lee"/>
    <x v="2"/>
    <s v="United States"/>
    <x v="100"/>
    <x v="45"/>
    <x v="3"/>
    <s v="FUR-FU-101124"/>
    <x v="0"/>
    <x v="0"/>
    <s v="Rutledge Desk Organizer Tray, Letter Size"/>
    <n v="60.523400000000002"/>
    <n v="5"/>
    <n v="4.0174000000000003"/>
    <x v="0"/>
    <x v="11"/>
  </r>
  <r>
    <x v="1155"/>
    <x v="812"/>
    <x v="805"/>
    <x v="0"/>
    <s v="DL-13262"/>
    <s v="David Lopez"/>
    <x v="0"/>
    <s v="United States"/>
    <x v="128"/>
    <x v="21"/>
    <x v="1"/>
    <s v="FUR-FU-101341"/>
    <x v="0"/>
    <x v="0"/>
    <s v="Griswold Chairmats for Medium Pile Carpet"/>
    <n v="109.41889999999999"/>
    <n v="2"/>
    <n v="19.1721"/>
    <x v="0"/>
    <x v="10"/>
  </r>
  <r>
    <x v="1156"/>
    <x v="532"/>
    <x v="37"/>
    <x v="2"/>
    <s v="AH-17454"/>
    <s v="Ashley Hall"/>
    <x v="2"/>
    <s v="United States"/>
    <x v="57"/>
    <x v="0"/>
    <x v="0"/>
    <s v="FUR-TA-106211"/>
    <x v="0"/>
    <x v="3"/>
    <s v="Grantham Half-Moon Meeting Table"/>
    <n v="705.11"/>
    <n v="4"/>
    <n v="86.586399999999998"/>
    <x v="2"/>
    <x v="1"/>
  </r>
  <r>
    <x v="1157"/>
    <x v="584"/>
    <x v="806"/>
    <x v="2"/>
    <s v="ZM-15378"/>
    <s v="Zachary Mitchell"/>
    <x v="2"/>
    <s v="United States"/>
    <x v="96"/>
    <x v="15"/>
    <x v="1"/>
    <s v="FUR-FU-105733"/>
    <x v="0"/>
    <x v="0"/>
    <s v="Sable Halogen Replacement Bulb, 2-Pack"/>
    <n v="4.3266"/>
    <n v="2"/>
    <n v="-0.3997"/>
    <x v="0"/>
    <x v="8"/>
  </r>
  <r>
    <x v="1157"/>
    <x v="584"/>
    <x v="806"/>
    <x v="2"/>
    <s v="ZM-15378"/>
    <s v="Zachary Mitchell"/>
    <x v="2"/>
    <s v="United States"/>
    <x v="96"/>
    <x v="15"/>
    <x v="1"/>
    <s v="FUR-BO-106865"/>
    <x v="0"/>
    <x v="2"/>
    <s v="Hartwell Oak 5-Shelf Bookcase"/>
    <n v="134.94990000000001"/>
    <n v="2"/>
    <n v="-20.597200000000001"/>
    <x v="0"/>
    <x v="8"/>
  </r>
  <r>
    <x v="1158"/>
    <x v="226"/>
    <x v="345"/>
    <x v="2"/>
    <s v="DM-16570"/>
    <s v="Dr. Paul Morgan"/>
    <x v="2"/>
    <s v="United States"/>
    <x v="129"/>
    <x v="2"/>
    <x v="0"/>
    <s v="FUR-FU-107705"/>
    <x v="0"/>
    <x v="0"/>
    <s v="Hawthorne Desk Accessory Set, Oak"/>
    <n v="94.761399999999995"/>
    <n v="3"/>
    <n v="-4.8710000000000004"/>
    <x v="5"/>
    <x v="3"/>
  </r>
  <r>
    <x v="1158"/>
    <x v="226"/>
    <x v="345"/>
    <x v="2"/>
    <s v="DM-16570"/>
    <s v="Dr. Paul Morgan"/>
    <x v="2"/>
    <s v="United States"/>
    <x v="129"/>
    <x v="2"/>
    <x v="0"/>
    <s v="FUR-BO-103595"/>
    <x v="0"/>
    <x v="2"/>
    <s v="Pinehurst 6-Shelf Industrial Bookcase"/>
    <n v="1131.077"/>
    <n v="4"/>
    <n v="133.0779"/>
    <x v="5"/>
    <x v="3"/>
  </r>
  <r>
    <x v="1158"/>
    <x v="226"/>
    <x v="345"/>
    <x v="2"/>
    <s v="DM-16570"/>
    <s v="Dr. Paul Morgan"/>
    <x v="2"/>
    <s v="United States"/>
    <x v="129"/>
    <x v="2"/>
    <x v="0"/>
    <s v="FUR-FU-101341"/>
    <x v="0"/>
    <x v="0"/>
    <s v="Griswold Chairmats for Medium Pile Carpet"/>
    <n v="219.06450000000001"/>
    <n v="2"/>
    <n v="30.557600000000001"/>
    <x v="5"/>
    <x v="3"/>
  </r>
  <r>
    <x v="1159"/>
    <x v="419"/>
    <x v="334"/>
    <x v="1"/>
    <s v="DS-13502"/>
    <s v="Dawn Summers"/>
    <x v="2"/>
    <s v="United States"/>
    <x v="53"/>
    <x v="22"/>
    <x v="2"/>
    <s v="FUR-FU-108837"/>
    <x v="0"/>
    <x v="0"/>
    <s v="Ivanhoe Poster Frame, Aluminum"/>
    <n v="16.2516"/>
    <n v="3"/>
    <n v="5.4638"/>
    <x v="1"/>
    <x v="1"/>
  </r>
  <r>
    <x v="1159"/>
    <x v="419"/>
    <x v="334"/>
    <x v="1"/>
    <s v="DS-13502"/>
    <s v="Dawn Summers"/>
    <x v="2"/>
    <s v="United States"/>
    <x v="53"/>
    <x v="22"/>
    <x v="2"/>
    <s v="FUR-CH-106624"/>
    <x v="0"/>
    <x v="1"/>
    <s v="Adler Fabric Manager's Chair, Slate Gray"/>
    <n v="92.417500000000004"/>
    <n v="1"/>
    <n v="60.775500000000001"/>
    <x v="1"/>
    <x v="1"/>
  </r>
  <r>
    <x v="1159"/>
    <x v="419"/>
    <x v="334"/>
    <x v="1"/>
    <s v="DS-13502"/>
    <s v="Dawn Summers"/>
    <x v="2"/>
    <s v="United States"/>
    <x v="53"/>
    <x v="22"/>
    <x v="2"/>
    <s v="FUR-BO-109883"/>
    <x v="0"/>
    <x v="2"/>
    <s v="Ashford Mobile 4-Shelf Bookcase"/>
    <n v="218.25120000000001"/>
    <n v="1"/>
    <n v="72.109899999999996"/>
    <x v="1"/>
    <x v="1"/>
  </r>
  <r>
    <x v="1160"/>
    <x v="813"/>
    <x v="257"/>
    <x v="2"/>
    <s v="WM-20706"/>
    <s v="Wayne Morgan"/>
    <x v="2"/>
    <s v="United States"/>
    <x v="42"/>
    <x v="11"/>
    <x v="2"/>
    <s v="FUR-BO-104471"/>
    <x v="0"/>
    <x v="2"/>
    <s v="Camden Modular Bookcase, Custom Colors"/>
    <n v="589.00109999999995"/>
    <n v="7"/>
    <n v="-240.3639"/>
    <x v="2"/>
    <x v="3"/>
  </r>
  <r>
    <x v="1161"/>
    <x v="747"/>
    <x v="155"/>
    <x v="0"/>
    <s v="MM-15617"/>
    <s v="Michael Mitchell"/>
    <x v="2"/>
    <s v="United States"/>
    <x v="12"/>
    <x v="13"/>
    <x v="3"/>
    <s v="FUR-FU-104133"/>
    <x v="0"/>
    <x v="0"/>
    <s v="Preston Wood Photo Frame, Mahogany"/>
    <n v="43.070999999999998"/>
    <n v="4"/>
    <n v="19.745200000000001"/>
    <x v="1"/>
    <x v="9"/>
  </r>
  <r>
    <x v="1162"/>
    <x v="314"/>
    <x v="310"/>
    <x v="1"/>
    <s v="RJ-16797"/>
    <s v="Robert Jackson"/>
    <x v="2"/>
    <s v="United States"/>
    <x v="93"/>
    <x v="9"/>
    <x v="0"/>
    <s v="FUR-FU-100317"/>
    <x v="0"/>
    <x v="0"/>
    <s v="Nomad Floor Lamp, Telescoping Adjustable"/>
    <n v="50.080800000000004"/>
    <n v="5"/>
    <n v="7.8456999999999999"/>
    <x v="1"/>
    <x v="3"/>
  </r>
  <r>
    <x v="1163"/>
    <x v="814"/>
    <x v="153"/>
    <x v="2"/>
    <s v="DD-19641"/>
    <s v="David Davis"/>
    <x v="1"/>
    <s v="United States"/>
    <x v="27"/>
    <x v="26"/>
    <x v="3"/>
    <s v="FUR-TA-107564"/>
    <x v="0"/>
    <x v="3"/>
    <s v="Bellwood Slim Training Table, Light Gray"/>
    <n v="203.58070000000001"/>
    <n v="3"/>
    <n v="10.055899999999999"/>
    <x v="4"/>
    <x v="5"/>
  </r>
  <r>
    <x v="1164"/>
    <x v="164"/>
    <x v="499"/>
    <x v="2"/>
    <s v="MW-19083"/>
    <s v="Molly Watts"/>
    <x v="1"/>
    <s v="United States"/>
    <x v="40"/>
    <x v="15"/>
    <x v="1"/>
    <s v="FUR-FU-101341"/>
    <x v="0"/>
    <x v="0"/>
    <s v="Griswold Chairmats for Medium Pile Carpet"/>
    <n v="39.451500000000003"/>
    <n v="9"/>
    <n v="8.3306000000000004"/>
    <x v="2"/>
    <x v="5"/>
  </r>
  <r>
    <x v="1165"/>
    <x v="65"/>
    <x v="593"/>
    <x v="0"/>
    <s v="PG-17633"/>
    <s v="Pamela Gutierrez"/>
    <x v="1"/>
    <s v="United States"/>
    <x v="111"/>
    <x v="8"/>
    <x v="1"/>
    <s v="FUR-CH-106455"/>
    <x v="0"/>
    <x v="1"/>
    <s v="Nolan Leather Highback Chair, Pneumatic Adjustment"/>
    <n v="467.20420000000001"/>
    <n v="2"/>
    <n v="-115.73569999999999"/>
    <x v="0"/>
    <x v="11"/>
  </r>
  <r>
    <x v="1166"/>
    <x v="815"/>
    <x v="621"/>
    <x v="2"/>
    <s v="AH-16224"/>
    <s v="Anthony Humphrey"/>
    <x v="2"/>
    <s v="United States"/>
    <x v="112"/>
    <x v="1"/>
    <x v="0"/>
    <s v="FUR-FU-104133"/>
    <x v="0"/>
    <x v="0"/>
    <s v="Preston Wood Photo Frame, Mahogany"/>
    <n v="51.620600000000003"/>
    <n v="2"/>
    <n v="-10.056800000000001"/>
    <x v="1"/>
    <x v="3"/>
  </r>
  <r>
    <x v="1166"/>
    <x v="815"/>
    <x v="621"/>
    <x v="2"/>
    <s v="AH-16224"/>
    <s v="Anthony Humphrey"/>
    <x v="2"/>
    <s v="United States"/>
    <x v="112"/>
    <x v="1"/>
    <x v="0"/>
    <s v="FUR-FU-100317"/>
    <x v="0"/>
    <x v="0"/>
    <s v="Nomad Floor Lamp, Telescoping Adjustable"/>
    <n v="24.925799999999999"/>
    <n v="4"/>
    <n v="5.7606000000000002"/>
    <x v="1"/>
    <x v="3"/>
  </r>
  <r>
    <x v="1167"/>
    <x v="816"/>
    <x v="609"/>
    <x v="2"/>
    <s v="GL-13483"/>
    <s v="Garrett Lin"/>
    <x v="0"/>
    <s v="United States"/>
    <x v="48"/>
    <x v="35"/>
    <x v="3"/>
    <s v="FUR-FU-106906"/>
    <x v="0"/>
    <x v="0"/>
    <s v="Cobalt LED Magnifier Lamp with Clamp Base"/>
    <n v="12.7654"/>
    <n v="5"/>
    <n v="9.6104000000000003"/>
    <x v="3"/>
    <x v="9"/>
  </r>
  <r>
    <x v="1167"/>
    <x v="816"/>
    <x v="609"/>
    <x v="2"/>
    <s v="GL-13483"/>
    <s v="Garrett Lin"/>
    <x v="0"/>
    <s v="United States"/>
    <x v="48"/>
    <x v="35"/>
    <x v="3"/>
    <s v="FUR-FU-103673"/>
    <x v="0"/>
    <x v="0"/>
    <s v="Corcoran Document Holder, Wood"/>
    <n v="189.06399999999999"/>
    <n v="2"/>
    <n v="150.977"/>
    <x v="3"/>
    <x v="9"/>
  </r>
  <r>
    <x v="1168"/>
    <x v="817"/>
    <x v="732"/>
    <x v="2"/>
    <s v="JB-20813"/>
    <s v="Jennifer Banks"/>
    <x v="2"/>
    <s v="United States"/>
    <x v="0"/>
    <x v="6"/>
    <x v="1"/>
    <s v="FUR-CH-100441"/>
    <x v="0"/>
    <x v="1"/>
    <s v="Dalton Folding Chair, 4/Carton"/>
    <n v="303.30560000000003"/>
    <n v="1"/>
    <n v="102.2088"/>
    <x v="2"/>
    <x v="2"/>
  </r>
  <r>
    <x v="1169"/>
    <x v="318"/>
    <x v="89"/>
    <x v="0"/>
    <s v="SS-11049"/>
    <s v="Susan Serrano"/>
    <x v="1"/>
    <s v="United States"/>
    <x v="81"/>
    <x v="43"/>
    <x v="2"/>
    <s v="FUR-TA-102223"/>
    <x v="0"/>
    <x v="3"/>
    <s v="Marchetti Round Conference Table, X-Base"/>
    <n v="257.18889999999999"/>
    <n v="4"/>
    <n v="79.347499999999997"/>
    <x v="3"/>
    <x v="4"/>
  </r>
  <r>
    <x v="1170"/>
    <x v="818"/>
    <x v="807"/>
    <x v="0"/>
    <s v="FC-15413"/>
    <s v="Frank Cordova"/>
    <x v="1"/>
    <s v="United States"/>
    <x v="61"/>
    <x v="10"/>
    <x v="1"/>
    <s v="FUR-BO-108818"/>
    <x v="0"/>
    <x v="2"/>
    <s v="Meridian Glass-Door Bookcase, Espresso Finish"/>
    <n v="426.75959999999998"/>
    <n v="1"/>
    <n v="80.998999999999995"/>
    <x v="0"/>
    <x v="4"/>
  </r>
  <r>
    <x v="1171"/>
    <x v="111"/>
    <x v="112"/>
    <x v="2"/>
    <s v="JH-16381"/>
    <s v="Joseph Hill"/>
    <x v="2"/>
    <s v="United States"/>
    <x v="128"/>
    <x v="21"/>
    <x v="1"/>
    <s v="FUR-BO-107956"/>
    <x v="0"/>
    <x v="2"/>
    <s v="Sterling Wide Bookcase, Charcoal Gray"/>
    <n v="253.10849999999999"/>
    <n v="5"/>
    <n v="-21.2803"/>
    <x v="4"/>
    <x v="1"/>
  </r>
  <r>
    <x v="1172"/>
    <x v="740"/>
    <x v="808"/>
    <x v="0"/>
    <s v="GJ-12584"/>
    <s v="Gary Jackson"/>
    <x v="2"/>
    <s v="United States"/>
    <x v="8"/>
    <x v="8"/>
    <x v="1"/>
    <s v="FUR-TA-107022"/>
    <x v="0"/>
    <x v="3"/>
    <s v="Alden Rectangular Conference Table"/>
    <n v="871.2962"/>
    <n v="3"/>
    <n v="-485.05399999999997"/>
    <x v="3"/>
    <x v="10"/>
  </r>
  <r>
    <x v="1173"/>
    <x v="400"/>
    <x v="590"/>
    <x v="2"/>
    <s v="RD-11343"/>
    <s v="Ronald Davis"/>
    <x v="2"/>
    <s v="United States"/>
    <x v="19"/>
    <x v="20"/>
    <x v="2"/>
    <s v="FUR-FU-106211"/>
    <x v="0"/>
    <x v="0"/>
    <s v="Aurora Brushed Chrome Wall Clock, 14in"/>
    <n v="107.9192"/>
    <n v="8"/>
    <n v="18.3843"/>
    <x v="4"/>
    <x v="11"/>
  </r>
  <r>
    <x v="1173"/>
    <x v="400"/>
    <x v="590"/>
    <x v="2"/>
    <s v="RD-11343"/>
    <s v="Ronald Davis"/>
    <x v="2"/>
    <s v="United States"/>
    <x v="19"/>
    <x v="20"/>
    <x v="2"/>
    <s v="FUR-CH-106455"/>
    <x v="0"/>
    <x v="1"/>
    <s v="Nolan Leather Highback Chair, Pneumatic Adjustment"/>
    <n v="151.47300000000001"/>
    <n v="3"/>
    <n v="51.944200000000002"/>
    <x v="4"/>
    <x v="11"/>
  </r>
  <r>
    <x v="1174"/>
    <x v="681"/>
    <x v="196"/>
    <x v="1"/>
    <s v="DD-19355"/>
    <s v="Denise Davenport"/>
    <x v="1"/>
    <s v="United States"/>
    <x v="26"/>
    <x v="25"/>
    <x v="3"/>
    <s v="FUR-TA-105529"/>
    <x v="0"/>
    <x v="3"/>
    <s v="Fenwick Compact Office Desk"/>
    <n v="411.17720000000003"/>
    <n v="3"/>
    <n v="-47.224600000000002"/>
    <x v="1"/>
    <x v="9"/>
  </r>
  <r>
    <x v="1174"/>
    <x v="681"/>
    <x v="196"/>
    <x v="1"/>
    <s v="DD-19355"/>
    <s v="Denise Davenport"/>
    <x v="1"/>
    <s v="United States"/>
    <x v="26"/>
    <x v="25"/>
    <x v="3"/>
    <s v="FUR-CH-109246"/>
    <x v="0"/>
    <x v="1"/>
    <s v="Beckett Steno Chair, Gray"/>
    <n v="429.27879999999999"/>
    <n v="9"/>
    <n v="-18.018699999999999"/>
    <x v="1"/>
    <x v="9"/>
  </r>
  <r>
    <x v="1175"/>
    <x v="819"/>
    <x v="809"/>
    <x v="2"/>
    <s v="VH-10958"/>
    <s v="Vanessa Howard"/>
    <x v="2"/>
    <s v="United States"/>
    <x v="22"/>
    <x v="22"/>
    <x v="2"/>
    <s v="FUR-FU-106211"/>
    <x v="0"/>
    <x v="0"/>
    <s v="Aurora Brushed Chrome Wall Clock, 14in"/>
    <n v="346.3338"/>
    <n v="3"/>
    <n v="203.82380000000001"/>
    <x v="1"/>
    <x v="0"/>
  </r>
  <r>
    <x v="1176"/>
    <x v="820"/>
    <x v="810"/>
    <x v="1"/>
    <s v="JH-13814"/>
    <s v="Jordan Henderson"/>
    <x v="2"/>
    <s v="United States"/>
    <x v="31"/>
    <x v="28"/>
    <x v="2"/>
    <s v="FUR-BO-107956"/>
    <x v="0"/>
    <x v="2"/>
    <s v="Sterling Wide Bookcase, Charcoal Gray"/>
    <n v="926.43349999999998"/>
    <n v="4"/>
    <n v="-167.1498"/>
    <x v="1"/>
    <x v="4"/>
  </r>
  <r>
    <x v="1177"/>
    <x v="564"/>
    <x v="192"/>
    <x v="2"/>
    <s v="LA-18317"/>
    <s v="Lawrence Adkins"/>
    <x v="0"/>
    <s v="United States"/>
    <x v="52"/>
    <x v="38"/>
    <x v="1"/>
    <s v="FUR-FU-104558"/>
    <x v="0"/>
    <x v="0"/>
    <s v="Lambert Swing Arm Desk Lamp"/>
    <n v="61.590899999999998"/>
    <n v="4"/>
    <n v="3.2690000000000001"/>
    <x v="4"/>
    <x v="0"/>
  </r>
  <r>
    <x v="1178"/>
    <x v="821"/>
    <x v="811"/>
    <x v="0"/>
    <s v="JB-13728"/>
    <s v="James Bradley"/>
    <x v="2"/>
    <s v="United States"/>
    <x v="36"/>
    <x v="31"/>
    <x v="2"/>
    <s v="FUR-CH-100444"/>
    <x v="0"/>
    <x v="1"/>
    <s v="Harborview Mesh Task Chair, Adjustable Arms"/>
    <n v="106.45529999999999"/>
    <n v="6"/>
    <n v="25.3476"/>
    <x v="7"/>
    <x v="5"/>
  </r>
  <r>
    <x v="1179"/>
    <x v="108"/>
    <x v="812"/>
    <x v="2"/>
    <s v="ML-19638"/>
    <s v="Michael Lyons"/>
    <x v="1"/>
    <s v="United States"/>
    <x v="119"/>
    <x v="41"/>
    <x v="3"/>
    <s v="FUR-CH-101375"/>
    <x v="0"/>
    <x v="1"/>
    <s v="Sutton Push-Button Manager's Chair, Indigo"/>
    <n v="723.64589999999998"/>
    <n v="2"/>
    <n v="-318.43360000000001"/>
    <x v="7"/>
    <x v="6"/>
  </r>
  <r>
    <x v="1180"/>
    <x v="59"/>
    <x v="155"/>
    <x v="2"/>
    <s v="BW-17144"/>
    <s v="Bianca Wood"/>
    <x v="0"/>
    <s v="United States"/>
    <x v="14"/>
    <x v="15"/>
    <x v="1"/>
    <s v="FUR-TA-105529"/>
    <x v="0"/>
    <x v="3"/>
    <s v="Fenwick Compact Office Desk"/>
    <n v="342.28859999999997"/>
    <n v="7"/>
    <n v="36.107199999999999"/>
    <x v="6"/>
    <x v="8"/>
  </r>
  <r>
    <x v="1181"/>
    <x v="477"/>
    <x v="446"/>
    <x v="2"/>
    <s v="TH-20834"/>
    <s v="Tracy House"/>
    <x v="2"/>
    <s v="United States"/>
    <x v="50"/>
    <x v="21"/>
    <x v="1"/>
    <s v="FUR-FU-104558"/>
    <x v="0"/>
    <x v="0"/>
    <s v="Lambert Swing Arm Desk Lamp"/>
    <n v="257.61439999999999"/>
    <n v="5"/>
    <n v="-93.39"/>
    <x v="5"/>
    <x v="8"/>
  </r>
  <r>
    <x v="1181"/>
    <x v="477"/>
    <x v="446"/>
    <x v="2"/>
    <s v="TH-20834"/>
    <s v="Tracy House"/>
    <x v="2"/>
    <s v="United States"/>
    <x v="50"/>
    <x v="21"/>
    <x v="1"/>
    <s v="FUR-BO-108818"/>
    <x v="0"/>
    <x v="2"/>
    <s v="Meridian Glass-Door Bookcase, Espresso Finish"/>
    <n v="233.67089999999999"/>
    <n v="3"/>
    <n v="-128.11189999999999"/>
    <x v="5"/>
    <x v="8"/>
  </r>
  <r>
    <x v="1182"/>
    <x v="333"/>
    <x v="612"/>
    <x v="2"/>
    <s v="SW-13788"/>
    <s v="Suzanne Wood"/>
    <x v="2"/>
    <s v="United States"/>
    <x v="0"/>
    <x v="6"/>
    <x v="1"/>
    <s v="FUR-CH-105507"/>
    <x v="0"/>
    <x v="1"/>
    <s v="Kingsley Mesh-Back Task Chair"/>
    <n v="1198.6914999999999"/>
    <n v="2"/>
    <n v="177.80189999999999"/>
    <x v="1"/>
    <x v="1"/>
  </r>
  <r>
    <x v="1183"/>
    <x v="822"/>
    <x v="813"/>
    <x v="2"/>
    <s v="DW-18669"/>
    <s v="David Wright"/>
    <x v="2"/>
    <s v="United States"/>
    <x v="24"/>
    <x v="23"/>
    <x v="2"/>
    <s v="FUR-FU-105733"/>
    <x v="0"/>
    <x v="0"/>
    <s v="Sable Halogen Replacement Bulb, 2-Pack"/>
    <n v="51.418199999999999"/>
    <n v="2"/>
    <n v="17.463899999999999"/>
    <x v="7"/>
    <x v="6"/>
  </r>
  <r>
    <x v="1184"/>
    <x v="50"/>
    <x v="331"/>
    <x v="1"/>
    <s v="DM-16570"/>
    <s v="Dr. Paul Morgan"/>
    <x v="0"/>
    <s v="United States"/>
    <x v="35"/>
    <x v="30"/>
    <x v="0"/>
    <s v="FUR-TA-105363"/>
    <x v="0"/>
    <x v="3"/>
    <s v="Ashcombe Rectangular Table Top"/>
    <n v="318.35649999999998"/>
    <n v="1"/>
    <n v="-106.1048"/>
    <x v="7"/>
    <x v="2"/>
  </r>
  <r>
    <x v="1185"/>
    <x v="823"/>
    <x v="814"/>
    <x v="1"/>
    <s v="ME-14889"/>
    <s v="Michael Elliott"/>
    <x v="2"/>
    <s v="United States"/>
    <x v="13"/>
    <x v="14"/>
    <x v="3"/>
    <s v="FUR-BO-107140"/>
    <x v="0"/>
    <x v="2"/>
    <s v="Delacroix Lawyers Bookcase, Cherry Finish"/>
    <n v="634.84739999999999"/>
    <n v="3"/>
    <n v="132.3931"/>
    <x v="7"/>
    <x v="1"/>
  </r>
  <r>
    <x v="1185"/>
    <x v="823"/>
    <x v="814"/>
    <x v="1"/>
    <s v="ME-14889"/>
    <s v="Michael Elliott"/>
    <x v="2"/>
    <s v="United States"/>
    <x v="13"/>
    <x v="14"/>
    <x v="3"/>
    <s v="FUR-FU-104558"/>
    <x v="0"/>
    <x v="0"/>
    <s v="Lambert Swing Arm Desk Lamp"/>
    <n v="820.59140000000002"/>
    <n v="3"/>
    <n v="432.6259"/>
    <x v="7"/>
    <x v="1"/>
  </r>
  <r>
    <x v="1186"/>
    <x v="824"/>
    <x v="815"/>
    <x v="1"/>
    <s v="TK-20960"/>
    <s v="Tanya Kim"/>
    <x v="1"/>
    <s v="United States"/>
    <x v="88"/>
    <x v="31"/>
    <x v="2"/>
    <s v="FUR-FU-106211"/>
    <x v="0"/>
    <x v="0"/>
    <s v="Aurora Brushed Chrome Wall Clock, 14in"/>
    <n v="2"/>
    <n v="4"/>
    <n v="4.0000000000000001E-3"/>
    <x v="0"/>
    <x v="1"/>
  </r>
  <r>
    <x v="1187"/>
    <x v="779"/>
    <x v="133"/>
    <x v="0"/>
    <s v="ZH-13611"/>
    <s v="Zachary Hicks"/>
    <x v="2"/>
    <s v="United States"/>
    <x v="8"/>
    <x v="8"/>
    <x v="1"/>
    <s v="FUR-CH-109246"/>
    <x v="0"/>
    <x v="1"/>
    <s v="Beckett Steno Chair, Gray"/>
    <n v="503.00659999999999"/>
    <n v="2"/>
    <n v="20.514700000000001"/>
    <x v="0"/>
    <x v="11"/>
  </r>
  <r>
    <x v="1188"/>
    <x v="546"/>
    <x v="816"/>
    <x v="2"/>
    <s v="EB-20447"/>
    <s v="Emma Butler"/>
    <x v="0"/>
    <s v="United States"/>
    <x v="93"/>
    <x v="9"/>
    <x v="0"/>
    <s v="FUR-BO-108818"/>
    <x v="0"/>
    <x v="2"/>
    <s v="Meridian Glass-Door Bookcase, Espresso Finish"/>
    <n v="513.42439999999999"/>
    <n v="3"/>
    <n v="-199.54750000000001"/>
    <x v="0"/>
    <x v="4"/>
  </r>
  <r>
    <x v="1189"/>
    <x v="53"/>
    <x v="817"/>
    <x v="2"/>
    <s v="SM-17668"/>
    <s v="Stephanie Manning"/>
    <x v="1"/>
    <s v="United States"/>
    <x v="38"/>
    <x v="32"/>
    <x v="3"/>
    <s v="FUR-FU-107705"/>
    <x v="0"/>
    <x v="0"/>
    <s v="Hawthorne Desk Accessory Set, Oak"/>
    <n v="27.956299999999999"/>
    <n v="1"/>
    <n v="2.1996000000000002"/>
    <x v="6"/>
    <x v="5"/>
  </r>
  <r>
    <x v="1190"/>
    <x v="825"/>
    <x v="546"/>
    <x v="2"/>
    <s v="JC-16396"/>
    <s v="Jordan Chambers"/>
    <x v="0"/>
    <s v="United States"/>
    <x v="82"/>
    <x v="19"/>
    <x v="2"/>
    <s v="FUR-BO-104471"/>
    <x v="0"/>
    <x v="2"/>
    <s v="Camden Modular Bookcase, Custom Colors"/>
    <n v="1257.5075999999999"/>
    <n v="2"/>
    <n v="-342.5172"/>
    <x v="1"/>
    <x v="10"/>
  </r>
  <r>
    <x v="1191"/>
    <x v="739"/>
    <x v="224"/>
    <x v="2"/>
    <s v="KM-21851"/>
    <s v="Kathleen Moran"/>
    <x v="1"/>
    <s v="United States"/>
    <x v="106"/>
    <x v="34"/>
    <x v="1"/>
    <s v="FUR-CH-107657"/>
    <x v="0"/>
    <x v="1"/>
    <s v="Hollis Stacking Chair, Rounded Back"/>
    <n v="491.10489999999999"/>
    <n v="2"/>
    <n v="77.623000000000005"/>
    <x v="4"/>
    <x v="2"/>
  </r>
  <r>
    <x v="1191"/>
    <x v="739"/>
    <x v="224"/>
    <x v="2"/>
    <s v="KM-21851"/>
    <s v="Kathleen Moran"/>
    <x v="1"/>
    <s v="United States"/>
    <x v="106"/>
    <x v="34"/>
    <x v="1"/>
    <s v="FUR-FU-107705"/>
    <x v="0"/>
    <x v="0"/>
    <s v="Hawthorne Desk Accessory Set, Oak"/>
    <n v="60.820099999999996"/>
    <n v="2"/>
    <n v="1.7656000000000001"/>
    <x v="4"/>
    <x v="2"/>
  </r>
  <r>
    <x v="1192"/>
    <x v="826"/>
    <x v="505"/>
    <x v="2"/>
    <s v="NA-18320"/>
    <s v="Nichole Alvarez"/>
    <x v="1"/>
    <s v="United States"/>
    <x v="31"/>
    <x v="28"/>
    <x v="2"/>
    <s v="FUR-FU-106906"/>
    <x v="0"/>
    <x v="0"/>
    <s v="Cobalt LED Magnifier Lamp with Clamp Base"/>
    <n v="46.410899999999998"/>
    <n v="4"/>
    <n v="-1.6358999999999999"/>
    <x v="5"/>
    <x v="10"/>
  </r>
  <r>
    <x v="1193"/>
    <x v="445"/>
    <x v="445"/>
    <x v="2"/>
    <s v="JB-13923"/>
    <s v="John Bishop"/>
    <x v="1"/>
    <s v="United States"/>
    <x v="72"/>
    <x v="6"/>
    <x v="1"/>
    <s v="FUR-CH-101375"/>
    <x v="0"/>
    <x v="1"/>
    <s v="Sutton Push-Button Manager's Chair, Indigo"/>
    <n v="347.24880000000002"/>
    <n v="1"/>
    <n v="79.584500000000006"/>
    <x v="6"/>
    <x v="4"/>
  </r>
  <r>
    <x v="1194"/>
    <x v="827"/>
    <x v="359"/>
    <x v="2"/>
    <s v="CS-14342"/>
    <s v="Christopher Smith"/>
    <x v="1"/>
    <s v="United States"/>
    <x v="116"/>
    <x v="38"/>
    <x v="1"/>
    <s v="FUR-CH-109246"/>
    <x v="0"/>
    <x v="1"/>
    <s v="Beckett Steno Chair, Gray"/>
    <n v="848.93039999999996"/>
    <n v="4"/>
    <n v="362.20310000000001"/>
    <x v="2"/>
    <x v="0"/>
  </r>
  <r>
    <x v="1195"/>
    <x v="828"/>
    <x v="818"/>
    <x v="3"/>
    <s v="SM-17668"/>
    <s v="Stephanie Manning"/>
    <x v="2"/>
    <s v="United States"/>
    <x v="104"/>
    <x v="26"/>
    <x v="3"/>
    <s v="FUR-FU-106211"/>
    <x v="0"/>
    <x v="0"/>
    <s v="Aurora Brushed Chrome Wall Clock, 14in"/>
    <n v="38.9251"/>
    <n v="1"/>
    <n v="8.6479999999999997"/>
    <x v="7"/>
    <x v="3"/>
  </r>
  <r>
    <x v="1196"/>
    <x v="763"/>
    <x v="162"/>
    <x v="1"/>
    <s v="KS-17744"/>
    <s v="Katie Suarez"/>
    <x v="0"/>
    <s v="United States"/>
    <x v="44"/>
    <x v="19"/>
    <x v="2"/>
    <s v="FUR-CH-105507"/>
    <x v="0"/>
    <x v="1"/>
    <s v="Kingsley Mesh-Back Task Chair"/>
    <n v="768.35649999999998"/>
    <n v="4"/>
    <n v="137.2867"/>
    <x v="1"/>
    <x v="8"/>
  </r>
  <r>
    <x v="1197"/>
    <x v="668"/>
    <x v="753"/>
    <x v="2"/>
    <s v="CC-10400"/>
    <s v="Casey Chase"/>
    <x v="2"/>
    <s v="United States"/>
    <x v="99"/>
    <x v="20"/>
    <x v="2"/>
    <s v="FUR-FU-106211"/>
    <x v="0"/>
    <x v="0"/>
    <s v="Aurora Brushed Chrome Wall Clock, 14in"/>
    <n v="74.173000000000002"/>
    <n v="3"/>
    <n v="19.083500000000001"/>
    <x v="1"/>
    <x v="8"/>
  </r>
  <r>
    <x v="1198"/>
    <x v="3"/>
    <x v="819"/>
    <x v="1"/>
    <s v="SW-14073"/>
    <s v="Stephanie Williams"/>
    <x v="2"/>
    <s v="United States"/>
    <x v="52"/>
    <x v="38"/>
    <x v="1"/>
    <s v="FUR-BO-100475"/>
    <x v="0"/>
    <x v="2"/>
    <s v="Overton 3-Shelf Corner Bookcase"/>
    <n v="537.74720000000002"/>
    <n v="1"/>
    <n v="-295.54390000000001"/>
    <x v="1"/>
    <x v="1"/>
  </r>
  <r>
    <x v="1199"/>
    <x v="146"/>
    <x v="307"/>
    <x v="2"/>
    <s v="MH-11424"/>
    <s v="Monica Herrera"/>
    <x v="2"/>
    <s v="United States"/>
    <x v="45"/>
    <x v="34"/>
    <x v="1"/>
    <s v="FUR-FU-101341"/>
    <x v="0"/>
    <x v="0"/>
    <s v="Griswold Chairmats for Medium Pile Carpet"/>
    <n v="34.642899999999997"/>
    <n v="4"/>
    <n v="-5.8242000000000003"/>
    <x v="5"/>
    <x v="1"/>
  </r>
  <r>
    <x v="1200"/>
    <x v="829"/>
    <x v="820"/>
    <x v="1"/>
    <s v="KW-20339"/>
    <s v="Kevin Walters"/>
    <x v="2"/>
    <s v="United States"/>
    <x v="105"/>
    <x v="10"/>
    <x v="1"/>
    <s v="FUR-FU-106906"/>
    <x v="0"/>
    <x v="0"/>
    <s v="Cobalt LED Magnifier Lamp with Clamp Base"/>
    <n v="31.783300000000001"/>
    <n v="1"/>
    <n v="-8.5312999999999999"/>
    <x v="0"/>
    <x v="5"/>
  </r>
  <r>
    <x v="1201"/>
    <x v="296"/>
    <x v="821"/>
    <x v="2"/>
    <s v="JB-13728"/>
    <s v="James Bradley"/>
    <x v="2"/>
    <s v="United States"/>
    <x v="57"/>
    <x v="0"/>
    <x v="0"/>
    <s v="FUR-FU-104133"/>
    <x v="0"/>
    <x v="0"/>
    <s v="Preston Wood Photo Frame, Mahogany"/>
    <n v="15.364800000000001"/>
    <n v="3"/>
    <n v="3.7185999999999999"/>
    <x v="6"/>
    <x v="3"/>
  </r>
  <r>
    <x v="1202"/>
    <x v="677"/>
    <x v="513"/>
    <x v="2"/>
    <s v="DW-14506"/>
    <s v="Daniel Wagner"/>
    <x v="2"/>
    <s v="United States"/>
    <x v="8"/>
    <x v="8"/>
    <x v="1"/>
    <s v="FUR-BO-106371"/>
    <x v="0"/>
    <x v="2"/>
    <s v="Fairmont Ladder Shelf, Black Metal Frame"/>
    <n v="849.3193"/>
    <n v="3"/>
    <n v="32.3611"/>
    <x v="5"/>
    <x v="3"/>
  </r>
  <r>
    <x v="1203"/>
    <x v="495"/>
    <x v="822"/>
    <x v="2"/>
    <s v="DF-10188"/>
    <s v="Devon Flores"/>
    <x v="1"/>
    <s v="United States"/>
    <x v="55"/>
    <x v="12"/>
    <x v="2"/>
    <s v="FUR-FU-100317"/>
    <x v="0"/>
    <x v="0"/>
    <s v="Nomad Floor Lamp, Telescoping Adjustable"/>
    <n v="36.0458"/>
    <n v="6"/>
    <n v="26.204999999999998"/>
    <x v="3"/>
    <x v="9"/>
  </r>
  <r>
    <x v="1204"/>
    <x v="119"/>
    <x v="823"/>
    <x v="2"/>
    <s v="AJ-13566"/>
    <s v="Ariana Jennings"/>
    <x v="2"/>
    <s v="United States"/>
    <x v="43"/>
    <x v="7"/>
    <x v="2"/>
    <s v="FUR-FU-101124"/>
    <x v="0"/>
    <x v="0"/>
    <s v="Rutledge Desk Organizer Tray, Letter Size"/>
    <n v="75.7072"/>
    <n v="2"/>
    <n v="80.9285"/>
    <x v="1"/>
    <x v="2"/>
  </r>
  <r>
    <x v="1205"/>
    <x v="830"/>
    <x v="824"/>
    <x v="2"/>
    <s v="JC-12927"/>
    <s v="Joshua Cooke"/>
    <x v="1"/>
    <s v="United States"/>
    <x v="93"/>
    <x v="9"/>
    <x v="0"/>
    <s v="FUR-CH-107657"/>
    <x v="0"/>
    <x v="1"/>
    <s v="Hollis Stacking Chair, Rounded Back"/>
    <n v="470.03519999999997"/>
    <n v="3"/>
    <n v="30.999700000000001"/>
    <x v="3"/>
    <x v="11"/>
  </r>
  <r>
    <x v="1206"/>
    <x v="139"/>
    <x v="135"/>
    <x v="2"/>
    <s v="MF-20647"/>
    <s v="Matthew Foster"/>
    <x v="1"/>
    <s v="United States"/>
    <x v="83"/>
    <x v="27"/>
    <x v="0"/>
    <s v="FUR-CH-100441"/>
    <x v="0"/>
    <x v="1"/>
    <s v="Dalton Folding Chair, 4/Carton"/>
    <n v="266.86250000000001"/>
    <n v="4"/>
    <n v="-68.0732"/>
    <x v="7"/>
    <x v="5"/>
  </r>
  <r>
    <x v="1207"/>
    <x v="831"/>
    <x v="825"/>
    <x v="2"/>
    <s v="BW-19189"/>
    <s v="Brenda Wright"/>
    <x v="1"/>
    <s v="United States"/>
    <x v="125"/>
    <x v="11"/>
    <x v="2"/>
    <s v="FUR-FU-101341"/>
    <x v="0"/>
    <x v="0"/>
    <s v="Griswold Chairmats for Medium Pile Carpet"/>
    <n v="50.610799999999998"/>
    <n v="1"/>
    <n v="4.0086000000000004"/>
    <x v="5"/>
    <x v="5"/>
  </r>
  <r>
    <x v="1208"/>
    <x v="784"/>
    <x v="782"/>
    <x v="3"/>
    <s v="JC-12927"/>
    <s v="Joshua Cooke"/>
    <x v="2"/>
    <s v="United States"/>
    <x v="0"/>
    <x v="0"/>
    <x v="0"/>
    <s v="FUR-FU-104558"/>
    <x v="0"/>
    <x v="0"/>
    <s v="Lambert Swing Arm Desk Lamp"/>
    <n v="41.984099999999998"/>
    <n v="2"/>
    <n v="18.1356"/>
    <x v="7"/>
    <x v="10"/>
  </r>
  <r>
    <x v="1209"/>
    <x v="4"/>
    <x v="4"/>
    <x v="2"/>
    <s v="JW-17573"/>
    <s v="John Whitehead"/>
    <x v="1"/>
    <s v="United States"/>
    <x v="104"/>
    <x v="26"/>
    <x v="3"/>
    <s v="FUR-CH-100441"/>
    <x v="0"/>
    <x v="1"/>
    <s v="Dalton Folding Chair, 4/Carton"/>
    <n v="207.97890000000001"/>
    <n v="1"/>
    <n v="31.3079"/>
    <x v="3"/>
    <x v="2"/>
  </r>
  <r>
    <x v="1210"/>
    <x v="55"/>
    <x v="826"/>
    <x v="2"/>
    <s v="ML-19638"/>
    <s v="Michael Lyons"/>
    <x v="2"/>
    <s v="United States"/>
    <x v="126"/>
    <x v="47"/>
    <x v="0"/>
    <s v="FUR-FU-101124"/>
    <x v="0"/>
    <x v="0"/>
    <s v="Rutledge Desk Organizer Tray, Letter Size"/>
    <n v="58.658499999999997"/>
    <n v="3"/>
    <n v="-19.088799999999999"/>
    <x v="0"/>
    <x v="3"/>
  </r>
  <r>
    <x v="1211"/>
    <x v="832"/>
    <x v="134"/>
    <x v="2"/>
    <s v="KE-16592"/>
    <s v="Kim Erickson"/>
    <x v="2"/>
    <s v="United States"/>
    <x v="81"/>
    <x v="43"/>
    <x v="2"/>
    <s v="FUR-BO-108818"/>
    <x v="0"/>
    <x v="2"/>
    <s v="Meridian Glass-Door Bookcase, Espresso Finish"/>
    <n v="4400"/>
    <n v="2"/>
    <n v="126.2928"/>
    <x v="5"/>
    <x v="2"/>
  </r>
  <r>
    <x v="1212"/>
    <x v="833"/>
    <x v="827"/>
    <x v="0"/>
    <s v="JK-17066"/>
    <s v="Johnny Khan"/>
    <x v="2"/>
    <s v="United States"/>
    <x v="82"/>
    <x v="19"/>
    <x v="2"/>
    <s v="FUR-CH-105507"/>
    <x v="0"/>
    <x v="1"/>
    <s v="Kingsley Mesh-Back Task Chair"/>
    <n v="670.88049999999998"/>
    <n v="2"/>
    <n v="-201.20769999999999"/>
    <x v="0"/>
    <x v="3"/>
  </r>
  <r>
    <x v="1213"/>
    <x v="834"/>
    <x v="828"/>
    <x v="2"/>
    <s v="SJ-11612"/>
    <s v="Shannon James"/>
    <x v="1"/>
    <s v="United States"/>
    <x v="48"/>
    <x v="35"/>
    <x v="3"/>
    <s v="FUR-CH-102704"/>
    <x v="0"/>
    <x v="1"/>
    <s v="Brookline High-Back Executive Chair, Black Leather"/>
    <n v="504.88369999999998"/>
    <n v="1"/>
    <n v="78.182599999999994"/>
    <x v="1"/>
    <x v="11"/>
  </r>
  <r>
    <x v="1214"/>
    <x v="728"/>
    <x v="252"/>
    <x v="2"/>
    <s v="JS-17238"/>
    <s v="Jeremy Scott"/>
    <x v="1"/>
    <s v="United States"/>
    <x v="22"/>
    <x v="22"/>
    <x v="2"/>
    <s v="FUR-CH-109246"/>
    <x v="0"/>
    <x v="1"/>
    <s v="Beckett Steno Chair, Gray"/>
    <n v="546.63800000000003"/>
    <n v="9"/>
    <n v="280.19310000000002"/>
    <x v="0"/>
    <x v="8"/>
  </r>
  <r>
    <x v="1215"/>
    <x v="688"/>
    <x v="829"/>
    <x v="1"/>
    <s v="AB-11200"/>
    <s v="Adam Burgess"/>
    <x v="2"/>
    <s v="United States"/>
    <x v="20"/>
    <x v="21"/>
    <x v="1"/>
    <s v="FUR-FU-101124"/>
    <x v="0"/>
    <x v="0"/>
    <s v="Rutledge Desk Organizer Tray, Letter Size"/>
    <n v="20.2758"/>
    <n v="12"/>
    <n v="-11.6633"/>
    <x v="1"/>
    <x v="1"/>
  </r>
  <r>
    <x v="1216"/>
    <x v="756"/>
    <x v="106"/>
    <x v="0"/>
    <s v="JW-14543"/>
    <s v="James Webster"/>
    <x v="0"/>
    <s v="United States"/>
    <x v="4"/>
    <x v="4"/>
    <x v="1"/>
    <s v="FUR-CH-106455"/>
    <x v="0"/>
    <x v="1"/>
    <s v="Nolan Leather Highback Chair, Pneumatic Adjustment"/>
    <n v="92.602099999999993"/>
    <n v="1"/>
    <n v="3.2082000000000002"/>
    <x v="3"/>
    <x v="6"/>
  </r>
  <r>
    <x v="1216"/>
    <x v="756"/>
    <x v="106"/>
    <x v="0"/>
    <s v="JW-14543"/>
    <s v="James Webster"/>
    <x v="0"/>
    <s v="United States"/>
    <x v="4"/>
    <x v="4"/>
    <x v="1"/>
    <s v="FUR-CH-105507"/>
    <x v="0"/>
    <x v="1"/>
    <s v="Kingsley Mesh-Back Task Chair"/>
    <n v="540.11360000000002"/>
    <n v="3"/>
    <n v="-42.839399999999998"/>
    <x v="3"/>
    <x v="6"/>
  </r>
  <r>
    <x v="1217"/>
    <x v="303"/>
    <x v="830"/>
    <x v="2"/>
    <s v="ES-11193"/>
    <s v="Elizabeth Sharp"/>
    <x v="0"/>
    <s v="United States"/>
    <x v="3"/>
    <x v="3"/>
    <x v="1"/>
    <s v="FUR-CH-107657"/>
    <x v="0"/>
    <x v="1"/>
    <s v="Hollis Stacking Chair, Rounded Back"/>
    <n v="571.803"/>
    <n v="2"/>
    <n v="104.803"/>
    <x v="3"/>
    <x v="5"/>
  </r>
  <r>
    <x v="1218"/>
    <x v="147"/>
    <x v="606"/>
    <x v="1"/>
    <s v="TM-17007"/>
    <s v="Tracy Montoya"/>
    <x v="1"/>
    <s v="United States"/>
    <x v="64"/>
    <x v="29"/>
    <x v="0"/>
    <s v="FUR-FU-100317"/>
    <x v="0"/>
    <x v="0"/>
    <s v="Nomad Floor Lamp, Telescoping Adjustable"/>
    <n v="112.2747"/>
    <n v="8"/>
    <n v="-57.274799999999999"/>
    <x v="1"/>
    <x v="5"/>
  </r>
  <r>
    <x v="1219"/>
    <x v="663"/>
    <x v="591"/>
    <x v="2"/>
    <s v="HW-13582"/>
    <s v="Holly Wood"/>
    <x v="0"/>
    <s v="United States"/>
    <x v="31"/>
    <x v="28"/>
    <x v="2"/>
    <s v="FUR-CH-102704"/>
    <x v="0"/>
    <x v="1"/>
    <s v="Brookline High-Back Executive Chair, Black Leather"/>
    <n v="51.925199999999997"/>
    <n v="3"/>
    <n v="-13.8942"/>
    <x v="6"/>
    <x v="8"/>
  </r>
  <r>
    <x v="1220"/>
    <x v="425"/>
    <x v="831"/>
    <x v="2"/>
    <s v="OH-14562"/>
    <s v="Olivia Harris"/>
    <x v="0"/>
    <s v="United States"/>
    <x v="27"/>
    <x v="26"/>
    <x v="3"/>
    <s v="FUR-FU-100317"/>
    <x v="0"/>
    <x v="0"/>
    <s v="Nomad Floor Lamp, Telescoping Adjustable"/>
    <n v="74.893699999999995"/>
    <n v="4"/>
    <n v="25.745200000000001"/>
    <x v="6"/>
    <x v="8"/>
  </r>
  <r>
    <x v="1220"/>
    <x v="425"/>
    <x v="831"/>
    <x v="2"/>
    <s v="OH-14562"/>
    <s v="Olivia Harris"/>
    <x v="0"/>
    <s v="United States"/>
    <x v="27"/>
    <x v="26"/>
    <x v="3"/>
    <s v="FUR-BO-103613"/>
    <x v="0"/>
    <x v="2"/>
    <s v="Winslow Corner Bookcase, White"/>
    <n v="386.65109999999999"/>
    <n v="2"/>
    <n v="-5.0156999999999998"/>
    <x v="6"/>
    <x v="8"/>
  </r>
  <r>
    <x v="1221"/>
    <x v="577"/>
    <x v="832"/>
    <x v="2"/>
    <s v="FS-11674"/>
    <s v="Fred Smith"/>
    <x v="0"/>
    <s v="United States"/>
    <x v="89"/>
    <x v="11"/>
    <x v="2"/>
    <s v="FUR-CH-106624"/>
    <x v="0"/>
    <x v="1"/>
    <s v="Adler Fabric Manager's Chair, Slate Gray"/>
    <n v="183.87190000000001"/>
    <n v="7"/>
    <n v="-69.7834"/>
    <x v="3"/>
    <x v="2"/>
  </r>
  <r>
    <x v="1221"/>
    <x v="577"/>
    <x v="832"/>
    <x v="2"/>
    <s v="FS-11674"/>
    <s v="Fred Smith"/>
    <x v="0"/>
    <s v="United States"/>
    <x v="89"/>
    <x v="11"/>
    <x v="2"/>
    <s v="FUR-CH-101375"/>
    <x v="0"/>
    <x v="1"/>
    <s v="Sutton Push-Button Manager's Chair, Indigo"/>
    <n v="127.5599"/>
    <n v="3"/>
    <n v="73.504400000000004"/>
    <x v="3"/>
    <x v="2"/>
  </r>
  <r>
    <x v="1222"/>
    <x v="53"/>
    <x v="817"/>
    <x v="2"/>
    <s v="GH-19459"/>
    <s v="Gerald Hensley"/>
    <x v="2"/>
    <s v="United States"/>
    <x v="83"/>
    <x v="27"/>
    <x v="0"/>
    <s v="FUR-FU-108837"/>
    <x v="0"/>
    <x v="0"/>
    <s v="Ivanhoe Poster Frame, Aluminum"/>
    <n v="100.8772"/>
    <n v="2"/>
    <n v="5.8594999999999997"/>
    <x v="6"/>
    <x v="5"/>
  </r>
  <r>
    <x v="1223"/>
    <x v="530"/>
    <x v="833"/>
    <x v="2"/>
    <s v="SB-13006"/>
    <s v="Stephanie Byrd"/>
    <x v="2"/>
    <s v="United States"/>
    <x v="17"/>
    <x v="18"/>
    <x v="3"/>
    <s v="FUR-TA-105529"/>
    <x v="0"/>
    <x v="3"/>
    <s v="Fenwick Compact Office Desk"/>
    <n v="291.66550000000001"/>
    <n v="1"/>
    <n v="-200.05699999999999"/>
    <x v="7"/>
    <x v="2"/>
  </r>
  <r>
    <x v="1224"/>
    <x v="824"/>
    <x v="834"/>
    <x v="0"/>
    <s v="JS-21169"/>
    <s v="Jason Stein"/>
    <x v="0"/>
    <s v="United States"/>
    <x v="23"/>
    <x v="5"/>
    <x v="2"/>
    <s v="FUR-FU-104133"/>
    <x v="0"/>
    <x v="0"/>
    <s v="Preston Wood Photo Frame, Mahogany"/>
    <n v="71.852000000000004"/>
    <n v="4"/>
    <n v="24.559799999999999"/>
    <x v="1"/>
    <x v="1"/>
  </r>
  <r>
    <x v="1225"/>
    <x v="173"/>
    <x v="179"/>
    <x v="2"/>
    <s v="JG-15559"/>
    <s v="Jessica Garcia"/>
    <x v="2"/>
    <s v="United States"/>
    <x v="92"/>
    <x v="46"/>
    <x v="3"/>
    <s v="FUR-FU-100317"/>
    <x v="0"/>
    <x v="0"/>
    <s v="Nomad Floor Lamp, Telescoping Adjustable"/>
    <n v="63.869100000000003"/>
    <n v="2"/>
    <n v="-23.851400000000002"/>
    <x v="1"/>
    <x v="3"/>
  </r>
  <r>
    <x v="1226"/>
    <x v="745"/>
    <x v="835"/>
    <x v="2"/>
    <s v="NM-15344"/>
    <s v="Nancy Evans MD"/>
    <x v="1"/>
    <s v="United States"/>
    <x v="51"/>
    <x v="37"/>
    <x v="0"/>
    <s v="FUR-TA-102223"/>
    <x v="0"/>
    <x v="3"/>
    <s v="Marchetti Round Conference Table, X-Base"/>
    <n v="179.47210000000001"/>
    <n v="5"/>
    <n v="-82.900400000000005"/>
    <x v="7"/>
    <x v="4"/>
  </r>
  <r>
    <x v="1227"/>
    <x v="37"/>
    <x v="37"/>
    <x v="0"/>
    <s v="DM-21791"/>
    <s v="Daniel Murphy"/>
    <x v="0"/>
    <s v="United States"/>
    <x v="10"/>
    <x v="11"/>
    <x v="2"/>
    <s v="FUR-FU-108837"/>
    <x v="0"/>
    <x v="0"/>
    <s v="Ivanhoe Poster Frame, Aluminum"/>
    <n v="77.396000000000001"/>
    <n v="1"/>
    <n v="-26.622900000000001"/>
    <x v="1"/>
    <x v="1"/>
  </r>
  <r>
    <x v="1228"/>
    <x v="835"/>
    <x v="601"/>
    <x v="1"/>
    <s v="GH-19157"/>
    <s v="Gregory Hill"/>
    <x v="1"/>
    <s v="United States"/>
    <x v="83"/>
    <x v="27"/>
    <x v="0"/>
    <s v="FUR-CH-109246"/>
    <x v="0"/>
    <x v="1"/>
    <s v="Beckett Steno Chair, Gray"/>
    <n v="274.38290000000001"/>
    <n v="3"/>
    <n v="119.2103"/>
    <x v="1"/>
    <x v="9"/>
  </r>
  <r>
    <x v="1229"/>
    <x v="501"/>
    <x v="344"/>
    <x v="2"/>
    <s v="EA-13257"/>
    <s v="Ethan Adams"/>
    <x v="2"/>
    <s v="United States"/>
    <x v="25"/>
    <x v="24"/>
    <x v="1"/>
    <s v="FUR-FU-101341"/>
    <x v="0"/>
    <x v="0"/>
    <s v="Griswold Chairmats for Medium Pile Carpet"/>
    <n v="18.8461"/>
    <n v="2"/>
    <n v="-2.3578999999999999"/>
    <x v="2"/>
    <x v="8"/>
  </r>
  <r>
    <x v="1230"/>
    <x v="836"/>
    <x v="836"/>
    <x v="1"/>
    <s v="LR-20894"/>
    <s v="Lisa Randall"/>
    <x v="2"/>
    <s v="United States"/>
    <x v="93"/>
    <x v="9"/>
    <x v="0"/>
    <s v="FUR-TA-106211"/>
    <x v="0"/>
    <x v="3"/>
    <s v="Grantham Half-Moon Meeting Table"/>
    <n v="778.17550000000006"/>
    <n v="2"/>
    <n v="349.0772"/>
    <x v="7"/>
    <x v="0"/>
  </r>
  <r>
    <x v="1231"/>
    <x v="837"/>
    <x v="781"/>
    <x v="0"/>
    <s v="WE-13443"/>
    <s v="William Evans"/>
    <x v="2"/>
    <s v="United States"/>
    <x v="62"/>
    <x v="25"/>
    <x v="3"/>
    <s v="FUR-FU-106211"/>
    <x v="0"/>
    <x v="0"/>
    <s v="Aurora Brushed Chrome Wall Clock, 14in"/>
    <n v="4.4774000000000003"/>
    <n v="2"/>
    <n v="2.0895999999999999"/>
    <x v="7"/>
    <x v="1"/>
  </r>
  <r>
    <x v="1232"/>
    <x v="838"/>
    <x v="323"/>
    <x v="1"/>
    <s v="RH-17239"/>
    <s v="Robert Harrison"/>
    <x v="2"/>
    <s v="United States"/>
    <x v="24"/>
    <x v="23"/>
    <x v="2"/>
    <s v="FUR-TA-105363"/>
    <x v="0"/>
    <x v="3"/>
    <s v="Ashcombe Rectangular Table Top"/>
    <n v="171.649"/>
    <n v="1"/>
    <n v="41.298099999999998"/>
    <x v="7"/>
    <x v="9"/>
  </r>
  <r>
    <x v="1233"/>
    <x v="197"/>
    <x v="837"/>
    <x v="0"/>
    <s v="AG-19064"/>
    <s v="Antonio Garcia"/>
    <x v="2"/>
    <s v="United States"/>
    <x v="59"/>
    <x v="39"/>
    <x v="0"/>
    <s v="FUR-FU-105733"/>
    <x v="0"/>
    <x v="0"/>
    <s v="Sable Halogen Replacement Bulb, 2-Pack"/>
    <n v="27.878900000000002"/>
    <n v="2"/>
    <n v="2.6318999999999999"/>
    <x v="0"/>
    <x v="1"/>
  </r>
  <r>
    <x v="1234"/>
    <x v="839"/>
    <x v="711"/>
    <x v="2"/>
    <s v="CW-10916"/>
    <s v="Christine Wright"/>
    <x v="2"/>
    <s v="United States"/>
    <x v="37"/>
    <x v="14"/>
    <x v="3"/>
    <s v="FUR-FU-101124"/>
    <x v="0"/>
    <x v="0"/>
    <s v="Rutledge Desk Organizer Tray, Letter Size"/>
    <n v="66.258200000000002"/>
    <n v="2"/>
    <n v="-9.0175999999999998"/>
    <x v="0"/>
    <x v="5"/>
  </r>
  <r>
    <x v="1234"/>
    <x v="839"/>
    <x v="711"/>
    <x v="2"/>
    <s v="CW-10916"/>
    <s v="Christine Wright"/>
    <x v="2"/>
    <s v="United States"/>
    <x v="37"/>
    <x v="14"/>
    <x v="3"/>
    <s v="FUR-FU-106211"/>
    <x v="0"/>
    <x v="0"/>
    <s v="Aurora Brushed Chrome Wall Clock, 14in"/>
    <n v="25.839200000000002"/>
    <n v="4"/>
    <n v="-6.8730000000000002"/>
    <x v="0"/>
    <x v="5"/>
  </r>
  <r>
    <x v="1235"/>
    <x v="840"/>
    <x v="838"/>
    <x v="0"/>
    <s v="TS-12504"/>
    <s v="Tina Sanders"/>
    <x v="2"/>
    <s v="United States"/>
    <x v="25"/>
    <x v="24"/>
    <x v="1"/>
    <s v="FUR-BO-108947"/>
    <x v="0"/>
    <x v="2"/>
    <s v="Concord Ladder Bookcase, Walnut"/>
    <n v="1038.0178000000001"/>
    <n v="4"/>
    <n v="555.96310000000005"/>
    <x v="1"/>
    <x v="7"/>
  </r>
  <r>
    <x v="1236"/>
    <x v="841"/>
    <x v="839"/>
    <x v="1"/>
    <s v="RV-15313"/>
    <s v="Rebecca Valencia"/>
    <x v="2"/>
    <s v="United States"/>
    <x v="98"/>
    <x v="46"/>
    <x v="3"/>
    <s v="FUR-FU-108837"/>
    <x v="0"/>
    <x v="0"/>
    <s v="Ivanhoe Poster Frame, Aluminum"/>
    <n v="21.139600000000002"/>
    <n v="4"/>
    <n v="-7.4725000000000001"/>
    <x v="7"/>
    <x v="10"/>
  </r>
  <r>
    <x v="1237"/>
    <x v="777"/>
    <x v="82"/>
    <x v="2"/>
    <s v="DL-13262"/>
    <s v="David Lopez"/>
    <x v="2"/>
    <s v="United States"/>
    <x v="29"/>
    <x v="13"/>
    <x v="3"/>
    <s v="FUR-CH-100444"/>
    <x v="0"/>
    <x v="1"/>
    <s v="Harborview Mesh Task Chair, Adjustable Arms"/>
    <n v="252.83940000000001"/>
    <n v="4"/>
    <n v="-74.471699999999998"/>
    <x v="6"/>
    <x v="0"/>
  </r>
  <r>
    <x v="1238"/>
    <x v="18"/>
    <x v="840"/>
    <x v="1"/>
    <s v="JV-20510"/>
    <s v="Joshua Vance"/>
    <x v="1"/>
    <s v="United States"/>
    <x v="120"/>
    <x v="42"/>
    <x v="1"/>
    <s v="FUR-TA-105363"/>
    <x v="0"/>
    <x v="3"/>
    <s v="Ashcombe Rectangular Table Top"/>
    <n v="319.70949999999999"/>
    <n v="3"/>
    <n v="-211.1036"/>
    <x v="1"/>
    <x v="2"/>
  </r>
  <r>
    <x v="1239"/>
    <x v="44"/>
    <x v="841"/>
    <x v="1"/>
    <s v="TD-20684"/>
    <s v="Tanner Mitchell DDS"/>
    <x v="1"/>
    <s v="United States"/>
    <x v="19"/>
    <x v="20"/>
    <x v="2"/>
    <s v="FUR-CH-106455"/>
    <x v="0"/>
    <x v="1"/>
    <s v="Nolan Leather Highback Chair, Pneumatic Adjustment"/>
    <n v="304.8571"/>
    <n v="5"/>
    <n v="115.2906"/>
    <x v="0"/>
    <x v="7"/>
  </r>
  <r>
    <x v="1240"/>
    <x v="842"/>
    <x v="842"/>
    <x v="3"/>
    <s v="CG-14552"/>
    <s v="Cassandra Gaines"/>
    <x v="2"/>
    <s v="United States"/>
    <x v="13"/>
    <x v="14"/>
    <x v="3"/>
    <s v="FUR-FU-101341"/>
    <x v="0"/>
    <x v="0"/>
    <s v="Griswold Chairmats for Medium Pile Carpet"/>
    <n v="34.228499999999997"/>
    <n v="6"/>
    <n v="21.004200000000001"/>
    <x v="7"/>
    <x v="4"/>
  </r>
  <r>
    <x v="1241"/>
    <x v="558"/>
    <x v="588"/>
    <x v="2"/>
    <s v="RS-12780"/>
    <s v="Randy Smith"/>
    <x v="2"/>
    <s v="United States"/>
    <x v="99"/>
    <x v="20"/>
    <x v="2"/>
    <s v="FUR-CH-106455"/>
    <x v="0"/>
    <x v="1"/>
    <s v="Nolan Leather Highback Chair, Pneumatic Adjustment"/>
    <n v="382.20479999999998"/>
    <n v="6"/>
    <n v="246.79939999999999"/>
    <x v="3"/>
    <x v="4"/>
  </r>
  <r>
    <x v="1241"/>
    <x v="558"/>
    <x v="588"/>
    <x v="2"/>
    <s v="RS-12780"/>
    <s v="Randy Smith"/>
    <x v="2"/>
    <s v="United States"/>
    <x v="99"/>
    <x v="20"/>
    <x v="2"/>
    <s v="FUR-FU-107705"/>
    <x v="0"/>
    <x v="0"/>
    <s v="Hawthorne Desk Accessory Set, Oak"/>
    <n v="50.115600000000001"/>
    <n v="1"/>
    <n v="-3.0301999999999998"/>
    <x v="3"/>
    <x v="4"/>
  </r>
  <r>
    <x v="1242"/>
    <x v="843"/>
    <x v="354"/>
    <x v="2"/>
    <s v="DS-13946"/>
    <s v="Daniel Salinas"/>
    <x v="2"/>
    <s v="United States"/>
    <x v="92"/>
    <x v="46"/>
    <x v="3"/>
    <s v="FUR-FU-101124"/>
    <x v="0"/>
    <x v="0"/>
    <s v="Rutledge Desk Organizer Tray, Letter Size"/>
    <n v="42.904699999999998"/>
    <n v="1"/>
    <n v="-4.01"/>
    <x v="6"/>
    <x v="4"/>
  </r>
  <r>
    <x v="1243"/>
    <x v="339"/>
    <x v="777"/>
    <x v="3"/>
    <s v="RP-11489"/>
    <s v="Robert Potter"/>
    <x v="0"/>
    <s v="United States"/>
    <x v="88"/>
    <x v="31"/>
    <x v="2"/>
    <s v="FUR-FU-106906"/>
    <x v="0"/>
    <x v="0"/>
    <s v="Cobalt LED Magnifier Lamp with Clamp Base"/>
    <n v="368.73590000000002"/>
    <n v="3"/>
    <n v="104.3057"/>
    <x v="7"/>
    <x v="11"/>
  </r>
  <r>
    <x v="1244"/>
    <x v="844"/>
    <x v="843"/>
    <x v="2"/>
    <s v="SM-12167"/>
    <s v="Susan Murray MD"/>
    <x v="2"/>
    <s v="United States"/>
    <x v="5"/>
    <x v="5"/>
    <x v="2"/>
    <s v="FUR-FU-101341"/>
    <x v="0"/>
    <x v="0"/>
    <s v="Griswold Chairmats for Medium Pile Carpet"/>
    <n v="40.2089"/>
    <n v="2"/>
    <n v="18.8413"/>
    <x v="1"/>
    <x v="7"/>
  </r>
  <r>
    <x v="1245"/>
    <x v="289"/>
    <x v="222"/>
    <x v="0"/>
    <s v="EB-18280"/>
    <s v="Emily Bennett"/>
    <x v="2"/>
    <s v="United States"/>
    <x v="16"/>
    <x v="17"/>
    <x v="3"/>
    <s v="FUR-BO-104471"/>
    <x v="0"/>
    <x v="2"/>
    <s v="Camden Modular Bookcase, Custom Colors"/>
    <n v="383.07139999999998"/>
    <n v="2"/>
    <n v="48.104100000000003"/>
    <x v="3"/>
    <x v="5"/>
  </r>
  <r>
    <x v="1246"/>
    <x v="414"/>
    <x v="590"/>
    <x v="1"/>
    <s v="RM-21959"/>
    <s v="Rodney Morales"/>
    <x v="2"/>
    <s v="United States"/>
    <x v="0"/>
    <x v="6"/>
    <x v="1"/>
    <s v="FUR-FU-100317"/>
    <x v="0"/>
    <x v="0"/>
    <s v="Nomad Floor Lamp, Telescoping Adjustable"/>
    <n v="207.60939999999999"/>
    <n v="3"/>
    <n v="39.636800000000001"/>
    <x v="1"/>
    <x v="11"/>
  </r>
  <r>
    <x v="1247"/>
    <x v="349"/>
    <x v="819"/>
    <x v="2"/>
    <s v="TM-15085"/>
    <s v="Todd Rosales MD"/>
    <x v="1"/>
    <s v="United States"/>
    <x v="24"/>
    <x v="23"/>
    <x v="2"/>
    <s v="FUR-FU-104558"/>
    <x v="0"/>
    <x v="0"/>
    <s v="Lambert Swing Arm Desk Lamp"/>
    <n v="16.128799999999998"/>
    <n v="3"/>
    <n v="5.2301000000000002"/>
    <x v="2"/>
    <x v="1"/>
  </r>
  <r>
    <x v="1248"/>
    <x v="845"/>
    <x v="844"/>
    <x v="2"/>
    <s v="RT-12532"/>
    <s v="Robin Thompson"/>
    <x v="0"/>
    <s v="United States"/>
    <x v="73"/>
    <x v="30"/>
    <x v="0"/>
    <s v="FUR-FU-106211"/>
    <x v="0"/>
    <x v="0"/>
    <s v="Aurora Brushed Chrome Wall Clock, 14in"/>
    <n v="109.46169999999999"/>
    <n v="3"/>
    <n v="23.8749"/>
    <x v="3"/>
    <x v="0"/>
  </r>
  <r>
    <x v="1249"/>
    <x v="541"/>
    <x v="337"/>
    <x v="3"/>
    <s v="JG-18666"/>
    <s v="Joann Glass"/>
    <x v="2"/>
    <s v="United States"/>
    <x v="51"/>
    <x v="37"/>
    <x v="0"/>
    <s v="FUR-CH-100441"/>
    <x v="0"/>
    <x v="1"/>
    <s v="Dalton Folding Chair, 4/Carton"/>
    <n v="172.27959999999999"/>
    <n v="2"/>
    <n v="53.299300000000002"/>
    <x v="7"/>
    <x v="6"/>
  </r>
  <r>
    <x v="1250"/>
    <x v="846"/>
    <x v="845"/>
    <x v="1"/>
    <s v="AJ-16596"/>
    <s v="Amanda Jones"/>
    <x v="1"/>
    <s v="United States"/>
    <x v="33"/>
    <x v="23"/>
    <x v="2"/>
    <s v="FUR-FU-101341"/>
    <x v="0"/>
    <x v="0"/>
    <s v="Griswold Chairmats for Medium Pile Carpet"/>
    <n v="58.381300000000003"/>
    <n v="1"/>
    <n v="-6.4128999999999996"/>
    <x v="1"/>
    <x v="6"/>
  </r>
  <r>
    <x v="1251"/>
    <x v="215"/>
    <x v="549"/>
    <x v="0"/>
    <s v="JV-20510"/>
    <s v="Joshua Vance"/>
    <x v="0"/>
    <s v="United States"/>
    <x v="110"/>
    <x v="47"/>
    <x v="0"/>
    <s v="FUR-CH-101375"/>
    <x v="0"/>
    <x v="1"/>
    <s v="Sutton Push-Button Manager's Chair, Indigo"/>
    <n v="1142.5233000000001"/>
    <n v="6"/>
    <n v="645.24130000000002"/>
    <x v="0"/>
    <x v="8"/>
  </r>
  <r>
    <x v="1251"/>
    <x v="215"/>
    <x v="549"/>
    <x v="0"/>
    <s v="JV-20510"/>
    <s v="Joshua Vance"/>
    <x v="0"/>
    <s v="United States"/>
    <x v="110"/>
    <x v="47"/>
    <x v="0"/>
    <s v="FUR-CH-109697"/>
    <x v="0"/>
    <x v="1"/>
    <s v="Rowan Mid-Back Tilter Chair"/>
    <n v="120.0628"/>
    <n v="5"/>
    <n v="0.25690000000000002"/>
    <x v="0"/>
    <x v="8"/>
  </r>
  <r>
    <x v="1252"/>
    <x v="472"/>
    <x v="236"/>
    <x v="2"/>
    <s v="DM-10488"/>
    <s v="Dylan Miller"/>
    <x v="1"/>
    <s v="United States"/>
    <x v="97"/>
    <x v="32"/>
    <x v="3"/>
    <s v="FUR-CH-101375"/>
    <x v="0"/>
    <x v="1"/>
    <s v="Sutton Push-Button Manager's Chair, Indigo"/>
    <n v="262.37819999999999"/>
    <n v="6"/>
    <n v="21.303699999999999"/>
    <x v="6"/>
    <x v="10"/>
  </r>
  <r>
    <x v="1253"/>
    <x v="835"/>
    <x v="846"/>
    <x v="1"/>
    <s v="TH-14451"/>
    <s v="Timothy Hayden"/>
    <x v="2"/>
    <s v="United States"/>
    <x v="111"/>
    <x v="8"/>
    <x v="1"/>
    <s v="FUR-CH-102091"/>
    <x v="0"/>
    <x v="1"/>
    <s v="Vantage Swivel Task Chair, Blue"/>
    <n v="221.74860000000001"/>
    <n v="6"/>
    <n v="-56.08"/>
    <x v="7"/>
    <x v="9"/>
  </r>
  <r>
    <x v="1254"/>
    <x v="847"/>
    <x v="847"/>
    <x v="2"/>
    <s v="SS-16065"/>
    <s v="Steve Sanchez"/>
    <x v="0"/>
    <s v="United States"/>
    <x v="103"/>
    <x v="46"/>
    <x v="3"/>
    <s v="FUR-CH-106455"/>
    <x v="0"/>
    <x v="1"/>
    <s v="Nolan Leather Highback Chair, Pneumatic Adjustment"/>
    <n v="257.29500000000002"/>
    <n v="3"/>
    <n v="-24.196300000000001"/>
    <x v="3"/>
    <x v="10"/>
  </r>
  <r>
    <x v="1254"/>
    <x v="847"/>
    <x v="847"/>
    <x v="2"/>
    <s v="SS-16065"/>
    <s v="Steve Sanchez"/>
    <x v="0"/>
    <s v="United States"/>
    <x v="103"/>
    <x v="46"/>
    <x v="3"/>
    <s v="FUR-CH-109697"/>
    <x v="0"/>
    <x v="1"/>
    <s v="Rowan Mid-Back Tilter Chair"/>
    <n v="200.9659"/>
    <n v="5"/>
    <n v="30.221"/>
    <x v="3"/>
    <x v="10"/>
  </r>
  <r>
    <x v="1254"/>
    <x v="847"/>
    <x v="847"/>
    <x v="2"/>
    <s v="SS-16065"/>
    <s v="Steve Sanchez"/>
    <x v="0"/>
    <s v="United States"/>
    <x v="103"/>
    <x v="46"/>
    <x v="3"/>
    <s v="FUR-FU-100853"/>
    <x v="0"/>
    <x v="0"/>
    <s v="Blaine Cubicle Wall Clock, Black"/>
    <n v="59.334000000000003"/>
    <n v="8"/>
    <n v="-8.9341000000000008"/>
    <x v="3"/>
    <x v="10"/>
  </r>
  <r>
    <x v="1255"/>
    <x v="217"/>
    <x v="453"/>
    <x v="0"/>
    <s v="WG-13644"/>
    <s v="William Gould"/>
    <x v="1"/>
    <s v="United States"/>
    <x v="3"/>
    <x v="3"/>
    <x v="1"/>
    <s v="FUR-FU-100853"/>
    <x v="0"/>
    <x v="0"/>
    <s v="Blaine Cubicle Wall Clock, Black"/>
    <n v="21.253299999999999"/>
    <n v="9"/>
    <n v="23.378599999999999"/>
    <x v="1"/>
    <x v="0"/>
  </r>
  <r>
    <x v="1256"/>
    <x v="662"/>
    <x v="671"/>
    <x v="2"/>
    <s v="ZM-18486"/>
    <s v="Zachary Michael"/>
    <x v="1"/>
    <s v="United States"/>
    <x v="119"/>
    <x v="41"/>
    <x v="3"/>
    <s v="FUR-FU-104133"/>
    <x v="0"/>
    <x v="0"/>
    <s v="Preston Wood Photo Frame, Mahogany"/>
    <n v="139.98249999999999"/>
    <n v="4"/>
    <n v="53.2712"/>
    <x v="1"/>
    <x v="8"/>
  </r>
  <r>
    <x v="1257"/>
    <x v="784"/>
    <x v="750"/>
    <x v="1"/>
    <s v="RH-19654"/>
    <s v="Rebecca Henderson"/>
    <x v="2"/>
    <s v="United States"/>
    <x v="19"/>
    <x v="20"/>
    <x v="2"/>
    <s v="FUR-CH-100444"/>
    <x v="0"/>
    <x v="1"/>
    <s v="Harborview Mesh Task Chair, Adjustable Arms"/>
    <n v="493.7527"/>
    <n v="2"/>
    <n v="25.5045"/>
    <x v="0"/>
    <x v="10"/>
  </r>
  <r>
    <x v="1258"/>
    <x v="848"/>
    <x v="848"/>
    <x v="2"/>
    <s v="CP-15539"/>
    <s v="Christopher Parker"/>
    <x v="0"/>
    <s v="United States"/>
    <x v="82"/>
    <x v="19"/>
    <x v="2"/>
    <s v="FUR-BO-104471"/>
    <x v="0"/>
    <x v="2"/>
    <s v="Camden Modular Bookcase, Custom Colors"/>
    <n v="215.48390000000001"/>
    <n v="1"/>
    <n v="3.1901999999999999"/>
    <x v="4"/>
    <x v="10"/>
  </r>
  <r>
    <x v="1259"/>
    <x v="432"/>
    <x v="121"/>
    <x v="2"/>
    <s v="JB-20726"/>
    <s v="Jamie Baird"/>
    <x v="2"/>
    <s v="United States"/>
    <x v="40"/>
    <x v="15"/>
    <x v="1"/>
    <s v="FUR-FU-104558"/>
    <x v="0"/>
    <x v="0"/>
    <s v="Lambert Swing Arm Desk Lamp"/>
    <n v="323.21179999999998"/>
    <n v="4"/>
    <n v="144.1634"/>
    <x v="7"/>
    <x v="7"/>
  </r>
  <r>
    <x v="1259"/>
    <x v="432"/>
    <x v="121"/>
    <x v="2"/>
    <s v="JB-20726"/>
    <s v="Jamie Baird"/>
    <x v="2"/>
    <s v="United States"/>
    <x v="40"/>
    <x v="15"/>
    <x v="1"/>
    <s v="FUR-CH-106624"/>
    <x v="0"/>
    <x v="1"/>
    <s v="Adler Fabric Manager's Chair, Slate Gray"/>
    <n v="1040.4409000000001"/>
    <n v="3"/>
    <n v="-206.85890000000001"/>
    <x v="7"/>
    <x v="7"/>
  </r>
  <r>
    <x v="1259"/>
    <x v="432"/>
    <x v="121"/>
    <x v="2"/>
    <s v="JB-20726"/>
    <s v="Jamie Baird"/>
    <x v="2"/>
    <s v="United States"/>
    <x v="40"/>
    <x v="15"/>
    <x v="1"/>
    <s v="FUR-FU-100853"/>
    <x v="0"/>
    <x v="0"/>
    <s v="Blaine Cubicle Wall Clock, Black"/>
    <n v="301.53089999999997"/>
    <n v="2"/>
    <n v="87.9208"/>
    <x v="7"/>
    <x v="7"/>
  </r>
  <r>
    <x v="1260"/>
    <x v="849"/>
    <x v="572"/>
    <x v="0"/>
    <s v="JB-14065"/>
    <s v="Jasmine Beltran"/>
    <x v="2"/>
    <s v="United States"/>
    <x v="121"/>
    <x v="3"/>
    <x v="1"/>
    <s v="FUR-TA-106211"/>
    <x v="0"/>
    <x v="3"/>
    <s v="Grantham Half-Moon Meeting Table"/>
    <n v="860.9452"/>
    <n v="5"/>
    <n v="-432.08019999999999"/>
    <x v="1"/>
    <x v="0"/>
  </r>
  <r>
    <x v="1261"/>
    <x v="479"/>
    <x v="525"/>
    <x v="0"/>
    <s v="SC-11084"/>
    <s v="Sharon Cochran"/>
    <x v="2"/>
    <s v="United States"/>
    <x v="96"/>
    <x v="15"/>
    <x v="1"/>
    <s v="FUR-CH-100441"/>
    <x v="0"/>
    <x v="1"/>
    <s v="Dalton Folding Chair, 4/Carton"/>
    <n v="772.81709999999998"/>
    <n v="3"/>
    <n v="-151.3486"/>
    <x v="5"/>
    <x v="0"/>
  </r>
  <r>
    <x v="1261"/>
    <x v="479"/>
    <x v="525"/>
    <x v="0"/>
    <s v="SC-11084"/>
    <s v="Sharon Cochran"/>
    <x v="2"/>
    <s v="United States"/>
    <x v="96"/>
    <x v="15"/>
    <x v="1"/>
    <s v="FUR-FU-100853"/>
    <x v="0"/>
    <x v="0"/>
    <s v="Blaine Cubicle Wall Clock, Black"/>
    <n v="96.6203"/>
    <n v="1"/>
    <n v="46.860500000000002"/>
    <x v="5"/>
    <x v="0"/>
  </r>
  <r>
    <x v="1261"/>
    <x v="479"/>
    <x v="525"/>
    <x v="0"/>
    <s v="SC-11084"/>
    <s v="Sharon Cochran"/>
    <x v="2"/>
    <s v="United States"/>
    <x v="96"/>
    <x v="15"/>
    <x v="1"/>
    <s v="FUR-CH-106455"/>
    <x v="0"/>
    <x v="1"/>
    <s v="Nolan Leather Highback Chair, Pneumatic Adjustment"/>
    <n v="165.82390000000001"/>
    <n v="2"/>
    <n v="-50.832700000000003"/>
    <x v="5"/>
    <x v="0"/>
  </r>
  <r>
    <x v="1261"/>
    <x v="479"/>
    <x v="525"/>
    <x v="0"/>
    <s v="SC-11084"/>
    <s v="Sharon Cochran"/>
    <x v="2"/>
    <s v="United States"/>
    <x v="96"/>
    <x v="15"/>
    <x v="1"/>
    <s v="FUR-CH-102091"/>
    <x v="0"/>
    <x v="1"/>
    <s v="Vantage Swivel Task Chair, Blue"/>
    <n v="225.9025"/>
    <n v="1"/>
    <n v="-15.1508"/>
    <x v="5"/>
    <x v="0"/>
  </r>
  <r>
    <x v="1262"/>
    <x v="224"/>
    <x v="44"/>
    <x v="1"/>
    <s v="JB-18928"/>
    <s v="Justin Baker"/>
    <x v="0"/>
    <s v="United States"/>
    <x v="52"/>
    <x v="38"/>
    <x v="1"/>
    <s v="FUR-FU-107705"/>
    <x v="0"/>
    <x v="0"/>
    <s v="Hawthorne Desk Accessory Set, Oak"/>
    <n v="48.8416"/>
    <n v="4"/>
    <n v="-10.318099999999999"/>
    <x v="1"/>
    <x v="6"/>
  </r>
  <r>
    <x v="1263"/>
    <x v="285"/>
    <x v="849"/>
    <x v="2"/>
    <s v="JA-16939"/>
    <s v="Jasmin Alvarado"/>
    <x v="1"/>
    <s v="United States"/>
    <x v="121"/>
    <x v="3"/>
    <x v="1"/>
    <s v="FUR-CH-109697"/>
    <x v="0"/>
    <x v="1"/>
    <s v="Rowan Mid-Back Tilter Chair"/>
    <n v="448.9117"/>
    <n v="3"/>
    <n v="273.51499999999999"/>
    <x v="0"/>
    <x v="0"/>
  </r>
  <r>
    <x v="1264"/>
    <x v="850"/>
    <x v="850"/>
    <x v="2"/>
    <s v="RR-21423"/>
    <s v="Robert Richardson"/>
    <x v="0"/>
    <s v="United States"/>
    <x v="72"/>
    <x v="6"/>
    <x v="1"/>
    <s v="FUR-BO-103595"/>
    <x v="0"/>
    <x v="2"/>
    <s v="Pinehurst 6-Shelf Industrial Bookcase"/>
    <n v="270.14240000000001"/>
    <n v="5"/>
    <n v="-14.6234"/>
    <x v="2"/>
    <x v="7"/>
  </r>
  <r>
    <x v="1265"/>
    <x v="173"/>
    <x v="851"/>
    <x v="3"/>
    <s v="MM-21032"/>
    <s v="Matthew Moore"/>
    <x v="1"/>
    <s v="United States"/>
    <x v="129"/>
    <x v="2"/>
    <x v="0"/>
    <s v="FUR-BO-104471"/>
    <x v="0"/>
    <x v="2"/>
    <s v="Camden Modular Bookcase, Custom Colors"/>
    <n v="1583.0518"/>
    <n v="5"/>
    <n v="-103.6159"/>
    <x v="7"/>
    <x v="3"/>
  </r>
  <r>
    <x v="1266"/>
    <x v="851"/>
    <x v="3"/>
    <x v="2"/>
    <s v="SA-21734"/>
    <s v="Sabrina Austin"/>
    <x v="2"/>
    <s v="United States"/>
    <x v="104"/>
    <x v="26"/>
    <x v="3"/>
    <s v="FUR-CH-100444"/>
    <x v="0"/>
    <x v="1"/>
    <s v="Harborview Mesh Task Chair, Adjustable Arms"/>
    <n v="288.7278"/>
    <n v="2"/>
    <n v="35.366799999999998"/>
    <x v="5"/>
    <x v="1"/>
  </r>
  <r>
    <x v="1267"/>
    <x v="465"/>
    <x v="335"/>
    <x v="2"/>
    <s v="KM-18702"/>
    <s v="Kim Morrow"/>
    <x v="0"/>
    <s v="United States"/>
    <x v="53"/>
    <x v="22"/>
    <x v="2"/>
    <s v="FUR-BO-107140"/>
    <x v="0"/>
    <x v="2"/>
    <s v="Delacroix Lawyers Bookcase, Cherry Finish"/>
    <n v="45.563400000000001"/>
    <n v="2"/>
    <n v="-11.920199999999999"/>
    <x v="5"/>
    <x v="1"/>
  </r>
  <r>
    <x v="1267"/>
    <x v="465"/>
    <x v="335"/>
    <x v="2"/>
    <s v="KM-18702"/>
    <s v="Kim Morrow"/>
    <x v="0"/>
    <s v="United States"/>
    <x v="53"/>
    <x v="22"/>
    <x v="2"/>
    <s v="FUR-FU-105733"/>
    <x v="0"/>
    <x v="0"/>
    <s v="Sable Halogen Replacement Bulb, 2-Pack"/>
    <n v="29.604600000000001"/>
    <n v="3"/>
    <n v="21.6388"/>
    <x v="5"/>
    <x v="1"/>
  </r>
  <r>
    <x v="1267"/>
    <x v="465"/>
    <x v="335"/>
    <x v="2"/>
    <s v="KM-18702"/>
    <s v="Kim Morrow"/>
    <x v="0"/>
    <s v="United States"/>
    <x v="53"/>
    <x v="22"/>
    <x v="2"/>
    <s v="FUR-FU-104133"/>
    <x v="0"/>
    <x v="0"/>
    <s v="Preston Wood Photo Frame, Mahogany"/>
    <n v="135.0258"/>
    <n v="1"/>
    <n v="43.018000000000001"/>
    <x v="5"/>
    <x v="1"/>
  </r>
  <r>
    <x v="1268"/>
    <x v="852"/>
    <x v="527"/>
    <x v="2"/>
    <s v="VG-15925"/>
    <s v="Victoria Garcia"/>
    <x v="2"/>
    <s v="United States"/>
    <x v="22"/>
    <x v="22"/>
    <x v="2"/>
    <s v="FUR-TA-107449"/>
    <x v="0"/>
    <x v="3"/>
    <s v="Pembroke 36 x 72 Conference Table"/>
    <n v="843.60339999999997"/>
    <n v="5"/>
    <n v="205.44980000000001"/>
    <x v="2"/>
    <x v="11"/>
  </r>
  <r>
    <x v="1268"/>
    <x v="852"/>
    <x v="527"/>
    <x v="2"/>
    <s v="VG-15925"/>
    <s v="Victoria Garcia"/>
    <x v="2"/>
    <s v="United States"/>
    <x v="22"/>
    <x v="22"/>
    <x v="2"/>
    <s v="FUR-CH-107657"/>
    <x v="0"/>
    <x v="1"/>
    <s v="Hollis Stacking Chair, Rounded Back"/>
    <n v="2418.7152000000001"/>
    <n v="3"/>
    <n v="1042.1597999999999"/>
    <x v="2"/>
    <x v="11"/>
  </r>
  <r>
    <x v="1268"/>
    <x v="852"/>
    <x v="527"/>
    <x v="2"/>
    <s v="VG-15925"/>
    <s v="Victoria Garcia"/>
    <x v="2"/>
    <s v="United States"/>
    <x v="22"/>
    <x v="22"/>
    <x v="2"/>
    <s v="FUR-FU-104558"/>
    <x v="0"/>
    <x v="0"/>
    <s v="Lambert Swing Arm Desk Lamp"/>
    <n v="97.379199999999997"/>
    <n v="1"/>
    <n v="13.9925"/>
    <x v="2"/>
    <x v="11"/>
  </r>
  <r>
    <x v="1269"/>
    <x v="405"/>
    <x v="25"/>
    <x v="2"/>
    <s v="DT-13981"/>
    <s v="Desiree Tyler"/>
    <x v="1"/>
    <s v="United States"/>
    <x v="66"/>
    <x v="23"/>
    <x v="2"/>
    <s v="FUR-FU-105733"/>
    <x v="0"/>
    <x v="0"/>
    <s v="Sable Halogen Replacement Bulb, 2-Pack"/>
    <n v="238.29730000000001"/>
    <n v="5"/>
    <n v="118.4757"/>
    <x v="5"/>
    <x v="2"/>
  </r>
  <r>
    <x v="1270"/>
    <x v="853"/>
    <x v="852"/>
    <x v="0"/>
    <s v="RJ-16797"/>
    <s v="Robert Jackson"/>
    <x v="2"/>
    <s v="United States"/>
    <x v="62"/>
    <x v="25"/>
    <x v="3"/>
    <s v="FUR-CH-107657"/>
    <x v="0"/>
    <x v="1"/>
    <s v="Hollis Stacking Chair, Rounded Back"/>
    <n v="205.2319"/>
    <n v="5"/>
    <n v="25.4681"/>
    <x v="7"/>
    <x v="7"/>
  </r>
  <r>
    <x v="1271"/>
    <x v="854"/>
    <x v="204"/>
    <x v="1"/>
    <s v="DR-17244"/>
    <s v="Dale Ryan"/>
    <x v="2"/>
    <s v="United States"/>
    <x v="60"/>
    <x v="40"/>
    <x v="0"/>
    <s v="FUR-CH-106455"/>
    <x v="0"/>
    <x v="1"/>
    <s v="Nolan Leather Highback Chair, Pneumatic Adjustment"/>
    <n v="3519.4288999999999"/>
    <n v="4"/>
    <n v="2490.598"/>
    <x v="7"/>
    <x v="3"/>
  </r>
  <r>
    <x v="1272"/>
    <x v="490"/>
    <x v="783"/>
    <x v="2"/>
    <s v="ST-18540"/>
    <s v="Samuel Turner"/>
    <x v="1"/>
    <s v="United States"/>
    <x v="67"/>
    <x v="24"/>
    <x v="1"/>
    <s v="FUR-CH-100444"/>
    <x v="0"/>
    <x v="1"/>
    <s v="Harborview Mesh Task Chair, Adjustable Arms"/>
    <n v="619.1644"/>
    <n v="2"/>
    <n v="43.586799999999997"/>
    <x v="3"/>
    <x v="11"/>
  </r>
  <r>
    <x v="1273"/>
    <x v="561"/>
    <x v="498"/>
    <x v="3"/>
    <s v="AH-17179"/>
    <s v="Ashley Hicks"/>
    <x v="2"/>
    <s v="United States"/>
    <x v="34"/>
    <x v="29"/>
    <x v="0"/>
    <s v="FUR-CH-100441"/>
    <x v="0"/>
    <x v="1"/>
    <s v="Dalton Folding Chair, 4/Carton"/>
    <n v="181.56229999999999"/>
    <n v="6"/>
    <n v="-2.0251000000000001"/>
    <x v="7"/>
    <x v="11"/>
  </r>
  <r>
    <x v="1274"/>
    <x v="855"/>
    <x v="853"/>
    <x v="2"/>
    <s v="CW-13150"/>
    <s v="Connor West"/>
    <x v="1"/>
    <s v="United States"/>
    <x v="95"/>
    <x v="33"/>
    <x v="3"/>
    <s v="FUR-FU-106906"/>
    <x v="0"/>
    <x v="0"/>
    <s v="Cobalt LED Magnifier Lamp with Clamp Base"/>
    <n v="94.012"/>
    <n v="5"/>
    <n v="17.335000000000001"/>
    <x v="5"/>
    <x v="0"/>
  </r>
  <r>
    <x v="1275"/>
    <x v="543"/>
    <x v="854"/>
    <x v="2"/>
    <s v="TS-12504"/>
    <s v="Tina Sanders"/>
    <x v="2"/>
    <s v="United States"/>
    <x v="21"/>
    <x v="18"/>
    <x v="3"/>
    <s v="FUR-CH-107657"/>
    <x v="0"/>
    <x v="1"/>
    <s v="Hollis Stacking Chair, Rounded Back"/>
    <n v="1586.5452"/>
    <n v="2"/>
    <n v="444.99779999999998"/>
    <x v="4"/>
    <x v="0"/>
  </r>
  <r>
    <x v="1276"/>
    <x v="445"/>
    <x v="855"/>
    <x v="2"/>
    <s v="BG-11771"/>
    <s v="Bobby Guerrero"/>
    <x v="0"/>
    <s v="United States"/>
    <x v="116"/>
    <x v="38"/>
    <x v="1"/>
    <s v="FUR-CH-106455"/>
    <x v="0"/>
    <x v="1"/>
    <s v="Nolan Leather Highback Chair, Pneumatic Adjustment"/>
    <n v="1102.4979000000001"/>
    <n v="2"/>
    <n v="46.837800000000001"/>
    <x v="1"/>
    <x v="4"/>
  </r>
  <r>
    <x v="1277"/>
    <x v="35"/>
    <x v="856"/>
    <x v="0"/>
    <s v="MW-19083"/>
    <s v="Molly Watts"/>
    <x v="2"/>
    <s v="United States"/>
    <x v="2"/>
    <x v="2"/>
    <x v="0"/>
    <s v="FUR-BO-100475"/>
    <x v="0"/>
    <x v="2"/>
    <s v="Overton 3-Shelf Corner Bookcase"/>
    <n v="1421.029"/>
    <n v="4"/>
    <n v="-632.33920000000001"/>
    <x v="3"/>
    <x v="5"/>
  </r>
  <r>
    <x v="1278"/>
    <x v="283"/>
    <x v="857"/>
    <x v="2"/>
    <s v="JP-11891"/>
    <s v="Joanna Pacheco"/>
    <x v="2"/>
    <s v="United States"/>
    <x v="47"/>
    <x v="25"/>
    <x v="3"/>
    <s v="FUR-FU-100853"/>
    <x v="0"/>
    <x v="0"/>
    <s v="Blaine Cubicle Wall Clock, Black"/>
    <n v="25.228400000000001"/>
    <n v="2"/>
    <n v="2.8677999999999999"/>
    <x v="5"/>
    <x v="4"/>
  </r>
  <r>
    <x v="1279"/>
    <x v="687"/>
    <x v="403"/>
    <x v="2"/>
    <s v="JR-12184"/>
    <s v="Joshua Rice"/>
    <x v="2"/>
    <s v="United States"/>
    <x v="13"/>
    <x v="14"/>
    <x v="3"/>
    <s v="FUR-BO-109883"/>
    <x v="0"/>
    <x v="2"/>
    <s v="Ashford Mobile 4-Shelf Bookcase"/>
    <n v="404.1789"/>
    <n v="3"/>
    <n v="39.408799999999999"/>
    <x v="2"/>
    <x v="9"/>
  </r>
  <r>
    <x v="1280"/>
    <x v="82"/>
    <x v="795"/>
    <x v="2"/>
    <s v="TB-16209"/>
    <s v="Tracy Ballard"/>
    <x v="1"/>
    <s v="United States"/>
    <x v="31"/>
    <x v="28"/>
    <x v="2"/>
    <s v="FUR-FU-105733"/>
    <x v="0"/>
    <x v="0"/>
    <s v="Sable Halogen Replacement Bulb, 2-Pack"/>
    <n v="68.324700000000007"/>
    <n v="5"/>
    <n v="7.1947999999999999"/>
    <x v="2"/>
    <x v="7"/>
  </r>
  <r>
    <x v="1281"/>
    <x v="856"/>
    <x v="815"/>
    <x v="2"/>
    <s v="JS-21274"/>
    <s v="Jessica Smith"/>
    <x v="2"/>
    <s v="United States"/>
    <x v="93"/>
    <x v="9"/>
    <x v="0"/>
    <s v="FUR-FU-100853"/>
    <x v="0"/>
    <x v="0"/>
    <s v="Blaine Cubicle Wall Clock, Black"/>
    <n v="14.7521"/>
    <n v="3"/>
    <n v="5.2202999999999999"/>
    <x v="4"/>
    <x v="1"/>
  </r>
  <r>
    <x v="1282"/>
    <x v="397"/>
    <x v="596"/>
    <x v="2"/>
    <s v="LR-10344"/>
    <s v="Laura Roberts"/>
    <x v="2"/>
    <s v="United States"/>
    <x v="68"/>
    <x v="33"/>
    <x v="3"/>
    <s v="FUR-FU-104133"/>
    <x v="0"/>
    <x v="0"/>
    <s v="Preston Wood Photo Frame, Mahogany"/>
    <n v="67.024100000000004"/>
    <n v="4"/>
    <n v="-12.6213"/>
    <x v="1"/>
    <x v="4"/>
  </r>
  <r>
    <x v="1283"/>
    <x v="857"/>
    <x v="858"/>
    <x v="3"/>
    <s v="JH-11146"/>
    <s v="Julie Herrera"/>
    <x v="0"/>
    <s v="United States"/>
    <x v="69"/>
    <x v="41"/>
    <x v="3"/>
    <s v="FUR-FU-104133"/>
    <x v="0"/>
    <x v="0"/>
    <s v="Preston Wood Photo Frame, Mahogany"/>
    <n v="14.9145"/>
    <n v="4"/>
    <n v="0.57520000000000004"/>
    <x v="7"/>
    <x v="0"/>
  </r>
  <r>
    <x v="1284"/>
    <x v="858"/>
    <x v="859"/>
    <x v="2"/>
    <s v="MN-15180"/>
    <s v="Megan Nelson"/>
    <x v="2"/>
    <s v="United States"/>
    <x v="114"/>
    <x v="42"/>
    <x v="1"/>
    <s v="FUR-FU-104133"/>
    <x v="0"/>
    <x v="0"/>
    <s v="Preston Wood Photo Frame, Mahogany"/>
    <n v="6.6003999999999996"/>
    <n v="1"/>
    <n v="1.6398999999999999"/>
    <x v="3"/>
    <x v="1"/>
  </r>
  <r>
    <x v="1285"/>
    <x v="176"/>
    <x v="860"/>
    <x v="2"/>
    <s v="KW-20339"/>
    <s v="Kevin Walters"/>
    <x v="1"/>
    <s v="United States"/>
    <x v="32"/>
    <x v="26"/>
    <x v="3"/>
    <s v="FUR-FU-100853"/>
    <x v="0"/>
    <x v="0"/>
    <s v="Blaine Cubicle Wall Clock, Black"/>
    <n v="164.4151"/>
    <n v="1"/>
    <n v="-14.232200000000001"/>
    <x v="5"/>
    <x v="3"/>
  </r>
  <r>
    <x v="1286"/>
    <x v="859"/>
    <x v="861"/>
    <x v="1"/>
    <s v="BF-13164"/>
    <s v="Brian Fitzgerald"/>
    <x v="0"/>
    <s v="United States"/>
    <x v="15"/>
    <x v="16"/>
    <x v="0"/>
    <s v="FUR-FU-105733"/>
    <x v="0"/>
    <x v="0"/>
    <s v="Sable Halogen Replacement Bulb, 2-Pack"/>
    <n v="79.7483"/>
    <n v="1"/>
    <n v="0.48209999999999997"/>
    <x v="7"/>
    <x v="2"/>
  </r>
  <r>
    <x v="1287"/>
    <x v="860"/>
    <x v="229"/>
    <x v="0"/>
    <s v="CG-15464"/>
    <s v="Christopher Guerra"/>
    <x v="1"/>
    <s v="United States"/>
    <x v="20"/>
    <x v="21"/>
    <x v="1"/>
    <s v="FUR-FU-105733"/>
    <x v="0"/>
    <x v="0"/>
    <s v="Sable Halogen Replacement Bulb, 2-Pack"/>
    <n v="95.837199999999996"/>
    <n v="3"/>
    <n v="26.8995"/>
    <x v="7"/>
    <x v="3"/>
  </r>
  <r>
    <x v="1288"/>
    <x v="325"/>
    <x v="825"/>
    <x v="0"/>
    <s v="SH-19295"/>
    <s v="Spencer Haynes"/>
    <x v="2"/>
    <s v="United States"/>
    <x v="7"/>
    <x v="9"/>
    <x v="0"/>
    <s v="FUR-CH-102091"/>
    <x v="0"/>
    <x v="1"/>
    <s v="Vantage Swivel Task Chair, Blue"/>
    <n v="129.44880000000001"/>
    <n v="3"/>
    <n v="-16.508099999999999"/>
    <x v="0"/>
    <x v="5"/>
  </r>
  <r>
    <x v="1288"/>
    <x v="325"/>
    <x v="825"/>
    <x v="0"/>
    <s v="SH-19295"/>
    <s v="Spencer Haynes"/>
    <x v="2"/>
    <s v="United States"/>
    <x v="7"/>
    <x v="9"/>
    <x v="0"/>
    <s v="FUR-TA-105355"/>
    <x v="0"/>
    <x v="3"/>
    <s v="Wexford Racetrack Conference Table"/>
    <n v="1203.6146000000001"/>
    <n v="7"/>
    <n v="-440.42750000000001"/>
    <x v="0"/>
    <x v="5"/>
  </r>
  <r>
    <x v="1289"/>
    <x v="161"/>
    <x v="152"/>
    <x v="2"/>
    <s v="RR-12881"/>
    <s v="Robert Reese"/>
    <x v="2"/>
    <s v="United States"/>
    <x v="39"/>
    <x v="33"/>
    <x v="3"/>
    <s v="FUR-TA-105529"/>
    <x v="0"/>
    <x v="3"/>
    <s v="Fenwick Compact Office Desk"/>
    <n v="384.24439999999998"/>
    <n v="3"/>
    <n v="204.28200000000001"/>
    <x v="3"/>
    <x v="3"/>
  </r>
  <r>
    <x v="1289"/>
    <x v="161"/>
    <x v="152"/>
    <x v="2"/>
    <s v="RR-12881"/>
    <s v="Robert Reese"/>
    <x v="2"/>
    <s v="United States"/>
    <x v="39"/>
    <x v="33"/>
    <x v="3"/>
    <s v="FUR-BO-108947"/>
    <x v="0"/>
    <x v="2"/>
    <s v="Concord Ladder Bookcase, Walnut"/>
    <n v="142.2961"/>
    <n v="1"/>
    <n v="-2.9727999999999999"/>
    <x v="3"/>
    <x v="3"/>
  </r>
  <r>
    <x v="1290"/>
    <x v="581"/>
    <x v="862"/>
    <x v="0"/>
    <s v="GM-11679"/>
    <s v="Gina Moore"/>
    <x v="2"/>
    <s v="United States"/>
    <x v="48"/>
    <x v="35"/>
    <x v="3"/>
    <s v="FUR-FU-104133"/>
    <x v="0"/>
    <x v="0"/>
    <s v="Preston Wood Photo Frame, Mahogany"/>
    <n v="53.377099999999999"/>
    <n v="1"/>
    <n v="26.148299999999999"/>
    <x v="5"/>
    <x v="0"/>
  </r>
  <r>
    <x v="1291"/>
    <x v="861"/>
    <x v="50"/>
    <x v="2"/>
    <s v="GP-20391"/>
    <s v="Gregory Ponce"/>
    <x v="2"/>
    <s v="United States"/>
    <x v="60"/>
    <x v="40"/>
    <x v="0"/>
    <s v="FUR-CH-109246"/>
    <x v="0"/>
    <x v="1"/>
    <s v="Beckett Steno Chair, Gray"/>
    <n v="364.97620000000001"/>
    <n v="5"/>
    <n v="160.39099999999999"/>
    <x v="4"/>
    <x v="8"/>
  </r>
  <r>
    <x v="1291"/>
    <x v="861"/>
    <x v="50"/>
    <x v="2"/>
    <s v="GP-20391"/>
    <s v="Gregory Ponce"/>
    <x v="2"/>
    <s v="United States"/>
    <x v="60"/>
    <x v="40"/>
    <x v="0"/>
    <s v="FUR-TA-107449"/>
    <x v="0"/>
    <x v="3"/>
    <s v="Pembroke 36 x 72 Conference Table"/>
    <n v="2764.0641000000001"/>
    <n v="3"/>
    <n v="-1584.3689999999999"/>
    <x v="4"/>
    <x v="8"/>
  </r>
  <r>
    <x v="1292"/>
    <x v="862"/>
    <x v="863"/>
    <x v="2"/>
    <s v="SJ-10722"/>
    <s v="Sophia Johnson"/>
    <x v="2"/>
    <s v="United States"/>
    <x v="31"/>
    <x v="28"/>
    <x v="2"/>
    <s v="FUR-FU-106211"/>
    <x v="0"/>
    <x v="0"/>
    <s v="Aurora Brushed Chrome Wall Clock, 14in"/>
    <n v="22.200900000000001"/>
    <n v="2"/>
    <n v="-1.6254999999999999"/>
    <x v="5"/>
    <x v="1"/>
  </r>
  <r>
    <x v="1292"/>
    <x v="862"/>
    <x v="863"/>
    <x v="2"/>
    <s v="SJ-10722"/>
    <s v="Sophia Johnson"/>
    <x v="2"/>
    <s v="United States"/>
    <x v="31"/>
    <x v="28"/>
    <x v="2"/>
    <s v="FUR-CH-102091"/>
    <x v="0"/>
    <x v="1"/>
    <s v="Vantage Swivel Task Chair, Blue"/>
    <n v="275.9511"/>
    <n v="4"/>
    <n v="-19.819900000000001"/>
    <x v="5"/>
    <x v="1"/>
  </r>
  <r>
    <x v="1293"/>
    <x v="408"/>
    <x v="124"/>
    <x v="1"/>
    <s v="CW-12677"/>
    <s v="Christina Walters"/>
    <x v="0"/>
    <s v="United States"/>
    <x v="68"/>
    <x v="33"/>
    <x v="3"/>
    <s v="FUR-TA-102223"/>
    <x v="0"/>
    <x v="3"/>
    <s v="Marchetti Round Conference Table, X-Base"/>
    <n v="414.435"/>
    <n v="2"/>
    <n v="-271.79469999999998"/>
    <x v="7"/>
    <x v="5"/>
  </r>
  <r>
    <x v="1294"/>
    <x v="863"/>
    <x v="864"/>
    <x v="2"/>
    <s v="JG-18666"/>
    <s v="Joann Glass"/>
    <x v="0"/>
    <s v="United States"/>
    <x v="74"/>
    <x v="37"/>
    <x v="0"/>
    <s v="FUR-CH-105507"/>
    <x v="0"/>
    <x v="1"/>
    <s v="Kingsley Mesh-Back Task Chair"/>
    <n v="406.0061"/>
    <n v="1"/>
    <n v="130.45089999999999"/>
    <x v="5"/>
    <x v="5"/>
  </r>
  <r>
    <x v="1295"/>
    <x v="679"/>
    <x v="555"/>
    <x v="2"/>
    <s v="FC-15413"/>
    <s v="Frank Cordova"/>
    <x v="1"/>
    <s v="United States"/>
    <x v="97"/>
    <x v="32"/>
    <x v="3"/>
    <s v="FUR-FU-106906"/>
    <x v="0"/>
    <x v="0"/>
    <s v="Cobalt LED Magnifier Lamp with Clamp Base"/>
    <n v="297.90320000000003"/>
    <n v="2"/>
    <n v="105.8622"/>
    <x v="3"/>
    <x v="4"/>
  </r>
  <r>
    <x v="1296"/>
    <x v="864"/>
    <x v="3"/>
    <x v="0"/>
    <s v="MI-16528"/>
    <s v="Mr. Justin Green III"/>
    <x v="0"/>
    <s v="United States"/>
    <x v="49"/>
    <x v="36"/>
    <x v="0"/>
    <s v="FUR-FU-104558"/>
    <x v="0"/>
    <x v="0"/>
    <s v="Lambert Swing Arm Desk Lamp"/>
    <n v="6.2435999999999998"/>
    <n v="1"/>
    <n v="0.14560000000000001"/>
    <x v="7"/>
    <x v="6"/>
  </r>
  <r>
    <x v="1297"/>
    <x v="477"/>
    <x v="611"/>
    <x v="2"/>
    <s v="AJ-13566"/>
    <s v="Ariana Jennings"/>
    <x v="2"/>
    <s v="United States"/>
    <x v="123"/>
    <x v="24"/>
    <x v="1"/>
    <s v="FUR-FU-101124"/>
    <x v="0"/>
    <x v="0"/>
    <s v="Rutledge Desk Organizer Tray, Letter Size"/>
    <n v="43.819299999999998"/>
    <n v="1"/>
    <n v="-6.0148999999999999"/>
    <x v="7"/>
    <x v="8"/>
  </r>
  <r>
    <x v="1298"/>
    <x v="865"/>
    <x v="865"/>
    <x v="2"/>
    <s v="DB-20617"/>
    <s v="Daniel Baker"/>
    <x v="2"/>
    <s v="United States"/>
    <x v="69"/>
    <x v="41"/>
    <x v="3"/>
    <s v="FUR-FU-103673"/>
    <x v="0"/>
    <x v="0"/>
    <s v="Corcoran Document Holder, Wood"/>
    <n v="281.28320000000002"/>
    <n v="4"/>
    <n v="128.7996"/>
    <x v="0"/>
    <x v="5"/>
  </r>
  <r>
    <x v="1299"/>
    <x v="866"/>
    <x v="294"/>
    <x v="3"/>
    <s v="KM-18702"/>
    <s v="Kim Morrow"/>
    <x v="1"/>
    <s v="United States"/>
    <x v="68"/>
    <x v="33"/>
    <x v="3"/>
    <s v="FUR-FU-100853"/>
    <x v="0"/>
    <x v="0"/>
    <s v="Blaine Cubicle Wall Clock, Black"/>
    <n v="48.7136"/>
    <n v="2"/>
    <n v="23.329699999999999"/>
    <x v="7"/>
    <x v="7"/>
  </r>
  <r>
    <x v="1300"/>
    <x v="867"/>
    <x v="703"/>
    <x v="0"/>
    <s v="AO-10828"/>
    <s v="Amber Obrien"/>
    <x v="2"/>
    <s v="United States"/>
    <x v="48"/>
    <x v="35"/>
    <x v="3"/>
    <s v="FUR-CH-109697"/>
    <x v="0"/>
    <x v="1"/>
    <s v="Rowan Mid-Back Tilter Chair"/>
    <n v="514.94960000000003"/>
    <n v="2"/>
    <n v="39.4422"/>
    <x v="3"/>
    <x v="0"/>
  </r>
  <r>
    <x v="1301"/>
    <x v="596"/>
    <x v="682"/>
    <x v="0"/>
    <s v="RO-19977"/>
    <s v="Robert Oconnell"/>
    <x v="0"/>
    <s v="United States"/>
    <x v="72"/>
    <x v="6"/>
    <x v="1"/>
    <s v="FUR-BO-103595"/>
    <x v="0"/>
    <x v="2"/>
    <s v="Pinehurst 6-Shelf Industrial Bookcase"/>
    <n v="900.83680000000004"/>
    <n v="2"/>
    <n v="-38.628700000000002"/>
    <x v="1"/>
    <x v="9"/>
  </r>
  <r>
    <x v="1302"/>
    <x v="93"/>
    <x v="866"/>
    <x v="1"/>
    <s v="PC-15881"/>
    <s v="Philip Cannon"/>
    <x v="1"/>
    <s v="United States"/>
    <x v="16"/>
    <x v="17"/>
    <x v="3"/>
    <s v="FUR-CH-108751"/>
    <x v="0"/>
    <x v="1"/>
    <s v="Prescott Ergonomic Chair with Lumbar Support"/>
    <n v="73.8048"/>
    <n v="1"/>
    <n v="-25.572800000000001"/>
    <x v="0"/>
    <x v="0"/>
  </r>
  <r>
    <x v="1303"/>
    <x v="868"/>
    <x v="22"/>
    <x v="2"/>
    <s v="KE-21787"/>
    <s v="Kenneth Edwards"/>
    <x v="2"/>
    <s v="United States"/>
    <x v="115"/>
    <x v="12"/>
    <x v="2"/>
    <s v="FUR-TA-104262"/>
    <x v="0"/>
    <x v="3"/>
    <s v="Thorne End Table, 20-1/2H x 24W x 20D"/>
    <n v="370.3657"/>
    <n v="3"/>
    <n v="-217.64169999999999"/>
    <x v="1"/>
    <x v="4"/>
  </r>
  <r>
    <x v="1304"/>
    <x v="281"/>
    <x v="294"/>
    <x v="0"/>
    <s v="CS-12144"/>
    <s v="Charles Schultz"/>
    <x v="2"/>
    <s v="United States"/>
    <x v="15"/>
    <x v="16"/>
    <x v="0"/>
    <s v="FUR-FU-106211"/>
    <x v="0"/>
    <x v="0"/>
    <s v="Aurora Brushed Chrome Wall Clock, 14in"/>
    <n v="161.10220000000001"/>
    <n v="1"/>
    <n v="-43.363500000000002"/>
    <x v="3"/>
    <x v="7"/>
  </r>
  <r>
    <x v="1305"/>
    <x v="614"/>
    <x v="867"/>
    <x v="0"/>
    <s v="KG-10514"/>
    <s v="Krista Gibson"/>
    <x v="2"/>
    <s v="United States"/>
    <x v="55"/>
    <x v="12"/>
    <x v="2"/>
    <s v="FUR-FU-100853"/>
    <x v="0"/>
    <x v="0"/>
    <s v="Blaine Cubicle Wall Clock, Black"/>
    <n v="654.05510000000004"/>
    <n v="8"/>
    <n v="402.86450000000002"/>
    <x v="7"/>
    <x v="6"/>
  </r>
  <r>
    <x v="1306"/>
    <x v="121"/>
    <x v="267"/>
    <x v="2"/>
    <s v="TH-20834"/>
    <s v="Tracy House"/>
    <x v="2"/>
    <s v="United States"/>
    <x v="65"/>
    <x v="41"/>
    <x v="3"/>
    <s v="FUR-FU-101124"/>
    <x v="0"/>
    <x v="0"/>
    <s v="Rutledge Desk Organizer Tray, Letter Size"/>
    <n v="13.6746"/>
    <n v="9"/>
    <n v="-5.6947000000000001"/>
    <x v="0"/>
    <x v="7"/>
  </r>
  <r>
    <x v="1306"/>
    <x v="121"/>
    <x v="267"/>
    <x v="2"/>
    <s v="TH-20834"/>
    <s v="Tracy House"/>
    <x v="2"/>
    <s v="United States"/>
    <x v="65"/>
    <x v="41"/>
    <x v="3"/>
    <s v="FUR-BO-100475"/>
    <x v="0"/>
    <x v="2"/>
    <s v="Overton 3-Shelf Corner Bookcase"/>
    <n v="195.7201"/>
    <n v="1"/>
    <n v="-73.883399999999995"/>
    <x v="0"/>
    <x v="7"/>
  </r>
  <r>
    <x v="1307"/>
    <x v="715"/>
    <x v="868"/>
    <x v="2"/>
    <s v="NM-15344"/>
    <s v="Nancy Evans MD"/>
    <x v="0"/>
    <s v="United States"/>
    <x v="53"/>
    <x v="22"/>
    <x v="2"/>
    <s v="FUR-BO-103613"/>
    <x v="0"/>
    <x v="2"/>
    <s v="Winslow Corner Bookcase, White"/>
    <n v="230.32830000000001"/>
    <n v="7"/>
    <n v="-5.6698000000000004"/>
    <x v="5"/>
    <x v="9"/>
  </r>
  <r>
    <x v="1308"/>
    <x v="534"/>
    <x v="541"/>
    <x v="2"/>
    <s v="MB-15421"/>
    <s v="Maria Brown"/>
    <x v="2"/>
    <s v="United States"/>
    <x v="11"/>
    <x v="12"/>
    <x v="2"/>
    <s v="FUR-FU-103673"/>
    <x v="0"/>
    <x v="0"/>
    <s v="Corcoran Document Holder, Wood"/>
    <n v="195.8159"/>
    <n v="3"/>
    <n v="-72.061400000000006"/>
    <x v="1"/>
    <x v="8"/>
  </r>
  <r>
    <x v="1309"/>
    <x v="869"/>
    <x v="869"/>
    <x v="2"/>
    <s v="MP-13872"/>
    <s v="Maria Parker"/>
    <x v="2"/>
    <s v="United States"/>
    <x v="85"/>
    <x v="44"/>
    <x v="0"/>
    <s v="FUR-CH-102091"/>
    <x v="0"/>
    <x v="1"/>
    <s v="Vantage Swivel Task Chair, Blue"/>
    <n v="349.62700000000001"/>
    <n v="4"/>
    <n v="119.3775"/>
    <x v="2"/>
    <x v="10"/>
  </r>
  <r>
    <x v="1310"/>
    <x v="870"/>
    <x v="15"/>
    <x v="2"/>
    <s v="FS-11674"/>
    <s v="Fred Smith"/>
    <x v="0"/>
    <s v="United States"/>
    <x v="40"/>
    <x v="15"/>
    <x v="1"/>
    <s v="FUR-FU-106211"/>
    <x v="0"/>
    <x v="0"/>
    <s v="Aurora Brushed Chrome Wall Clock, 14in"/>
    <n v="130.1644"/>
    <n v="2"/>
    <n v="0.65739999999999998"/>
    <x v="4"/>
    <x v="9"/>
  </r>
  <r>
    <x v="1311"/>
    <x v="162"/>
    <x v="165"/>
    <x v="0"/>
    <s v="ML-19638"/>
    <s v="Michael Lyons"/>
    <x v="1"/>
    <s v="United States"/>
    <x v="25"/>
    <x v="24"/>
    <x v="1"/>
    <s v="FUR-FU-101124"/>
    <x v="0"/>
    <x v="0"/>
    <s v="Rutledge Desk Organizer Tray, Letter Size"/>
    <n v="215.10990000000001"/>
    <n v="6"/>
    <n v="29.168099999999999"/>
    <x v="1"/>
    <x v="7"/>
  </r>
  <r>
    <x v="1312"/>
    <x v="724"/>
    <x v="326"/>
    <x v="2"/>
    <s v="HN-15442"/>
    <s v="Howard Norman"/>
    <x v="2"/>
    <s v="United States"/>
    <x v="31"/>
    <x v="28"/>
    <x v="2"/>
    <s v="FUR-FU-107705"/>
    <x v="0"/>
    <x v="0"/>
    <s v="Hawthorne Desk Accessory Set, Oak"/>
    <n v="25.9575"/>
    <n v="3"/>
    <n v="9.8507999999999996"/>
    <x v="7"/>
    <x v="5"/>
  </r>
  <r>
    <x v="1313"/>
    <x v="871"/>
    <x v="870"/>
    <x v="1"/>
    <s v="JG-15559"/>
    <s v="Jessica Garcia"/>
    <x v="2"/>
    <s v="United States"/>
    <x v="64"/>
    <x v="29"/>
    <x v="0"/>
    <s v="FUR-CH-102091"/>
    <x v="0"/>
    <x v="1"/>
    <s v="Vantage Swivel Task Chair, Blue"/>
    <n v="142.63640000000001"/>
    <n v="8"/>
    <n v="-29.432500000000001"/>
    <x v="7"/>
    <x v="8"/>
  </r>
  <r>
    <x v="1314"/>
    <x v="872"/>
    <x v="315"/>
    <x v="2"/>
    <s v="KJ-11604"/>
    <s v="Keith Jennings"/>
    <x v="2"/>
    <s v="United States"/>
    <x v="93"/>
    <x v="9"/>
    <x v="0"/>
    <s v="FUR-FU-104558"/>
    <x v="0"/>
    <x v="0"/>
    <s v="Lambert Swing Arm Desk Lamp"/>
    <n v="26.727799999999998"/>
    <n v="4"/>
    <n v="7.8463000000000003"/>
    <x v="3"/>
    <x v="4"/>
  </r>
  <r>
    <x v="1315"/>
    <x v="873"/>
    <x v="540"/>
    <x v="2"/>
    <s v="AW-19771"/>
    <s v="Amber Wright"/>
    <x v="1"/>
    <s v="United States"/>
    <x v="69"/>
    <x v="41"/>
    <x v="3"/>
    <s v="FUR-FU-100853"/>
    <x v="0"/>
    <x v="0"/>
    <s v="Blaine Cubicle Wall Clock, Black"/>
    <n v="246.1"/>
    <n v="1"/>
    <n v="-27.075399999999998"/>
    <x v="6"/>
    <x v="1"/>
  </r>
  <r>
    <x v="1316"/>
    <x v="758"/>
    <x v="641"/>
    <x v="2"/>
    <s v="KG-10514"/>
    <s v="Krista Gibson"/>
    <x v="1"/>
    <s v="United States"/>
    <x v="84"/>
    <x v="29"/>
    <x v="0"/>
    <s v="FUR-BO-103595"/>
    <x v="0"/>
    <x v="2"/>
    <s v="Pinehurst 6-Shelf Industrial Bookcase"/>
    <n v="4127.3531000000003"/>
    <n v="4"/>
    <n v="-3067.4994000000002"/>
    <x v="4"/>
    <x v="6"/>
  </r>
  <r>
    <x v="1316"/>
    <x v="758"/>
    <x v="641"/>
    <x v="2"/>
    <s v="KG-10514"/>
    <s v="Krista Gibson"/>
    <x v="1"/>
    <s v="United States"/>
    <x v="84"/>
    <x v="29"/>
    <x v="0"/>
    <s v="FUR-FU-101124"/>
    <x v="0"/>
    <x v="0"/>
    <s v="Rutledge Desk Organizer Tray, Letter Size"/>
    <n v="33.423200000000001"/>
    <n v="5"/>
    <n v="7.4203000000000001"/>
    <x v="4"/>
    <x v="6"/>
  </r>
  <r>
    <x v="1316"/>
    <x v="758"/>
    <x v="641"/>
    <x v="2"/>
    <s v="KG-10514"/>
    <s v="Krista Gibson"/>
    <x v="1"/>
    <s v="United States"/>
    <x v="84"/>
    <x v="29"/>
    <x v="0"/>
    <s v="FUR-BO-108818"/>
    <x v="0"/>
    <x v="2"/>
    <s v="Meridian Glass-Door Bookcase, Espresso Finish"/>
    <n v="116.8531"/>
    <n v="3"/>
    <n v="6.4383999999999997"/>
    <x v="4"/>
    <x v="6"/>
  </r>
  <r>
    <x v="1316"/>
    <x v="758"/>
    <x v="641"/>
    <x v="2"/>
    <s v="KG-10514"/>
    <s v="Krista Gibson"/>
    <x v="1"/>
    <s v="United States"/>
    <x v="84"/>
    <x v="29"/>
    <x v="0"/>
    <s v="FUR-FU-105733"/>
    <x v="0"/>
    <x v="0"/>
    <s v="Sable Halogen Replacement Bulb, 2-Pack"/>
    <n v="60.882199999999997"/>
    <n v="3"/>
    <n v="-3.0499000000000001"/>
    <x v="4"/>
    <x v="6"/>
  </r>
  <r>
    <x v="1317"/>
    <x v="874"/>
    <x v="810"/>
    <x v="0"/>
    <s v="AH-10936"/>
    <s v="Andrea Hubbard"/>
    <x v="0"/>
    <s v="United States"/>
    <x v="17"/>
    <x v="18"/>
    <x v="3"/>
    <s v="FUR-BO-108947"/>
    <x v="0"/>
    <x v="2"/>
    <s v="Concord Ladder Bookcase, Walnut"/>
    <n v="335.28100000000001"/>
    <n v="5"/>
    <n v="-39.961100000000002"/>
    <x v="3"/>
    <x v="11"/>
  </r>
  <r>
    <x v="1317"/>
    <x v="874"/>
    <x v="810"/>
    <x v="0"/>
    <s v="AH-10936"/>
    <s v="Andrea Hubbard"/>
    <x v="0"/>
    <s v="United States"/>
    <x v="17"/>
    <x v="18"/>
    <x v="3"/>
    <s v="FUR-CH-105507"/>
    <x v="0"/>
    <x v="1"/>
    <s v="Kingsley Mesh-Back Task Chair"/>
    <n v="463.69380000000001"/>
    <n v="2"/>
    <n v="-10.805099999999999"/>
    <x v="3"/>
    <x v="11"/>
  </r>
  <r>
    <x v="1318"/>
    <x v="653"/>
    <x v="871"/>
    <x v="1"/>
    <s v="AH-10931"/>
    <s v="Anthony Harmon"/>
    <x v="1"/>
    <s v="United States"/>
    <x v="48"/>
    <x v="35"/>
    <x v="3"/>
    <s v="FUR-CH-100441"/>
    <x v="0"/>
    <x v="1"/>
    <s v="Dalton Folding Chair, 4/Carton"/>
    <n v="262.4828"/>
    <n v="3"/>
    <n v="15.7493"/>
    <x v="1"/>
    <x v="1"/>
  </r>
  <r>
    <x v="1318"/>
    <x v="653"/>
    <x v="871"/>
    <x v="1"/>
    <s v="AH-10931"/>
    <s v="Anthony Harmon"/>
    <x v="1"/>
    <s v="United States"/>
    <x v="48"/>
    <x v="35"/>
    <x v="3"/>
    <s v="FUR-CH-100444"/>
    <x v="0"/>
    <x v="1"/>
    <s v="Harborview Mesh Task Chair, Adjustable Arms"/>
    <n v="250.9273"/>
    <n v="2"/>
    <n v="48.8538"/>
    <x v="1"/>
    <x v="1"/>
  </r>
  <r>
    <x v="1319"/>
    <x v="657"/>
    <x v="872"/>
    <x v="1"/>
    <s v="JA-16939"/>
    <s v="Jasmin Alvarado"/>
    <x v="1"/>
    <s v="United States"/>
    <x v="95"/>
    <x v="33"/>
    <x v="3"/>
    <s v="FUR-CH-109246"/>
    <x v="0"/>
    <x v="1"/>
    <s v="Beckett Steno Chair, Gray"/>
    <n v="132.05420000000001"/>
    <n v="3"/>
    <n v="39.597200000000001"/>
    <x v="1"/>
    <x v="2"/>
  </r>
  <r>
    <x v="1320"/>
    <x v="96"/>
    <x v="602"/>
    <x v="0"/>
    <s v="JD-20133"/>
    <s v="John Daniel"/>
    <x v="2"/>
    <s v="United States"/>
    <x v="69"/>
    <x v="41"/>
    <x v="3"/>
    <s v="FUR-TA-102977"/>
    <x v="0"/>
    <x v="3"/>
    <s v="Caldwell 44 x 96 Conference Table"/>
    <n v="968.56669999999997"/>
    <n v="2"/>
    <n v="127.77979999999999"/>
    <x v="3"/>
    <x v="2"/>
  </r>
  <r>
    <x v="1321"/>
    <x v="141"/>
    <x v="873"/>
    <x v="0"/>
    <s v="KE-21787"/>
    <s v="Kenneth Edwards"/>
    <x v="2"/>
    <s v="United States"/>
    <x v="12"/>
    <x v="13"/>
    <x v="3"/>
    <s v="FUR-FU-106906"/>
    <x v="0"/>
    <x v="0"/>
    <s v="Cobalt LED Magnifier Lamp with Clamp Base"/>
    <n v="16.530899999999999"/>
    <n v="5"/>
    <n v="5.6681999999999997"/>
    <x v="5"/>
    <x v="6"/>
  </r>
  <r>
    <x v="1322"/>
    <x v="862"/>
    <x v="874"/>
    <x v="2"/>
    <s v="SM-20415"/>
    <s v="Sarah Moore"/>
    <x v="2"/>
    <s v="United States"/>
    <x v="67"/>
    <x v="24"/>
    <x v="1"/>
    <s v="FUR-BO-106371"/>
    <x v="0"/>
    <x v="2"/>
    <s v="Fairmont Ladder Shelf, Black Metal Frame"/>
    <n v="598.3451"/>
    <n v="7"/>
    <n v="-61.758499999999998"/>
    <x v="0"/>
    <x v="1"/>
  </r>
  <r>
    <x v="1323"/>
    <x v="518"/>
    <x v="875"/>
    <x v="2"/>
    <s v="DF-19446"/>
    <s v="Donna Frye"/>
    <x v="1"/>
    <s v="United States"/>
    <x v="97"/>
    <x v="32"/>
    <x v="3"/>
    <s v="FUR-FU-100317"/>
    <x v="0"/>
    <x v="0"/>
    <s v="Nomad Floor Lamp, Telescoping Adjustable"/>
    <n v="13.997400000000001"/>
    <n v="5"/>
    <n v="-1.0479000000000001"/>
    <x v="4"/>
    <x v="0"/>
  </r>
  <r>
    <x v="1324"/>
    <x v="269"/>
    <x v="270"/>
    <x v="2"/>
    <s v="MJ-16311"/>
    <s v="Mark Jimenez"/>
    <x v="1"/>
    <s v="United States"/>
    <x v="68"/>
    <x v="33"/>
    <x v="3"/>
    <s v="FUR-FU-106211"/>
    <x v="0"/>
    <x v="0"/>
    <s v="Aurora Brushed Chrome Wall Clock, 14in"/>
    <n v="35.440199999999997"/>
    <n v="2"/>
    <n v="-2.1955"/>
    <x v="7"/>
    <x v="9"/>
  </r>
  <r>
    <x v="1324"/>
    <x v="269"/>
    <x v="270"/>
    <x v="2"/>
    <s v="MJ-16311"/>
    <s v="Mark Jimenez"/>
    <x v="1"/>
    <s v="United States"/>
    <x v="68"/>
    <x v="33"/>
    <x v="3"/>
    <s v="FUR-TA-102977"/>
    <x v="0"/>
    <x v="3"/>
    <s v="Caldwell 44 x 96 Conference Table"/>
    <n v="1014.7391"/>
    <n v="6"/>
    <n v="-43.7746"/>
    <x v="7"/>
    <x v="9"/>
  </r>
  <r>
    <x v="1325"/>
    <x v="875"/>
    <x v="724"/>
    <x v="2"/>
    <s v="JT-19086"/>
    <s v="Jeremy Turner"/>
    <x v="0"/>
    <s v="United States"/>
    <x v="127"/>
    <x v="46"/>
    <x v="3"/>
    <s v="FUR-FU-104133"/>
    <x v="0"/>
    <x v="0"/>
    <s v="Preston Wood Photo Frame, Mahogany"/>
    <n v="122.9936"/>
    <n v="6"/>
    <n v="-8.0466999999999995"/>
    <x v="6"/>
    <x v="7"/>
  </r>
  <r>
    <x v="1326"/>
    <x v="736"/>
    <x v="617"/>
    <x v="1"/>
    <s v="TC-20647"/>
    <s v="Theresa Clark"/>
    <x v="2"/>
    <s v="United States"/>
    <x v="123"/>
    <x v="24"/>
    <x v="1"/>
    <s v="FUR-TA-102223"/>
    <x v="0"/>
    <x v="3"/>
    <s v="Marchetti Round Conference Table, X-Base"/>
    <n v="445.46429999999998"/>
    <n v="3"/>
    <n v="275.78019999999998"/>
    <x v="1"/>
    <x v="3"/>
  </r>
  <r>
    <x v="1327"/>
    <x v="876"/>
    <x v="876"/>
    <x v="3"/>
    <s v="AW-14533"/>
    <s v="Ashley Wise"/>
    <x v="1"/>
    <s v="United States"/>
    <x v="80"/>
    <x v="1"/>
    <x v="0"/>
    <s v="FUR-CH-105507"/>
    <x v="0"/>
    <x v="1"/>
    <s v="Kingsley Mesh-Back Task Chair"/>
    <n v="189.36859999999999"/>
    <n v="5"/>
    <n v="-40.251199999999997"/>
    <x v="7"/>
    <x v="10"/>
  </r>
  <r>
    <x v="1327"/>
    <x v="876"/>
    <x v="876"/>
    <x v="3"/>
    <s v="AW-14533"/>
    <s v="Ashley Wise"/>
    <x v="1"/>
    <s v="United States"/>
    <x v="80"/>
    <x v="1"/>
    <x v="0"/>
    <s v="FUR-CH-102091"/>
    <x v="0"/>
    <x v="1"/>
    <s v="Vantage Swivel Task Chair, Blue"/>
    <n v="2685.3616000000002"/>
    <n v="2"/>
    <n v="213.6892"/>
    <x v="7"/>
    <x v="10"/>
  </r>
  <r>
    <x v="1328"/>
    <x v="778"/>
    <x v="877"/>
    <x v="2"/>
    <s v="JG-18821"/>
    <s v="James Gilbert"/>
    <x v="0"/>
    <s v="United States"/>
    <x v="94"/>
    <x v="30"/>
    <x v="0"/>
    <s v="FUR-CH-100444"/>
    <x v="0"/>
    <x v="1"/>
    <s v="Harborview Mesh Task Chair, Adjustable Arms"/>
    <n v="850.36890000000005"/>
    <n v="4"/>
    <n v="173.81610000000001"/>
    <x v="1"/>
    <x v="5"/>
  </r>
  <r>
    <x v="1329"/>
    <x v="491"/>
    <x v="499"/>
    <x v="0"/>
    <s v="SJ-16201"/>
    <s v="Shannon Jones"/>
    <x v="2"/>
    <s v="United States"/>
    <x v="20"/>
    <x v="21"/>
    <x v="1"/>
    <s v="FUR-TA-107449"/>
    <x v="0"/>
    <x v="3"/>
    <s v="Pembroke 36 x 72 Conference Table"/>
    <n v="317.35579999999999"/>
    <n v="1"/>
    <n v="-12.3125"/>
    <x v="3"/>
    <x v="5"/>
  </r>
  <r>
    <x v="1329"/>
    <x v="491"/>
    <x v="499"/>
    <x v="0"/>
    <s v="SJ-16201"/>
    <s v="Shannon Jones"/>
    <x v="2"/>
    <s v="United States"/>
    <x v="20"/>
    <x v="21"/>
    <x v="1"/>
    <s v="FUR-FU-104558"/>
    <x v="0"/>
    <x v="0"/>
    <s v="Lambert Swing Arm Desk Lamp"/>
    <n v="9.4437999999999995"/>
    <n v="2"/>
    <n v="4.5227000000000004"/>
    <x v="3"/>
    <x v="5"/>
  </r>
  <r>
    <x v="1330"/>
    <x v="877"/>
    <x v="878"/>
    <x v="3"/>
    <s v="JS-17238"/>
    <s v="Jeremy Scott"/>
    <x v="2"/>
    <s v="United States"/>
    <x v="95"/>
    <x v="33"/>
    <x v="3"/>
    <s v="FUR-CH-109246"/>
    <x v="0"/>
    <x v="1"/>
    <s v="Beckett Steno Chair, Gray"/>
    <n v="253.6891"/>
    <n v="3"/>
    <n v="1.3751"/>
    <x v="7"/>
    <x v="0"/>
  </r>
  <r>
    <x v="1331"/>
    <x v="878"/>
    <x v="582"/>
    <x v="1"/>
    <s v="JD-14082"/>
    <s v="Janet Kane DVM"/>
    <x v="1"/>
    <s v="United States"/>
    <x v="88"/>
    <x v="31"/>
    <x v="2"/>
    <s v="FUR-FU-101124"/>
    <x v="0"/>
    <x v="0"/>
    <s v="Rutledge Desk Organizer Tray, Letter Size"/>
    <n v="30.307700000000001"/>
    <n v="2"/>
    <n v="12.757199999999999"/>
    <x v="1"/>
    <x v="2"/>
  </r>
  <r>
    <x v="1332"/>
    <x v="879"/>
    <x v="423"/>
    <x v="2"/>
    <s v="BR-21946"/>
    <s v="Brian Rodriguez"/>
    <x v="0"/>
    <s v="United States"/>
    <x v="70"/>
    <x v="38"/>
    <x v="1"/>
    <s v="FUR-FU-101341"/>
    <x v="0"/>
    <x v="0"/>
    <s v="Griswold Chairmats for Medium Pile Carpet"/>
    <n v="18.754000000000001"/>
    <n v="3"/>
    <n v="8.1394000000000002"/>
    <x v="5"/>
    <x v="11"/>
  </r>
  <r>
    <x v="1333"/>
    <x v="325"/>
    <x v="879"/>
    <x v="2"/>
    <s v="DM-19939"/>
    <s v="Denise Martinez"/>
    <x v="1"/>
    <s v="United States"/>
    <x v="49"/>
    <x v="36"/>
    <x v="0"/>
    <s v="FUR-CH-100441"/>
    <x v="0"/>
    <x v="1"/>
    <s v="Dalton Folding Chair, 4/Carton"/>
    <n v="630.03510000000006"/>
    <n v="1"/>
    <n v="-124.9405"/>
    <x v="5"/>
    <x v="5"/>
  </r>
  <r>
    <x v="1334"/>
    <x v="756"/>
    <x v="696"/>
    <x v="2"/>
    <s v="CW-14462"/>
    <s v="Carrie Wright"/>
    <x v="1"/>
    <s v="United States"/>
    <x v="102"/>
    <x v="35"/>
    <x v="3"/>
    <s v="FUR-TA-107022"/>
    <x v="0"/>
    <x v="3"/>
    <s v="Alden Rectangular Conference Table"/>
    <n v="4300"/>
    <n v="2"/>
    <n v="-389.29259999999999"/>
    <x v="0"/>
    <x v="6"/>
  </r>
  <r>
    <x v="1335"/>
    <x v="880"/>
    <x v="272"/>
    <x v="2"/>
    <s v="LA-18317"/>
    <s v="Lawrence Adkins"/>
    <x v="1"/>
    <s v="United States"/>
    <x v="72"/>
    <x v="6"/>
    <x v="1"/>
    <s v="FUR-FU-107705"/>
    <x v="0"/>
    <x v="0"/>
    <s v="Hawthorne Desk Accessory Set, Oak"/>
    <n v="35.698900000000002"/>
    <n v="2"/>
    <n v="-15.9649"/>
    <x v="5"/>
    <x v="0"/>
  </r>
  <r>
    <x v="1336"/>
    <x v="881"/>
    <x v="399"/>
    <x v="1"/>
    <s v="DF-19446"/>
    <s v="Donna Frye"/>
    <x v="2"/>
    <s v="United States"/>
    <x v="104"/>
    <x v="26"/>
    <x v="3"/>
    <s v="FUR-CH-102704"/>
    <x v="0"/>
    <x v="1"/>
    <s v="Brookline High-Back Executive Chair, Black Leather"/>
    <n v="68.339799999999997"/>
    <n v="1"/>
    <n v="22.2897"/>
    <x v="0"/>
    <x v="0"/>
  </r>
  <r>
    <x v="1336"/>
    <x v="881"/>
    <x v="399"/>
    <x v="1"/>
    <s v="DF-19446"/>
    <s v="Donna Frye"/>
    <x v="2"/>
    <s v="United States"/>
    <x v="104"/>
    <x v="26"/>
    <x v="3"/>
    <s v="FUR-FU-105733"/>
    <x v="0"/>
    <x v="0"/>
    <s v="Sable Halogen Replacement Bulb, 2-Pack"/>
    <n v="91.138499999999993"/>
    <n v="4"/>
    <n v="-26.024899999999999"/>
    <x v="0"/>
    <x v="0"/>
  </r>
  <r>
    <x v="1337"/>
    <x v="882"/>
    <x v="880"/>
    <x v="2"/>
    <s v="TJ-21062"/>
    <s v="Theodore Jones Jr."/>
    <x v="2"/>
    <s v="United States"/>
    <x v="117"/>
    <x v="44"/>
    <x v="0"/>
    <s v="FUR-CH-109697"/>
    <x v="0"/>
    <x v="1"/>
    <s v="Rowan Mid-Back Tilter Chair"/>
    <n v="300.05770000000001"/>
    <n v="1"/>
    <n v="-5.4848999999999997"/>
    <x v="1"/>
    <x v="9"/>
  </r>
  <r>
    <x v="1338"/>
    <x v="442"/>
    <x v="565"/>
    <x v="2"/>
    <s v="KD-11964"/>
    <s v="Kerry Chavez DDS"/>
    <x v="2"/>
    <s v="United States"/>
    <x v="62"/>
    <x v="25"/>
    <x v="3"/>
    <s v="FUR-FU-106906"/>
    <x v="0"/>
    <x v="0"/>
    <s v="Cobalt LED Magnifier Lamp with Clamp Base"/>
    <n v="31.358499999999999"/>
    <n v="4"/>
    <n v="-1.9216"/>
    <x v="2"/>
    <x v="5"/>
  </r>
  <r>
    <x v="1339"/>
    <x v="137"/>
    <x v="881"/>
    <x v="0"/>
    <s v="TB-15279"/>
    <s v="Tina Ballard"/>
    <x v="2"/>
    <s v="United States"/>
    <x v="104"/>
    <x v="26"/>
    <x v="3"/>
    <s v="FUR-CH-102091"/>
    <x v="0"/>
    <x v="1"/>
    <s v="Vantage Swivel Task Chair, Blue"/>
    <n v="319.77499999999998"/>
    <n v="6"/>
    <n v="28.428799999999999"/>
    <x v="5"/>
    <x v="7"/>
  </r>
  <r>
    <x v="1340"/>
    <x v="810"/>
    <x v="882"/>
    <x v="0"/>
    <s v="MB-17478"/>
    <s v="Martha Bailey"/>
    <x v="0"/>
    <s v="United States"/>
    <x v="37"/>
    <x v="14"/>
    <x v="3"/>
    <s v="FUR-FU-100317"/>
    <x v="0"/>
    <x v="0"/>
    <s v="Nomad Floor Lamp, Telescoping Adjustable"/>
    <n v="83.890500000000003"/>
    <n v="3"/>
    <n v="-21.7379"/>
    <x v="7"/>
    <x v="4"/>
  </r>
  <r>
    <x v="1341"/>
    <x v="215"/>
    <x v="549"/>
    <x v="2"/>
    <s v="AH-17179"/>
    <s v="Ashley Hicks"/>
    <x v="2"/>
    <s v="United States"/>
    <x v="65"/>
    <x v="41"/>
    <x v="3"/>
    <s v="FUR-CH-109246"/>
    <x v="0"/>
    <x v="1"/>
    <s v="Beckett Steno Chair, Gray"/>
    <n v="238.6062"/>
    <n v="3"/>
    <n v="-62.290999999999997"/>
    <x v="0"/>
    <x v="8"/>
  </r>
  <r>
    <x v="1342"/>
    <x v="883"/>
    <x v="566"/>
    <x v="0"/>
    <s v="EC-10711"/>
    <s v="Eric Carney"/>
    <x v="0"/>
    <s v="United States"/>
    <x v="18"/>
    <x v="19"/>
    <x v="2"/>
    <s v="FUR-FU-104558"/>
    <x v="0"/>
    <x v="0"/>
    <s v="Lambert Swing Arm Desk Lamp"/>
    <n v="84.571299999999994"/>
    <n v="8"/>
    <n v="11.0877"/>
    <x v="1"/>
    <x v="4"/>
  </r>
  <r>
    <x v="1343"/>
    <x v="780"/>
    <x v="420"/>
    <x v="1"/>
    <s v="JA-15862"/>
    <s v="Jose Allen"/>
    <x v="2"/>
    <s v="United States"/>
    <x v="0"/>
    <x v="0"/>
    <x v="0"/>
    <s v="FUR-FU-106211"/>
    <x v="0"/>
    <x v="0"/>
    <s v="Aurora Brushed Chrome Wall Clock, 14in"/>
    <n v="6.1104000000000003"/>
    <n v="3"/>
    <n v="-0.91120000000000001"/>
    <x v="0"/>
    <x v="11"/>
  </r>
  <r>
    <x v="1344"/>
    <x v="884"/>
    <x v="723"/>
    <x v="2"/>
    <s v="DR-18270"/>
    <s v="David Robinson"/>
    <x v="2"/>
    <s v="United States"/>
    <x v="17"/>
    <x v="18"/>
    <x v="3"/>
    <s v="FUR-BO-104471"/>
    <x v="0"/>
    <x v="2"/>
    <s v="Camden Modular Bookcase, Custom Colors"/>
    <n v="1693.0273"/>
    <n v="5"/>
    <n v="-551.50379999999996"/>
    <x v="3"/>
    <x v="7"/>
  </r>
  <r>
    <x v="1345"/>
    <x v="742"/>
    <x v="883"/>
    <x v="2"/>
    <s v="MJ-21757"/>
    <s v="Maria Jones"/>
    <x v="1"/>
    <s v="United States"/>
    <x v="35"/>
    <x v="30"/>
    <x v="0"/>
    <s v="FUR-TA-105355"/>
    <x v="0"/>
    <x v="3"/>
    <s v="Wexford Racetrack Conference Table"/>
    <n v="516.77189999999996"/>
    <n v="1"/>
    <n v="-198.87549999999999"/>
    <x v="0"/>
    <x v="11"/>
  </r>
  <r>
    <x v="1346"/>
    <x v="845"/>
    <x v="844"/>
    <x v="2"/>
    <s v="JB-14333"/>
    <s v="Joshua Blair"/>
    <x v="0"/>
    <s v="United States"/>
    <x v="104"/>
    <x v="26"/>
    <x v="3"/>
    <s v="FUR-CH-107657"/>
    <x v="0"/>
    <x v="1"/>
    <s v="Hollis Stacking Chair, Rounded Back"/>
    <n v="476.6302"/>
    <n v="1"/>
    <n v="157.38980000000001"/>
    <x v="3"/>
    <x v="0"/>
  </r>
  <r>
    <x v="1347"/>
    <x v="885"/>
    <x v="787"/>
    <x v="1"/>
    <s v="BR-21946"/>
    <s v="Brian Rodriguez"/>
    <x v="0"/>
    <s v="United States"/>
    <x v="25"/>
    <x v="24"/>
    <x v="1"/>
    <s v="FUR-FU-104558"/>
    <x v="0"/>
    <x v="0"/>
    <s v="Lambert Swing Arm Desk Lamp"/>
    <n v="34.805100000000003"/>
    <n v="4"/>
    <n v="8.6975999999999996"/>
    <x v="7"/>
    <x v="3"/>
  </r>
  <r>
    <x v="1348"/>
    <x v="857"/>
    <x v="866"/>
    <x v="2"/>
    <s v="JD-13878"/>
    <s v="Julie Dominguez"/>
    <x v="2"/>
    <s v="United States"/>
    <x v="30"/>
    <x v="27"/>
    <x v="0"/>
    <s v="FUR-CH-100441"/>
    <x v="0"/>
    <x v="1"/>
    <s v="Dalton Folding Chair, 4/Carton"/>
    <n v="397.27879999999999"/>
    <n v="7"/>
    <n v="-78.569599999999994"/>
    <x v="1"/>
    <x v="0"/>
  </r>
  <r>
    <x v="1349"/>
    <x v="669"/>
    <x v="870"/>
    <x v="2"/>
    <s v="JS-18085"/>
    <s v="Jose Schultz"/>
    <x v="2"/>
    <s v="United States"/>
    <x v="111"/>
    <x v="8"/>
    <x v="1"/>
    <s v="FUR-FU-101341"/>
    <x v="0"/>
    <x v="0"/>
    <s v="Griswold Chairmats for Medium Pile Carpet"/>
    <n v="84.6477"/>
    <n v="3"/>
    <n v="-4.5321999999999996"/>
    <x v="6"/>
    <x v="8"/>
  </r>
  <r>
    <x v="1350"/>
    <x v="497"/>
    <x v="839"/>
    <x v="2"/>
    <s v="BM-13680"/>
    <s v="Brian Martin"/>
    <x v="2"/>
    <s v="United States"/>
    <x v="57"/>
    <x v="0"/>
    <x v="0"/>
    <s v="FUR-BO-108818"/>
    <x v="0"/>
    <x v="2"/>
    <s v="Meridian Glass-Door Bookcase, Espresso Finish"/>
    <n v="218.49379999999999"/>
    <n v="5"/>
    <n v="88.346599999999995"/>
    <x v="2"/>
    <x v="10"/>
  </r>
  <r>
    <x v="1351"/>
    <x v="394"/>
    <x v="59"/>
    <x v="0"/>
    <s v="SB-13006"/>
    <s v="Stephanie Byrd"/>
    <x v="0"/>
    <s v="United States"/>
    <x v="84"/>
    <x v="29"/>
    <x v="0"/>
    <s v="FUR-TA-107564"/>
    <x v="0"/>
    <x v="3"/>
    <s v="Bellwood Slim Training Table, Light Gray"/>
    <n v="697.72569999999996"/>
    <n v="3"/>
    <n v="-5.9720000000000004"/>
    <x v="7"/>
    <x v="9"/>
  </r>
  <r>
    <x v="1352"/>
    <x v="886"/>
    <x v="659"/>
    <x v="1"/>
    <s v="JH-12503"/>
    <s v="Jennifer Hernandez"/>
    <x v="1"/>
    <s v="United States"/>
    <x v="129"/>
    <x v="2"/>
    <x v="0"/>
    <s v="FUR-TA-107449"/>
    <x v="0"/>
    <x v="3"/>
    <s v="Pembroke 36 x 72 Conference Table"/>
    <n v="125.51779999999999"/>
    <n v="4"/>
    <n v="-47.520299999999999"/>
    <x v="1"/>
    <x v="0"/>
  </r>
  <r>
    <x v="1353"/>
    <x v="527"/>
    <x v="884"/>
    <x v="2"/>
    <s v="RH-13752"/>
    <s v="Richard Henson"/>
    <x v="1"/>
    <s v="United States"/>
    <x v="0"/>
    <x v="6"/>
    <x v="1"/>
    <s v="FUR-TA-105529"/>
    <x v="0"/>
    <x v="3"/>
    <s v="Fenwick Compact Office Desk"/>
    <n v="1391.4948999999999"/>
    <n v="2"/>
    <n v="-221.9093"/>
    <x v="4"/>
    <x v="7"/>
  </r>
  <r>
    <x v="1354"/>
    <x v="872"/>
    <x v="476"/>
    <x v="1"/>
    <s v="YC-10117"/>
    <s v="Yvonne Chambers"/>
    <x v="1"/>
    <s v="United States"/>
    <x v="0"/>
    <x v="0"/>
    <x v="0"/>
    <s v="FUR-FU-107705"/>
    <x v="0"/>
    <x v="0"/>
    <s v="Hawthorne Desk Accessory Set, Oak"/>
    <n v="16.968599999999999"/>
    <n v="1"/>
    <n v="0.58479999999999999"/>
    <x v="1"/>
    <x v="4"/>
  </r>
  <r>
    <x v="1355"/>
    <x v="887"/>
    <x v="885"/>
    <x v="0"/>
    <s v="SB-11122"/>
    <s v="Sharon Boyd"/>
    <x v="2"/>
    <s v="United States"/>
    <x v="24"/>
    <x v="23"/>
    <x v="2"/>
    <s v="FUR-FU-100317"/>
    <x v="0"/>
    <x v="0"/>
    <s v="Nomad Floor Lamp, Telescoping Adjustable"/>
    <n v="60.4985"/>
    <n v="3"/>
    <n v="17.9802"/>
    <x v="3"/>
    <x v="6"/>
  </r>
  <r>
    <x v="1356"/>
    <x v="112"/>
    <x v="886"/>
    <x v="2"/>
    <s v="JA-15862"/>
    <s v="Jose Allen"/>
    <x v="2"/>
    <s v="United States"/>
    <x v="90"/>
    <x v="45"/>
    <x v="3"/>
    <s v="FUR-FU-106211"/>
    <x v="0"/>
    <x v="0"/>
    <s v="Aurora Brushed Chrome Wall Clock, 14in"/>
    <n v="30.021899999999999"/>
    <n v="3"/>
    <n v="17.004200000000001"/>
    <x v="2"/>
    <x v="11"/>
  </r>
  <r>
    <x v="1357"/>
    <x v="888"/>
    <x v="887"/>
    <x v="2"/>
    <s v="CS-11638"/>
    <s v="Chad Scott"/>
    <x v="1"/>
    <s v="United States"/>
    <x v="130"/>
    <x v="17"/>
    <x v="3"/>
    <s v="FUR-CH-100441"/>
    <x v="0"/>
    <x v="1"/>
    <s v="Dalton Folding Chair, 4/Carton"/>
    <n v="113.8373"/>
    <n v="5"/>
    <n v="-4.2938000000000001"/>
    <x v="4"/>
    <x v="7"/>
  </r>
  <r>
    <x v="1358"/>
    <x v="889"/>
    <x v="888"/>
    <x v="2"/>
    <s v="BR-11535"/>
    <s v="Brian Ramirez"/>
    <x v="1"/>
    <s v="United States"/>
    <x v="89"/>
    <x v="11"/>
    <x v="2"/>
    <s v="FUR-TA-107564"/>
    <x v="0"/>
    <x v="3"/>
    <s v="Bellwood Slim Training Table, Light Gray"/>
    <n v="292.00970000000001"/>
    <n v="3"/>
    <n v="47.932000000000002"/>
    <x v="1"/>
    <x v="11"/>
  </r>
  <r>
    <x v="1359"/>
    <x v="890"/>
    <x v="889"/>
    <x v="2"/>
    <s v="AH-10936"/>
    <s v="Andrea Hubbard"/>
    <x v="1"/>
    <s v="United States"/>
    <x v="115"/>
    <x v="12"/>
    <x v="2"/>
    <s v="FUR-FU-100853"/>
    <x v="0"/>
    <x v="0"/>
    <s v="Blaine Cubicle Wall Clock, Black"/>
    <n v="38.560699999999997"/>
    <n v="5"/>
    <n v="-0.53720000000000001"/>
    <x v="3"/>
    <x v="8"/>
  </r>
  <r>
    <x v="1360"/>
    <x v="891"/>
    <x v="890"/>
    <x v="3"/>
    <s v="LW-11827"/>
    <s v="Lindsey Walker"/>
    <x v="2"/>
    <s v="United States"/>
    <x v="58"/>
    <x v="32"/>
    <x v="3"/>
    <s v="FUR-CH-109697"/>
    <x v="0"/>
    <x v="1"/>
    <s v="Rowan Mid-Back Tilter Chair"/>
    <n v="128.0813"/>
    <n v="6"/>
    <n v="-30.4162"/>
    <x v="7"/>
    <x v="0"/>
  </r>
  <r>
    <x v="1361"/>
    <x v="892"/>
    <x v="742"/>
    <x v="2"/>
    <s v="VR-14349"/>
    <s v="Vincent Reynolds"/>
    <x v="0"/>
    <s v="United States"/>
    <x v="75"/>
    <x v="39"/>
    <x v="0"/>
    <s v="FUR-CH-106455"/>
    <x v="0"/>
    <x v="1"/>
    <s v="Nolan Leather Highback Chair, Pneumatic Adjustment"/>
    <n v="204.12739999999999"/>
    <n v="3"/>
    <n v="52.755600000000001"/>
    <x v="0"/>
    <x v="9"/>
  </r>
  <r>
    <x v="1362"/>
    <x v="734"/>
    <x v="891"/>
    <x v="1"/>
    <s v="SB-15574"/>
    <s v="Sherri Baker"/>
    <x v="1"/>
    <s v="United States"/>
    <x v="89"/>
    <x v="11"/>
    <x v="2"/>
    <s v="FUR-TA-106211"/>
    <x v="0"/>
    <x v="3"/>
    <s v="Grantham Half-Moon Meeting Table"/>
    <n v="420.88459999999998"/>
    <n v="7"/>
    <n v="-198.12350000000001"/>
    <x v="7"/>
    <x v="3"/>
  </r>
  <r>
    <x v="1362"/>
    <x v="734"/>
    <x v="891"/>
    <x v="1"/>
    <s v="SB-15574"/>
    <s v="Sherri Baker"/>
    <x v="1"/>
    <s v="United States"/>
    <x v="89"/>
    <x v="11"/>
    <x v="2"/>
    <s v="FUR-TA-103467"/>
    <x v="0"/>
    <x v="3"/>
    <s v="Kessler Round Bullnose High Table"/>
    <n v="238.17070000000001"/>
    <n v="2"/>
    <n v="-188.2028"/>
    <x v="7"/>
    <x v="3"/>
  </r>
  <r>
    <x v="1363"/>
    <x v="893"/>
    <x v="454"/>
    <x v="0"/>
    <s v="JB-18928"/>
    <s v="Justin Baker"/>
    <x v="0"/>
    <s v="United States"/>
    <x v="31"/>
    <x v="28"/>
    <x v="2"/>
    <s v="FUR-FU-108837"/>
    <x v="0"/>
    <x v="0"/>
    <s v="Ivanhoe Poster Frame, Aluminum"/>
    <n v="155.99629999999999"/>
    <n v="12"/>
    <n v="36.110199999999999"/>
    <x v="3"/>
    <x v="10"/>
  </r>
  <r>
    <x v="1364"/>
    <x v="464"/>
    <x v="527"/>
    <x v="0"/>
    <s v="RM-11127"/>
    <s v="Robert Montgomery"/>
    <x v="1"/>
    <s v="United States"/>
    <x v="82"/>
    <x v="19"/>
    <x v="2"/>
    <s v="FUR-CH-109697"/>
    <x v="0"/>
    <x v="1"/>
    <s v="Rowan Mid-Back Tilter Chair"/>
    <n v="896.11389999999994"/>
    <n v="2"/>
    <n v="3.8010000000000002"/>
    <x v="0"/>
    <x v="11"/>
  </r>
  <r>
    <x v="1364"/>
    <x v="464"/>
    <x v="527"/>
    <x v="0"/>
    <s v="RM-11127"/>
    <s v="Robert Montgomery"/>
    <x v="1"/>
    <s v="United States"/>
    <x v="82"/>
    <x v="19"/>
    <x v="2"/>
    <s v="FUR-FU-108837"/>
    <x v="0"/>
    <x v="0"/>
    <s v="Ivanhoe Poster Frame, Aluminum"/>
    <n v="119.7012"/>
    <n v="1"/>
    <n v="44.0762"/>
    <x v="0"/>
    <x v="11"/>
  </r>
  <r>
    <x v="1365"/>
    <x v="894"/>
    <x v="554"/>
    <x v="0"/>
    <s v="AL-19569"/>
    <s v="Alicia Li"/>
    <x v="1"/>
    <s v="United States"/>
    <x v="36"/>
    <x v="31"/>
    <x v="2"/>
    <s v="FUR-FU-106211"/>
    <x v="0"/>
    <x v="0"/>
    <s v="Aurora Brushed Chrome Wall Clock, 14in"/>
    <n v="113.2409"/>
    <n v="10"/>
    <n v="63.887300000000003"/>
    <x v="0"/>
    <x v="1"/>
  </r>
  <r>
    <x v="1366"/>
    <x v="641"/>
    <x v="458"/>
    <x v="2"/>
    <s v="HL-18900"/>
    <s v="Hannah Luna"/>
    <x v="2"/>
    <s v="United States"/>
    <x v="40"/>
    <x v="15"/>
    <x v="1"/>
    <s v="FUR-CH-109697"/>
    <x v="0"/>
    <x v="1"/>
    <s v="Rowan Mid-Back Tilter Chair"/>
    <n v="304.76"/>
    <n v="2"/>
    <n v="40.425800000000002"/>
    <x v="7"/>
    <x v="10"/>
  </r>
  <r>
    <x v="1367"/>
    <x v="832"/>
    <x v="892"/>
    <x v="2"/>
    <s v="MF-20177"/>
    <s v="Mr. Andrew Foster"/>
    <x v="2"/>
    <s v="United States"/>
    <x v="97"/>
    <x v="47"/>
    <x v="0"/>
    <s v="FUR-CH-109246"/>
    <x v="0"/>
    <x v="1"/>
    <s v="Beckett Steno Chair, Gray"/>
    <n v="837.62180000000001"/>
    <n v="5"/>
    <n v="174.7199"/>
    <x v="2"/>
    <x v="2"/>
  </r>
  <r>
    <x v="1368"/>
    <x v="518"/>
    <x v="576"/>
    <x v="0"/>
    <s v="AG-16991"/>
    <s v="Amy Gordon"/>
    <x v="2"/>
    <s v="United States"/>
    <x v="83"/>
    <x v="27"/>
    <x v="0"/>
    <s v="FUR-FU-104133"/>
    <x v="0"/>
    <x v="0"/>
    <s v="Preston Wood Photo Frame, Mahogany"/>
    <n v="22.007200000000001"/>
    <n v="1"/>
    <n v="-2.9599000000000002"/>
    <x v="1"/>
    <x v="0"/>
  </r>
  <r>
    <x v="1369"/>
    <x v="515"/>
    <x v="893"/>
    <x v="2"/>
    <s v="JP-11113"/>
    <s v="James Parks"/>
    <x v="2"/>
    <s v="United States"/>
    <x v="3"/>
    <x v="3"/>
    <x v="1"/>
    <s v="FUR-FU-106906"/>
    <x v="0"/>
    <x v="0"/>
    <s v="Cobalt LED Magnifier Lamp with Clamp Base"/>
    <n v="84.563000000000002"/>
    <n v="1"/>
    <n v="-20.177399999999999"/>
    <x v="4"/>
    <x v="5"/>
  </r>
  <r>
    <x v="1370"/>
    <x v="895"/>
    <x v="149"/>
    <x v="1"/>
    <s v="DM-18201"/>
    <s v="Darlene Miller"/>
    <x v="0"/>
    <s v="United States"/>
    <x v="85"/>
    <x v="44"/>
    <x v="0"/>
    <s v="FUR-FU-103673"/>
    <x v="0"/>
    <x v="0"/>
    <s v="Corcoran Document Holder, Wood"/>
    <n v="374.43920000000003"/>
    <n v="2"/>
    <n v="120.9605"/>
    <x v="7"/>
    <x v="2"/>
  </r>
  <r>
    <x v="1371"/>
    <x v="424"/>
    <x v="424"/>
    <x v="2"/>
    <s v="MB-11982"/>
    <s v="Michael Bradshaw"/>
    <x v="0"/>
    <s v="United States"/>
    <x v="102"/>
    <x v="35"/>
    <x v="3"/>
    <s v="FUR-TA-100823"/>
    <x v="0"/>
    <x v="3"/>
    <s v="Redstone Wood Tables, Set of 2"/>
    <n v="1300.6773000000001"/>
    <n v="4"/>
    <n v="139.40989999999999"/>
    <x v="7"/>
    <x v="7"/>
  </r>
  <r>
    <x v="1371"/>
    <x v="424"/>
    <x v="424"/>
    <x v="2"/>
    <s v="MB-11982"/>
    <s v="Michael Bradshaw"/>
    <x v="0"/>
    <s v="United States"/>
    <x v="102"/>
    <x v="35"/>
    <x v="3"/>
    <s v="FUR-FU-100853"/>
    <x v="0"/>
    <x v="0"/>
    <s v="Blaine Cubicle Wall Clock, Black"/>
    <n v="24.170500000000001"/>
    <n v="6"/>
    <n v="-8.0210000000000008"/>
    <x v="7"/>
    <x v="7"/>
  </r>
  <r>
    <x v="1371"/>
    <x v="424"/>
    <x v="424"/>
    <x v="2"/>
    <s v="MB-11982"/>
    <s v="Michael Bradshaw"/>
    <x v="0"/>
    <s v="United States"/>
    <x v="102"/>
    <x v="35"/>
    <x v="3"/>
    <s v="FUR-CH-109246"/>
    <x v="0"/>
    <x v="1"/>
    <s v="Beckett Steno Chair, Gray"/>
    <n v="193.4007"/>
    <n v="3"/>
    <n v="46.474400000000003"/>
    <x v="7"/>
    <x v="7"/>
  </r>
  <r>
    <x v="1372"/>
    <x v="779"/>
    <x v="133"/>
    <x v="2"/>
    <s v="JH-16381"/>
    <s v="Joseph Hill"/>
    <x v="2"/>
    <s v="United States"/>
    <x v="105"/>
    <x v="10"/>
    <x v="1"/>
    <s v="FUR-FU-105733"/>
    <x v="0"/>
    <x v="0"/>
    <s v="Sable Halogen Replacement Bulb, 2-Pack"/>
    <n v="860.45540000000005"/>
    <n v="3"/>
    <n v="561.1277"/>
    <x v="0"/>
    <x v="11"/>
  </r>
  <r>
    <x v="1372"/>
    <x v="779"/>
    <x v="133"/>
    <x v="2"/>
    <s v="JH-16381"/>
    <s v="Joseph Hill"/>
    <x v="2"/>
    <s v="United States"/>
    <x v="105"/>
    <x v="10"/>
    <x v="1"/>
    <s v="FUR-BO-108818"/>
    <x v="0"/>
    <x v="2"/>
    <s v="Meridian Glass-Door Bookcase, Espresso Finish"/>
    <n v="221.93180000000001"/>
    <n v="3"/>
    <n v="56.940600000000003"/>
    <x v="0"/>
    <x v="11"/>
  </r>
  <r>
    <x v="1373"/>
    <x v="896"/>
    <x v="894"/>
    <x v="2"/>
    <s v="JW-21830"/>
    <s v="Joel Williams"/>
    <x v="2"/>
    <s v="United States"/>
    <x v="124"/>
    <x v="4"/>
    <x v="1"/>
    <s v="FUR-CH-100441"/>
    <x v="0"/>
    <x v="1"/>
    <s v="Dalton Folding Chair, 4/Carton"/>
    <n v="83.9679"/>
    <n v="3"/>
    <n v="33.263599999999997"/>
    <x v="7"/>
    <x v="10"/>
  </r>
  <r>
    <x v="1374"/>
    <x v="869"/>
    <x v="314"/>
    <x v="2"/>
    <s v="LS-10998"/>
    <s v="Linda Smith"/>
    <x v="2"/>
    <s v="United States"/>
    <x v="38"/>
    <x v="32"/>
    <x v="3"/>
    <s v="FUR-CH-107657"/>
    <x v="0"/>
    <x v="1"/>
    <s v="Hollis Stacking Chair, Rounded Back"/>
    <n v="376.40379999999999"/>
    <n v="2"/>
    <n v="-15.153600000000001"/>
    <x v="5"/>
    <x v="10"/>
  </r>
  <r>
    <x v="1375"/>
    <x v="57"/>
    <x v="490"/>
    <x v="2"/>
    <s v="BW-17144"/>
    <s v="Bianca Wood"/>
    <x v="2"/>
    <s v="United States"/>
    <x v="56"/>
    <x v="7"/>
    <x v="2"/>
    <s v="FUR-CH-100444"/>
    <x v="0"/>
    <x v="1"/>
    <s v="Harborview Mesh Task Chair, Adjustable Arms"/>
    <n v="439.80709999999999"/>
    <n v="4"/>
    <n v="-42.855499999999999"/>
    <x v="3"/>
    <x v="8"/>
  </r>
  <r>
    <x v="1375"/>
    <x v="57"/>
    <x v="490"/>
    <x v="2"/>
    <s v="BW-17144"/>
    <s v="Bianca Wood"/>
    <x v="2"/>
    <s v="United States"/>
    <x v="56"/>
    <x v="7"/>
    <x v="2"/>
    <s v="FUR-FU-101341"/>
    <x v="0"/>
    <x v="0"/>
    <s v="Griswold Chairmats for Medium Pile Carpet"/>
    <n v="285.35230000000001"/>
    <n v="6"/>
    <n v="81.934200000000004"/>
    <x v="3"/>
    <x v="8"/>
  </r>
  <r>
    <x v="1375"/>
    <x v="57"/>
    <x v="490"/>
    <x v="2"/>
    <s v="BW-17144"/>
    <s v="Bianca Wood"/>
    <x v="2"/>
    <s v="United States"/>
    <x v="56"/>
    <x v="7"/>
    <x v="2"/>
    <s v="FUR-FU-104558"/>
    <x v="0"/>
    <x v="0"/>
    <s v="Lambert Swing Arm Desk Lamp"/>
    <n v="95.770600000000002"/>
    <n v="5"/>
    <n v="-15.5448"/>
    <x v="3"/>
    <x v="8"/>
  </r>
  <r>
    <x v="1376"/>
    <x v="230"/>
    <x v="419"/>
    <x v="2"/>
    <s v="TS-12504"/>
    <s v="Tina Sanders"/>
    <x v="2"/>
    <s v="United States"/>
    <x v="39"/>
    <x v="33"/>
    <x v="3"/>
    <s v="FUR-FU-108837"/>
    <x v="0"/>
    <x v="0"/>
    <s v="Ivanhoe Poster Frame, Aluminum"/>
    <n v="29.463799999999999"/>
    <n v="2"/>
    <n v="-24.582899999999999"/>
    <x v="7"/>
    <x v="1"/>
  </r>
  <r>
    <x v="1377"/>
    <x v="304"/>
    <x v="304"/>
    <x v="1"/>
    <s v="SA-21734"/>
    <s v="Sabrina Austin"/>
    <x v="2"/>
    <s v="United States"/>
    <x v="111"/>
    <x v="8"/>
    <x v="1"/>
    <s v="FUR-FU-100317"/>
    <x v="0"/>
    <x v="0"/>
    <s v="Nomad Floor Lamp, Telescoping Adjustable"/>
    <n v="194.9862"/>
    <n v="1"/>
    <n v="119.3223"/>
    <x v="0"/>
    <x v="7"/>
  </r>
  <r>
    <x v="1378"/>
    <x v="897"/>
    <x v="895"/>
    <x v="2"/>
    <s v="JB-18883"/>
    <s v="Jordan Bates"/>
    <x v="0"/>
    <s v="United States"/>
    <x v="43"/>
    <x v="7"/>
    <x v="2"/>
    <s v="FUR-CH-101375"/>
    <x v="0"/>
    <x v="1"/>
    <s v="Sutton Push-Button Manager's Chair, Indigo"/>
    <n v="516.68280000000004"/>
    <n v="4"/>
    <n v="-111.851"/>
    <x v="3"/>
    <x v="8"/>
  </r>
  <r>
    <x v="1378"/>
    <x v="897"/>
    <x v="895"/>
    <x v="2"/>
    <s v="JB-18883"/>
    <s v="Jordan Bates"/>
    <x v="0"/>
    <s v="United States"/>
    <x v="43"/>
    <x v="7"/>
    <x v="2"/>
    <s v="FUR-CH-108751"/>
    <x v="0"/>
    <x v="1"/>
    <s v="Prescott Ergonomic Chair with Lumbar Support"/>
    <n v="365.47140000000002"/>
    <n v="2"/>
    <n v="94.150800000000004"/>
    <x v="3"/>
    <x v="8"/>
  </r>
  <r>
    <x v="1379"/>
    <x v="898"/>
    <x v="369"/>
    <x v="0"/>
    <s v="RM-21792"/>
    <s v="Robert Morgan"/>
    <x v="1"/>
    <s v="United States"/>
    <x v="23"/>
    <x v="5"/>
    <x v="2"/>
    <s v="FUR-TA-100823"/>
    <x v="0"/>
    <x v="3"/>
    <s v="Redstone Wood Tables, Set of 2"/>
    <n v="431.51690000000002"/>
    <n v="6"/>
    <n v="141.57859999999999"/>
    <x v="3"/>
    <x v="11"/>
  </r>
  <r>
    <x v="1380"/>
    <x v="899"/>
    <x v="436"/>
    <x v="2"/>
    <s v="ZF-21199"/>
    <s v="Zachary Ferrell"/>
    <x v="0"/>
    <s v="United States"/>
    <x v="5"/>
    <x v="5"/>
    <x v="2"/>
    <s v="FUR-BO-103613"/>
    <x v="0"/>
    <x v="2"/>
    <s v="Winslow Corner Bookcase, White"/>
    <n v="499.22"/>
    <n v="7"/>
    <n v="-69.041899999999998"/>
    <x v="7"/>
    <x v="9"/>
  </r>
  <r>
    <x v="1380"/>
    <x v="899"/>
    <x v="436"/>
    <x v="2"/>
    <s v="ZF-21199"/>
    <s v="Zachary Ferrell"/>
    <x v="0"/>
    <s v="United States"/>
    <x v="5"/>
    <x v="5"/>
    <x v="2"/>
    <s v="FUR-CH-107657"/>
    <x v="0"/>
    <x v="1"/>
    <s v="Hollis Stacking Chair, Rounded Back"/>
    <n v="363.33460000000002"/>
    <n v="5"/>
    <n v="86.561499999999995"/>
    <x v="7"/>
    <x v="9"/>
  </r>
  <r>
    <x v="1381"/>
    <x v="900"/>
    <x v="230"/>
    <x v="1"/>
    <s v="AS-17428"/>
    <s v="Amy Silva"/>
    <x v="0"/>
    <s v="United States"/>
    <x v="30"/>
    <x v="27"/>
    <x v="0"/>
    <s v="FUR-BO-107999"/>
    <x v="0"/>
    <x v="2"/>
    <s v="Braxton Barrister Bookcase, Mahogany"/>
    <n v="517.26199999999994"/>
    <n v="1"/>
    <n v="20.958200000000001"/>
    <x v="0"/>
    <x v="6"/>
  </r>
  <r>
    <x v="1382"/>
    <x v="901"/>
    <x v="894"/>
    <x v="2"/>
    <s v="AG-14173"/>
    <s v="Anthony Gonzales"/>
    <x v="2"/>
    <s v="United States"/>
    <x v="44"/>
    <x v="19"/>
    <x v="2"/>
    <s v="FUR-CH-109697"/>
    <x v="0"/>
    <x v="1"/>
    <s v="Rowan Mid-Back Tilter Chair"/>
    <n v="2300.0663"/>
    <n v="2"/>
    <n v="-671.58900000000006"/>
    <x v="0"/>
    <x v="10"/>
  </r>
  <r>
    <x v="1383"/>
    <x v="695"/>
    <x v="119"/>
    <x v="3"/>
    <s v="DC-16054"/>
    <s v="Dana Chapman"/>
    <x v="1"/>
    <s v="United States"/>
    <x v="122"/>
    <x v="43"/>
    <x v="2"/>
    <s v="FUR-FU-100317"/>
    <x v="0"/>
    <x v="0"/>
    <s v="Nomad Floor Lamp, Telescoping Adjustable"/>
    <n v="66.501300000000001"/>
    <n v="1"/>
    <n v="-9.8003"/>
    <x v="7"/>
    <x v="2"/>
  </r>
  <r>
    <x v="1384"/>
    <x v="151"/>
    <x v="896"/>
    <x v="2"/>
    <s v="AO-10828"/>
    <s v="Amber Obrien"/>
    <x v="1"/>
    <s v="United States"/>
    <x v="60"/>
    <x v="40"/>
    <x v="0"/>
    <s v="FUR-CH-106624"/>
    <x v="0"/>
    <x v="1"/>
    <s v="Adler Fabric Manager's Chair, Slate Gray"/>
    <n v="289.61110000000002"/>
    <n v="4"/>
    <n v="105.36879999999999"/>
    <x v="1"/>
    <x v="3"/>
  </r>
  <r>
    <x v="1384"/>
    <x v="151"/>
    <x v="896"/>
    <x v="2"/>
    <s v="AO-10828"/>
    <s v="Amber Obrien"/>
    <x v="1"/>
    <s v="United States"/>
    <x v="60"/>
    <x v="40"/>
    <x v="0"/>
    <s v="FUR-TA-107564"/>
    <x v="0"/>
    <x v="3"/>
    <s v="Bellwood Slim Training Table, Light Gray"/>
    <n v="47.825699999999998"/>
    <n v="3"/>
    <n v="21.009599999999999"/>
    <x v="1"/>
    <x v="3"/>
  </r>
  <r>
    <x v="1385"/>
    <x v="902"/>
    <x v="114"/>
    <x v="0"/>
    <s v="RP-11489"/>
    <s v="Robert Potter"/>
    <x v="2"/>
    <s v="United States"/>
    <x v="13"/>
    <x v="14"/>
    <x v="3"/>
    <s v="FUR-FU-106211"/>
    <x v="0"/>
    <x v="0"/>
    <s v="Aurora Brushed Chrome Wall Clock, 14in"/>
    <n v="19.728100000000001"/>
    <n v="4"/>
    <n v="-9.2382000000000009"/>
    <x v="7"/>
    <x v="2"/>
  </r>
  <r>
    <x v="1386"/>
    <x v="903"/>
    <x v="129"/>
    <x v="2"/>
    <s v="DJ-14010"/>
    <s v="Denise Jacobs"/>
    <x v="1"/>
    <s v="United States"/>
    <x v="31"/>
    <x v="28"/>
    <x v="2"/>
    <s v="FUR-TA-105363"/>
    <x v="0"/>
    <x v="3"/>
    <s v="Ashcombe Rectangular Table Top"/>
    <n v="173.88730000000001"/>
    <n v="4"/>
    <n v="76.721599999999995"/>
    <x v="6"/>
    <x v="5"/>
  </r>
  <r>
    <x v="1387"/>
    <x v="756"/>
    <x v="106"/>
    <x v="2"/>
    <s v="JW-16275"/>
    <s v="Justin Walker"/>
    <x v="2"/>
    <s v="United States"/>
    <x v="94"/>
    <x v="30"/>
    <x v="0"/>
    <s v="FUR-CH-100444"/>
    <x v="0"/>
    <x v="1"/>
    <s v="Harborview Mesh Task Chair, Adjustable Arms"/>
    <n v="240.8279"/>
    <n v="2"/>
    <n v="53.429299999999998"/>
    <x v="3"/>
    <x v="6"/>
  </r>
  <r>
    <x v="1388"/>
    <x v="904"/>
    <x v="897"/>
    <x v="0"/>
    <s v="DA-11796"/>
    <s v="David Alvarez"/>
    <x v="2"/>
    <s v="United States"/>
    <x v="58"/>
    <x v="32"/>
    <x v="3"/>
    <s v="FUR-FU-101124"/>
    <x v="0"/>
    <x v="0"/>
    <s v="Rutledge Desk Organizer Tray, Letter Size"/>
    <n v="2.7183000000000002"/>
    <n v="4"/>
    <n v="-0.42549999999999999"/>
    <x v="3"/>
    <x v="9"/>
  </r>
  <r>
    <x v="1389"/>
    <x v="905"/>
    <x v="262"/>
    <x v="2"/>
    <s v="TH-14451"/>
    <s v="Timothy Hayden"/>
    <x v="1"/>
    <s v="United States"/>
    <x v="100"/>
    <x v="45"/>
    <x v="3"/>
    <s v="FUR-FU-103673"/>
    <x v="0"/>
    <x v="0"/>
    <s v="Corcoran Document Holder, Wood"/>
    <n v="48.791200000000003"/>
    <n v="5"/>
    <n v="-17.957699999999999"/>
    <x v="1"/>
    <x v="3"/>
  </r>
  <r>
    <x v="1390"/>
    <x v="384"/>
    <x v="898"/>
    <x v="0"/>
    <s v="JC-11139"/>
    <s v="Jessica Callahan"/>
    <x v="2"/>
    <s v="United States"/>
    <x v="93"/>
    <x v="9"/>
    <x v="0"/>
    <s v="FUR-FU-106906"/>
    <x v="0"/>
    <x v="0"/>
    <s v="Cobalt LED Magnifier Lamp with Clamp Base"/>
    <n v="21.856999999999999"/>
    <n v="4"/>
    <n v="9.1233000000000004"/>
    <x v="0"/>
    <x v="0"/>
  </r>
  <r>
    <x v="1390"/>
    <x v="384"/>
    <x v="898"/>
    <x v="0"/>
    <s v="JC-11139"/>
    <s v="Jessica Callahan"/>
    <x v="2"/>
    <s v="United States"/>
    <x v="93"/>
    <x v="9"/>
    <x v="0"/>
    <s v="FUR-FU-106211"/>
    <x v="0"/>
    <x v="0"/>
    <s v="Aurora Brushed Chrome Wall Clock, 14in"/>
    <n v="111.2496"/>
    <n v="5"/>
    <n v="70.7119"/>
    <x v="0"/>
    <x v="0"/>
  </r>
  <r>
    <x v="1391"/>
    <x v="743"/>
    <x v="340"/>
    <x v="1"/>
    <s v="ME-14889"/>
    <s v="Michael Elliott"/>
    <x v="2"/>
    <s v="United States"/>
    <x v="107"/>
    <x v="40"/>
    <x v="0"/>
    <s v="FUR-FU-103673"/>
    <x v="0"/>
    <x v="0"/>
    <s v="Corcoran Document Holder, Wood"/>
    <n v="121.5754"/>
    <n v="3"/>
    <n v="-64.081900000000005"/>
    <x v="7"/>
    <x v="11"/>
  </r>
  <r>
    <x v="1392"/>
    <x v="906"/>
    <x v="899"/>
    <x v="2"/>
    <s v="KC-17305"/>
    <s v="Kyle Chambers"/>
    <x v="2"/>
    <s v="United States"/>
    <x v="7"/>
    <x v="9"/>
    <x v="0"/>
    <s v="FUR-CH-109246"/>
    <x v="0"/>
    <x v="1"/>
    <s v="Beckett Steno Chair, Gray"/>
    <n v="1839.3843999999999"/>
    <n v="3"/>
    <n v="-656.78099999999995"/>
    <x v="4"/>
    <x v="6"/>
  </r>
  <r>
    <x v="1393"/>
    <x v="907"/>
    <x v="900"/>
    <x v="2"/>
    <s v="TJ-13111"/>
    <s v="Trevor Johnson"/>
    <x v="1"/>
    <s v="United States"/>
    <x v="45"/>
    <x v="34"/>
    <x v="1"/>
    <s v="FUR-FU-104133"/>
    <x v="0"/>
    <x v="0"/>
    <s v="Preston Wood Photo Frame, Mahogany"/>
    <n v="78.000600000000006"/>
    <n v="3"/>
    <n v="-14.435600000000001"/>
    <x v="6"/>
    <x v="7"/>
  </r>
  <r>
    <x v="1394"/>
    <x v="908"/>
    <x v="587"/>
    <x v="2"/>
    <s v="LH-17260"/>
    <s v="Laura Haney"/>
    <x v="2"/>
    <s v="United States"/>
    <x v="29"/>
    <x v="13"/>
    <x v="3"/>
    <s v="FUR-FU-108837"/>
    <x v="0"/>
    <x v="0"/>
    <s v="Ivanhoe Poster Frame, Aluminum"/>
    <n v="44.5398"/>
    <n v="7"/>
    <n v="11.812099999999999"/>
    <x v="3"/>
    <x v="4"/>
  </r>
  <r>
    <x v="1395"/>
    <x v="246"/>
    <x v="436"/>
    <x v="2"/>
    <s v="LM-18837"/>
    <s v="Lindsay Martinez"/>
    <x v="0"/>
    <s v="United States"/>
    <x v="66"/>
    <x v="23"/>
    <x v="2"/>
    <s v="FUR-BO-109883"/>
    <x v="0"/>
    <x v="2"/>
    <s v="Ashford Mobile 4-Shelf Bookcase"/>
    <n v="67.230699999999999"/>
    <n v="4"/>
    <n v="-17.208400000000001"/>
    <x v="6"/>
    <x v="9"/>
  </r>
  <r>
    <x v="1396"/>
    <x v="909"/>
    <x v="698"/>
    <x v="0"/>
    <s v="DD-18518"/>
    <s v="David Davis"/>
    <x v="0"/>
    <s v="United States"/>
    <x v="47"/>
    <x v="25"/>
    <x v="3"/>
    <s v="FUR-FU-100853"/>
    <x v="0"/>
    <x v="0"/>
    <s v="Blaine Cubicle Wall Clock, Black"/>
    <n v="35.352600000000002"/>
    <n v="3"/>
    <n v="1.4238999999999999"/>
    <x v="1"/>
    <x v="10"/>
  </r>
  <r>
    <x v="1397"/>
    <x v="402"/>
    <x v="615"/>
    <x v="2"/>
    <s v="DJ-19064"/>
    <s v="Denise Jones"/>
    <x v="2"/>
    <s v="United States"/>
    <x v="37"/>
    <x v="14"/>
    <x v="3"/>
    <s v="FUR-CH-105507"/>
    <x v="0"/>
    <x v="1"/>
    <s v="Kingsley Mesh-Back Task Chair"/>
    <n v="263.86750000000001"/>
    <n v="3"/>
    <n v="-91.1661"/>
    <x v="7"/>
    <x v="8"/>
  </r>
  <r>
    <x v="1398"/>
    <x v="910"/>
    <x v="901"/>
    <x v="2"/>
    <s v="LP-21409"/>
    <s v="Lisa Perry"/>
    <x v="0"/>
    <s v="United States"/>
    <x v="44"/>
    <x v="19"/>
    <x v="2"/>
    <s v="FUR-CH-101375"/>
    <x v="0"/>
    <x v="1"/>
    <s v="Sutton Push-Button Manager's Chair, Indigo"/>
    <n v="223.61349999999999"/>
    <n v="4"/>
    <n v="-50.501199999999997"/>
    <x v="6"/>
    <x v="9"/>
  </r>
  <r>
    <x v="1399"/>
    <x v="113"/>
    <x v="902"/>
    <x v="1"/>
    <s v="JH-12503"/>
    <s v="Jennifer Hernandez"/>
    <x v="1"/>
    <s v="United States"/>
    <x v="93"/>
    <x v="9"/>
    <x v="0"/>
    <s v="FUR-CH-102091"/>
    <x v="0"/>
    <x v="1"/>
    <s v="Vantage Swivel Task Chair, Blue"/>
    <n v="593.03989999999999"/>
    <n v="2"/>
    <n v="153.5455"/>
    <x v="7"/>
    <x v="2"/>
  </r>
  <r>
    <x v="1400"/>
    <x v="453"/>
    <x v="903"/>
    <x v="2"/>
    <s v="WD-14050"/>
    <s v="William David DDS"/>
    <x v="2"/>
    <s v="United States"/>
    <x v="3"/>
    <x v="3"/>
    <x v="1"/>
    <s v="FUR-FU-105733"/>
    <x v="0"/>
    <x v="0"/>
    <s v="Sable Halogen Replacement Bulb, 2-Pack"/>
    <n v="172.57320000000001"/>
    <n v="4"/>
    <n v="-10.964399999999999"/>
    <x v="1"/>
    <x v="6"/>
  </r>
  <r>
    <x v="1400"/>
    <x v="453"/>
    <x v="903"/>
    <x v="2"/>
    <s v="WD-14050"/>
    <s v="William David DDS"/>
    <x v="2"/>
    <s v="United States"/>
    <x v="3"/>
    <x v="3"/>
    <x v="1"/>
    <s v="FUR-FU-104558"/>
    <x v="0"/>
    <x v="0"/>
    <s v="Lambert Swing Arm Desk Lamp"/>
    <n v="12.837400000000001"/>
    <n v="7"/>
    <n v="2.7134999999999998"/>
    <x v="1"/>
    <x v="6"/>
  </r>
  <r>
    <x v="1400"/>
    <x v="453"/>
    <x v="903"/>
    <x v="2"/>
    <s v="WD-14050"/>
    <s v="William David DDS"/>
    <x v="2"/>
    <s v="United States"/>
    <x v="3"/>
    <x v="3"/>
    <x v="1"/>
    <s v="FUR-BO-108947"/>
    <x v="0"/>
    <x v="2"/>
    <s v="Concord Ladder Bookcase, Walnut"/>
    <n v="287.12049999999999"/>
    <n v="3"/>
    <n v="35.9191"/>
    <x v="1"/>
    <x v="6"/>
  </r>
  <r>
    <x v="1401"/>
    <x v="911"/>
    <x v="904"/>
    <x v="2"/>
    <s v="CG-20145"/>
    <s v="Casey Gillespie"/>
    <x v="1"/>
    <s v="United States"/>
    <x v="65"/>
    <x v="41"/>
    <x v="3"/>
    <s v="FUR-FU-104133"/>
    <x v="0"/>
    <x v="0"/>
    <s v="Preston Wood Photo Frame, Mahogany"/>
    <n v="135.2801"/>
    <n v="1"/>
    <n v="1.0599000000000001"/>
    <x v="3"/>
    <x v="0"/>
  </r>
  <r>
    <x v="1402"/>
    <x v="229"/>
    <x v="905"/>
    <x v="0"/>
    <s v="CL-13657"/>
    <s v="Connie Lawrence"/>
    <x v="1"/>
    <s v="United States"/>
    <x v="42"/>
    <x v="11"/>
    <x v="2"/>
    <s v="FUR-FU-106906"/>
    <x v="0"/>
    <x v="0"/>
    <s v="Cobalt LED Magnifier Lamp with Clamp Base"/>
    <n v="7.7278000000000002"/>
    <n v="3"/>
    <n v="0.87970000000000004"/>
    <x v="5"/>
    <x v="6"/>
  </r>
  <r>
    <x v="1403"/>
    <x v="912"/>
    <x v="906"/>
    <x v="2"/>
    <s v="JM-15198"/>
    <s v="Jennifer Miranda"/>
    <x v="2"/>
    <s v="United States"/>
    <x v="129"/>
    <x v="2"/>
    <x v="0"/>
    <s v="FUR-FU-106906"/>
    <x v="0"/>
    <x v="0"/>
    <s v="Cobalt LED Magnifier Lamp with Clamp Base"/>
    <n v="67.984200000000001"/>
    <n v="2"/>
    <n v="12.585900000000001"/>
    <x v="6"/>
    <x v="1"/>
  </r>
  <r>
    <x v="1404"/>
    <x v="707"/>
    <x v="462"/>
    <x v="2"/>
    <s v="CH-21769"/>
    <s v="Casey Hernandez"/>
    <x v="1"/>
    <s v="United States"/>
    <x v="119"/>
    <x v="41"/>
    <x v="3"/>
    <s v="FUR-CH-106624"/>
    <x v="0"/>
    <x v="1"/>
    <s v="Adler Fabric Manager's Chair, Slate Gray"/>
    <n v="344.38029999999998"/>
    <n v="3"/>
    <n v="56.627099999999999"/>
    <x v="0"/>
    <x v="6"/>
  </r>
  <r>
    <x v="1405"/>
    <x v="481"/>
    <x v="318"/>
    <x v="1"/>
    <s v="BT-12426"/>
    <s v="Brenda Thornton"/>
    <x v="2"/>
    <s v="United States"/>
    <x v="14"/>
    <x v="15"/>
    <x v="1"/>
    <s v="FUR-CH-109246"/>
    <x v="0"/>
    <x v="1"/>
    <s v="Beckett Steno Chair, Gray"/>
    <n v="379.90980000000002"/>
    <n v="2"/>
    <n v="79.682199999999995"/>
    <x v="0"/>
    <x v="9"/>
  </r>
  <r>
    <x v="1405"/>
    <x v="481"/>
    <x v="318"/>
    <x v="1"/>
    <s v="BT-12426"/>
    <s v="Brenda Thornton"/>
    <x v="2"/>
    <s v="United States"/>
    <x v="14"/>
    <x v="15"/>
    <x v="1"/>
    <s v="FUR-FU-104133"/>
    <x v="0"/>
    <x v="0"/>
    <s v="Preston Wood Photo Frame, Mahogany"/>
    <n v="30.3475"/>
    <n v="3"/>
    <n v="-5.8101000000000003"/>
    <x v="0"/>
    <x v="9"/>
  </r>
  <r>
    <x v="1406"/>
    <x v="913"/>
    <x v="733"/>
    <x v="2"/>
    <s v="TB-15279"/>
    <s v="Tina Ballard"/>
    <x v="2"/>
    <s v="United States"/>
    <x v="5"/>
    <x v="5"/>
    <x v="2"/>
    <s v="FUR-FU-101341"/>
    <x v="0"/>
    <x v="0"/>
    <s v="Griswold Chairmats for Medium Pile Carpet"/>
    <n v="53.047899999999998"/>
    <n v="3"/>
    <n v="-4.0777000000000001"/>
    <x v="1"/>
    <x v="1"/>
  </r>
  <r>
    <x v="1407"/>
    <x v="227"/>
    <x v="907"/>
    <x v="2"/>
    <s v="DF-10188"/>
    <s v="Devon Flores"/>
    <x v="1"/>
    <s v="United States"/>
    <x v="52"/>
    <x v="38"/>
    <x v="1"/>
    <s v="FUR-FU-103673"/>
    <x v="0"/>
    <x v="0"/>
    <s v="Corcoran Document Holder, Wood"/>
    <n v="7.3312999999999997"/>
    <n v="2"/>
    <n v="-1.0844"/>
    <x v="7"/>
    <x v="2"/>
  </r>
  <r>
    <x v="1408"/>
    <x v="695"/>
    <x v="694"/>
    <x v="2"/>
    <s v="TW-13044"/>
    <s v="Theresa Williams"/>
    <x v="0"/>
    <s v="United States"/>
    <x v="118"/>
    <x v="38"/>
    <x v="1"/>
    <s v="FUR-FU-105733"/>
    <x v="0"/>
    <x v="0"/>
    <s v="Sable Halogen Replacement Bulb, 2-Pack"/>
    <n v="87.851799999999997"/>
    <n v="2"/>
    <n v="32.889400000000002"/>
    <x v="2"/>
    <x v="2"/>
  </r>
  <r>
    <x v="1409"/>
    <x v="914"/>
    <x v="635"/>
    <x v="0"/>
    <s v="CL-20147"/>
    <s v="Christian Leblanc"/>
    <x v="1"/>
    <s v="United States"/>
    <x v="39"/>
    <x v="33"/>
    <x v="3"/>
    <s v="FUR-FU-107705"/>
    <x v="0"/>
    <x v="0"/>
    <s v="Hawthorne Desk Accessory Set, Oak"/>
    <n v="63.503900000000002"/>
    <n v="2"/>
    <n v="-2.1800999999999999"/>
    <x v="0"/>
    <x v="5"/>
  </r>
  <r>
    <x v="1410"/>
    <x v="255"/>
    <x v="258"/>
    <x v="2"/>
    <s v="DZ-13811"/>
    <s v="Derek Zuniga"/>
    <x v="1"/>
    <s v="United States"/>
    <x v="84"/>
    <x v="29"/>
    <x v="0"/>
    <s v="FUR-CH-108751"/>
    <x v="0"/>
    <x v="1"/>
    <s v="Prescott Ergonomic Chair with Lumbar Support"/>
    <n v="865.98429999999996"/>
    <n v="6"/>
    <n v="51.292400000000001"/>
    <x v="5"/>
    <x v="10"/>
  </r>
  <r>
    <x v="1411"/>
    <x v="915"/>
    <x v="308"/>
    <x v="2"/>
    <s v="JC-14669"/>
    <s v="Jennifer Collins"/>
    <x v="2"/>
    <s v="United States"/>
    <x v="7"/>
    <x v="9"/>
    <x v="0"/>
    <s v="FUR-FU-106211"/>
    <x v="0"/>
    <x v="0"/>
    <s v="Aurora Brushed Chrome Wall Clock, 14in"/>
    <n v="125.96469999999999"/>
    <n v="3"/>
    <n v="62.698799999999999"/>
    <x v="0"/>
    <x v="7"/>
  </r>
  <r>
    <x v="1411"/>
    <x v="915"/>
    <x v="308"/>
    <x v="2"/>
    <s v="JC-14669"/>
    <s v="Jennifer Collins"/>
    <x v="2"/>
    <s v="United States"/>
    <x v="7"/>
    <x v="9"/>
    <x v="0"/>
    <s v="FUR-CH-106455"/>
    <x v="0"/>
    <x v="1"/>
    <s v="Nolan Leather Highback Chair, Pneumatic Adjustment"/>
    <n v="299.2826"/>
    <n v="1"/>
    <n v="20.5198"/>
    <x v="0"/>
    <x v="7"/>
  </r>
  <r>
    <x v="1412"/>
    <x v="612"/>
    <x v="391"/>
    <x v="2"/>
    <s v="ME-14304"/>
    <s v="Michelle Evans"/>
    <x v="2"/>
    <s v="United States"/>
    <x v="84"/>
    <x v="29"/>
    <x v="0"/>
    <s v="FUR-FU-106211"/>
    <x v="0"/>
    <x v="0"/>
    <s v="Aurora Brushed Chrome Wall Clock, 14in"/>
    <n v="33.750799999999998"/>
    <n v="5"/>
    <n v="15.6257"/>
    <x v="3"/>
    <x v="6"/>
  </r>
  <r>
    <x v="1413"/>
    <x v="916"/>
    <x v="908"/>
    <x v="2"/>
    <s v="JF-12647"/>
    <s v="Joann Ferguson"/>
    <x v="2"/>
    <s v="United States"/>
    <x v="100"/>
    <x v="45"/>
    <x v="3"/>
    <s v="FUR-FU-104558"/>
    <x v="0"/>
    <x v="0"/>
    <s v="Lambert Swing Arm Desk Lamp"/>
    <n v="253.80779999999999"/>
    <n v="4"/>
    <n v="-27.196400000000001"/>
    <x v="3"/>
    <x v="9"/>
  </r>
  <r>
    <x v="1414"/>
    <x v="739"/>
    <x v="909"/>
    <x v="2"/>
    <s v="CT-20796"/>
    <s v="Colin Terry"/>
    <x v="0"/>
    <s v="United States"/>
    <x v="0"/>
    <x v="0"/>
    <x v="0"/>
    <s v="FUR-BO-106865"/>
    <x v="0"/>
    <x v="2"/>
    <s v="Hartwell Oak 5-Shelf Bookcase"/>
    <n v="210.52070000000001"/>
    <n v="3"/>
    <n v="61.113799999999998"/>
    <x v="3"/>
    <x v="2"/>
  </r>
  <r>
    <x v="1415"/>
    <x v="917"/>
    <x v="403"/>
    <x v="1"/>
    <s v="AG-19064"/>
    <s v="Antonio Garcia"/>
    <x v="0"/>
    <s v="United States"/>
    <x v="23"/>
    <x v="5"/>
    <x v="2"/>
    <s v="FUR-CH-109246"/>
    <x v="0"/>
    <x v="1"/>
    <s v="Beckett Steno Chair, Gray"/>
    <n v="1637.7361000000001"/>
    <n v="5"/>
    <n v="-337.82940000000002"/>
    <x v="0"/>
    <x v="9"/>
  </r>
  <r>
    <x v="1416"/>
    <x v="423"/>
    <x v="423"/>
    <x v="2"/>
    <s v="KR-11188"/>
    <s v="Karla Ramos"/>
    <x v="2"/>
    <s v="United States"/>
    <x v="93"/>
    <x v="9"/>
    <x v="0"/>
    <s v="FUR-FU-108837"/>
    <x v="0"/>
    <x v="0"/>
    <s v="Ivanhoe Poster Frame, Aluminum"/>
    <n v="326.00080000000003"/>
    <n v="7"/>
    <n v="52.506300000000003"/>
    <x v="0"/>
    <x v="11"/>
  </r>
  <r>
    <x v="1417"/>
    <x v="322"/>
    <x v="323"/>
    <x v="2"/>
    <s v="CJ-15155"/>
    <s v="Crystal Johnson"/>
    <x v="2"/>
    <s v="United States"/>
    <x v="69"/>
    <x v="41"/>
    <x v="3"/>
    <s v="FUR-FU-100317"/>
    <x v="0"/>
    <x v="0"/>
    <s v="Nomad Floor Lamp, Telescoping Adjustable"/>
    <n v="21.369900000000001"/>
    <n v="3"/>
    <n v="4.6649000000000003"/>
    <x v="5"/>
    <x v="9"/>
  </r>
  <r>
    <x v="1418"/>
    <x v="438"/>
    <x v="183"/>
    <x v="2"/>
    <s v="RV-15313"/>
    <s v="Rebecca Valencia"/>
    <x v="2"/>
    <s v="United States"/>
    <x v="3"/>
    <x v="3"/>
    <x v="1"/>
    <s v="FUR-TA-105529"/>
    <x v="0"/>
    <x v="3"/>
    <s v="Fenwick Compact Office Desk"/>
    <n v="268.1574"/>
    <n v="1"/>
    <n v="-167.05789999999999"/>
    <x v="7"/>
    <x v="5"/>
  </r>
  <r>
    <x v="1419"/>
    <x v="918"/>
    <x v="910"/>
    <x v="3"/>
    <s v="AM-17041"/>
    <s v="Aaron Miller"/>
    <x v="2"/>
    <s v="United States"/>
    <x v="68"/>
    <x v="33"/>
    <x v="3"/>
    <s v="FUR-TA-102977"/>
    <x v="0"/>
    <x v="3"/>
    <s v="Caldwell 44 x 96 Conference Table"/>
    <n v="529.54549999999995"/>
    <n v="2"/>
    <n v="-114.2111"/>
    <x v="7"/>
    <x v="11"/>
  </r>
  <r>
    <x v="1420"/>
    <x v="679"/>
    <x v="768"/>
    <x v="0"/>
    <s v="JM-14616"/>
    <s v="Jeffrey Mills"/>
    <x v="2"/>
    <s v="United States"/>
    <x v="78"/>
    <x v="37"/>
    <x v="0"/>
    <s v="FUR-BO-103613"/>
    <x v="0"/>
    <x v="2"/>
    <s v="Winslow Corner Bookcase, White"/>
    <n v="452.64620000000002"/>
    <n v="4"/>
    <n v="93.541399999999996"/>
    <x v="1"/>
    <x v="4"/>
  </r>
  <r>
    <x v="1421"/>
    <x v="875"/>
    <x v="911"/>
    <x v="0"/>
    <s v="ZM-15378"/>
    <s v="Zachary Mitchell"/>
    <x v="2"/>
    <s v="United States"/>
    <x v="86"/>
    <x v="43"/>
    <x v="2"/>
    <s v="FUR-TA-104262"/>
    <x v="0"/>
    <x v="3"/>
    <s v="Thorne End Table, 20-1/2H x 24W x 20D"/>
    <n v="4300"/>
    <n v="2"/>
    <n v="-544.10599999999999"/>
    <x v="7"/>
    <x v="7"/>
  </r>
  <r>
    <x v="1422"/>
    <x v="716"/>
    <x v="716"/>
    <x v="2"/>
    <s v="BT-12426"/>
    <s v="Brenda Thornton"/>
    <x v="2"/>
    <s v="United States"/>
    <x v="55"/>
    <x v="12"/>
    <x v="2"/>
    <s v="FUR-BO-109883"/>
    <x v="0"/>
    <x v="2"/>
    <s v="Ashford Mobile 4-Shelf Bookcase"/>
    <n v="767.7912"/>
    <n v="2"/>
    <n v="-393.19819999999999"/>
    <x v="5"/>
    <x v="2"/>
  </r>
  <r>
    <x v="1423"/>
    <x v="368"/>
    <x v="912"/>
    <x v="1"/>
    <s v="LP-21409"/>
    <s v="Lisa Perry"/>
    <x v="2"/>
    <s v="United States"/>
    <x v="31"/>
    <x v="28"/>
    <x v="2"/>
    <s v="FUR-BO-107956"/>
    <x v="0"/>
    <x v="2"/>
    <s v="Sterling Wide Bookcase, Charcoal Gray"/>
    <n v="117.0963"/>
    <n v="2"/>
    <n v="4.1505000000000001"/>
    <x v="0"/>
    <x v="11"/>
  </r>
  <r>
    <x v="1423"/>
    <x v="368"/>
    <x v="912"/>
    <x v="1"/>
    <s v="LP-21409"/>
    <s v="Lisa Perry"/>
    <x v="2"/>
    <s v="United States"/>
    <x v="31"/>
    <x v="28"/>
    <x v="2"/>
    <s v="FUR-BO-109883"/>
    <x v="0"/>
    <x v="2"/>
    <s v="Ashford Mobile 4-Shelf Bookcase"/>
    <n v="192.16159999999999"/>
    <n v="2"/>
    <n v="-68.822400000000002"/>
    <x v="0"/>
    <x v="11"/>
  </r>
  <r>
    <x v="1424"/>
    <x v="919"/>
    <x v="883"/>
    <x v="2"/>
    <s v="CG-19863"/>
    <s v="Carla Gray"/>
    <x v="2"/>
    <s v="United States"/>
    <x v="8"/>
    <x v="8"/>
    <x v="1"/>
    <s v="FUR-FU-106211"/>
    <x v="0"/>
    <x v="0"/>
    <s v="Aurora Brushed Chrome Wall Clock, 14in"/>
    <n v="139.83240000000001"/>
    <n v="2"/>
    <n v="11.585900000000001"/>
    <x v="3"/>
    <x v="11"/>
  </r>
  <r>
    <x v="1424"/>
    <x v="919"/>
    <x v="883"/>
    <x v="2"/>
    <s v="CG-19863"/>
    <s v="Carla Gray"/>
    <x v="2"/>
    <s v="United States"/>
    <x v="8"/>
    <x v="8"/>
    <x v="1"/>
    <s v="FUR-FU-104558"/>
    <x v="0"/>
    <x v="0"/>
    <s v="Lambert Swing Arm Desk Lamp"/>
    <n v="9.8847000000000005"/>
    <n v="6"/>
    <n v="1.1514"/>
    <x v="3"/>
    <x v="11"/>
  </r>
  <r>
    <x v="1424"/>
    <x v="919"/>
    <x v="883"/>
    <x v="2"/>
    <s v="CG-19863"/>
    <s v="Carla Gray"/>
    <x v="2"/>
    <s v="United States"/>
    <x v="8"/>
    <x v="8"/>
    <x v="1"/>
    <s v="FUR-BO-107956"/>
    <x v="0"/>
    <x v="2"/>
    <s v="Sterling Wide Bookcase, Charcoal Gray"/>
    <n v="2353.9182000000001"/>
    <n v="3"/>
    <n v="-72.354399999999998"/>
    <x v="3"/>
    <x v="11"/>
  </r>
  <r>
    <x v="1425"/>
    <x v="876"/>
    <x v="848"/>
    <x v="2"/>
    <s v="JP-19577"/>
    <s v="Jason Powell"/>
    <x v="0"/>
    <s v="United States"/>
    <x v="92"/>
    <x v="46"/>
    <x v="3"/>
    <s v="FUR-FU-101124"/>
    <x v="0"/>
    <x v="0"/>
    <s v="Rutledge Desk Organizer Tray, Letter Size"/>
    <n v="51.4465"/>
    <n v="4"/>
    <n v="13.585599999999999"/>
    <x v="0"/>
    <x v="10"/>
  </r>
  <r>
    <x v="1425"/>
    <x v="876"/>
    <x v="848"/>
    <x v="2"/>
    <s v="JP-19577"/>
    <s v="Jason Powell"/>
    <x v="0"/>
    <s v="United States"/>
    <x v="92"/>
    <x v="46"/>
    <x v="3"/>
    <s v="FUR-FU-103673"/>
    <x v="0"/>
    <x v="0"/>
    <s v="Corcoran Document Holder, Wood"/>
    <n v="4.9976000000000003"/>
    <n v="4"/>
    <n v="-0.71730000000000005"/>
    <x v="0"/>
    <x v="10"/>
  </r>
  <r>
    <x v="1426"/>
    <x v="550"/>
    <x v="559"/>
    <x v="2"/>
    <s v="JS-17238"/>
    <s v="Jeremy Scott"/>
    <x v="2"/>
    <s v="United States"/>
    <x v="83"/>
    <x v="27"/>
    <x v="0"/>
    <s v="FUR-FU-100853"/>
    <x v="0"/>
    <x v="0"/>
    <s v="Blaine Cubicle Wall Clock, Black"/>
    <n v="384.87310000000002"/>
    <n v="5"/>
    <n v="103.8441"/>
    <x v="1"/>
    <x v="4"/>
  </r>
  <r>
    <x v="1427"/>
    <x v="920"/>
    <x v="733"/>
    <x v="0"/>
    <s v="JW-14543"/>
    <s v="James Webster"/>
    <x v="0"/>
    <s v="United States"/>
    <x v="99"/>
    <x v="20"/>
    <x v="2"/>
    <s v="FUR-FU-103673"/>
    <x v="0"/>
    <x v="0"/>
    <s v="Corcoran Document Holder, Wood"/>
    <n v="4.5069999999999997"/>
    <n v="1"/>
    <n v="1.6261000000000001"/>
    <x v="7"/>
    <x v="1"/>
  </r>
  <r>
    <x v="1428"/>
    <x v="921"/>
    <x v="734"/>
    <x v="1"/>
    <s v="LM-12170"/>
    <s v="Laura Mckinney"/>
    <x v="1"/>
    <s v="United States"/>
    <x v="3"/>
    <x v="3"/>
    <x v="1"/>
    <s v="FUR-TA-107022"/>
    <x v="0"/>
    <x v="3"/>
    <s v="Alden Rectangular Conference Table"/>
    <n v="165.92930000000001"/>
    <n v="3"/>
    <n v="41.748699999999999"/>
    <x v="7"/>
    <x v="10"/>
  </r>
  <r>
    <x v="1429"/>
    <x v="553"/>
    <x v="657"/>
    <x v="0"/>
    <s v="JB-20726"/>
    <s v="Jamie Baird"/>
    <x v="2"/>
    <s v="United States"/>
    <x v="0"/>
    <x v="0"/>
    <x v="0"/>
    <s v="FUR-FU-100853"/>
    <x v="0"/>
    <x v="0"/>
    <s v="Blaine Cubicle Wall Clock, Black"/>
    <n v="196.38560000000001"/>
    <n v="3"/>
    <n v="-61.909399999999998"/>
    <x v="5"/>
    <x v="10"/>
  </r>
  <r>
    <x v="1430"/>
    <x v="922"/>
    <x v="386"/>
    <x v="1"/>
    <s v="VM-14649"/>
    <s v="Victor Morris"/>
    <x v="1"/>
    <s v="United States"/>
    <x v="29"/>
    <x v="13"/>
    <x v="3"/>
    <s v="FUR-FU-106906"/>
    <x v="0"/>
    <x v="0"/>
    <s v="Cobalt LED Magnifier Lamp with Clamp Base"/>
    <n v="114.63639999999999"/>
    <n v="2"/>
    <n v="40.575000000000003"/>
    <x v="7"/>
    <x v="11"/>
  </r>
  <r>
    <x v="1431"/>
    <x v="923"/>
    <x v="265"/>
    <x v="1"/>
    <s v="JB-18928"/>
    <s v="Justin Baker"/>
    <x v="2"/>
    <s v="United States"/>
    <x v="102"/>
    <x v="35"/>
    <x v="3"/>
    <s v="FUR-BO-103595"/>
    <x v="0"/>
    <x v="2"/>
    <s v="Pinehurst 6-Shelf Industrial Bookcase"/>
    <n v="106.42659999999999"/>
    <n v="5"/>
    <n v="-58.398699999999998"/>
    <x v="1"/>
    <x v="9"/>
  </r>
  <r>
    <x v="1431"/>
    <x v="923"/>
    <x v="265"/>
    <x v="1"/>
    <s v="JB-18928"/>
    <s v="Justin Baker"/>
    <x v="2"/>
    <s v="United States"/>
    <x v="102"/>
    <x v="35"/>
    <x v="3"/>
    <s v="FUR-BO-108947"/>
    <x v="0"/>
    <x v="2"/>
    <s v="Concord Ladder Bookcase, Walnut"/>
    <n v="157.6027"/>
    <n v="4"/>
    <n v="23.1614"/>
    <x v="1"/>
    <x v="9"/>
  </r>
  <r>
    <x v="1432"/>
    <x v="924"/>
    <x v="913"/>
    <x v="2"/>
    <s v="KM-18702"/>
    <s v="Kim Morrow"/>
    <x v="1"/>
    <s v="United States"/>
    <x v="121"/>
    <x v="3"/>
    <x v="1"/>
    <s v="FUR-FU-104558"/>
    <x v="0"/>
    <x v="0"/>
    <s v="Lambert Swing Arm Desk Lamp"/>
    <n v="284.9434"/>
    <n v="7"/>
    <n v="-99.750399999999999"/>
    <x v="6"/>
    <x v="10"/>
  </r>
  <r>
    <x v="1432"/>
    <x v="924"/>
    <x v="913"/>
    <x v="2"/>
    <s v="KM-18702"/>
    <s v="Kim Morrow"/>
    <x v="1"/>
    <s v="United States"/>
    <x v="121"/>
    <x v="3"/>
    <x v="1"/>
    <s v="FUR-FU-106211"/>
    <x v="0"/>
    <x v="0"/>
    <s v="Aurora Brushed Chrome Wall Clock, 14in"/>
    <n v="28.4663"/>
    <n v="4"/>
    <n v="-10.5129"/>
    <x v="6"/>
    <x v="10"/>
  </r>
  <r>
    <x v="1433"/>
    <x v="925"/>
    <x v="914"/>
    <x v="1"/>
    <s v="JH-11320"/>
    <s v="Joseph Howard"/>
    <x v="2"/>
    <s v="United States"/>
    <x v="102"/>
    <x v="35"/>
    <x v="3"/>
    <s v="FUR-CH-106624"/>
    <x v="0"/>
    <x v="1"/>
    <s v="Adler Fabric Manager's Chair, Slate Gray"/>
    <n v="177.2362"/>
    <n v="3"/>
    <n v="-15.3111"/>
    <x v="0"/>
    <x v="7"/>
  </r>
  <r>
    <x v="1434"/>
    <x v="926"/>
    <x v="152"/>
    <x v="3"/>
    <s v="AG-14173"/>
    <s v="Anthony Gonzales"/>
    <x v="1"/>
    <s v="United States"/>
    <x v="54"/>
    <x v="1"/>
    <x v="0"/>
    <s v="FUR-FU-100853"/>
    <x v="0"/>
    <x v="0"/>
    <s v="Blaine Cubicle Wall Clock, Black"/>
    <n v="27.302900000000001"/>
    <n v="1"/>
    <n v="0.13869999999999999"/>
    <x v="7"/>
    <x v="3"/>
  </r>
  <r>
    <x v="1435"/>
    <x v="927"/>
    <x v="915"/>
    <x v="2"/>
    <s v="JB-18928"/>
    <s v="Justin Baker"/>
    <x v="2"/>
    <s v="United States"/>
    <x v="90"/>
    <x v="45"/>
    <x v="3"/>
    <s v="FUR-CH-107657"/>
    <x v="0"/>
    <x v="1"/>
    <s v="Hollis Stacking Chair, Rounded Back"/>
    <n v="181.29679999999999"/>
    <n v="1"/>
    <n v="-8.2789000000000001"/>
    <x v="0"/>
    <x v="2"/>
  </r>
  <r>
    <x v="1435"/>
    <x v="927"/>
    <x v="915"/>
    <x v="2"/>
    <s v="JB-18928"/>
    <s v="Justin Baker"/>
    <x v="2"/>
    <s v="United States"/>
    <x v="90"/>
    <x v="45"/>
    <x v="3"/>
    <s v="FUR-CH-106624"/>
    <x v="0"/>
    <x v="1"/>
    <s v="Adler Fabric Manager's Chair, Slate Gray"/>
    <n v="262.32089999999999"/>
    <n v="3"/>
    <n v="92.183000000000007"/>
    <x v="0"/>
    <x v="2"/>
  </r>
  <r>
    <x v="1436"/>
    <x v="32"/>
    <x v="916"/>
    <x v="0"/>
    <s v="CW-12677"/>
    <s v="Christina Walters"/>
    <x v="1"/>
    <s v="United States"/>
    <x v="37"/>
    <x v="14"/>
    <x v="3"/>
    <s v="FUR-CH-100444"/>
    <x v="0"/>
    <x v="1"/>
    <s v="Harborview Mesh Task Chair, Adjustable Arms"/>
    <n v="369.42070000000001"/>
    <n v="2"/>
    <n v="206.0942"/>
    <x v="3"/>
    <x v="10"/>
  </r>
  <r>
    <x v="1437"/>
    <x v="928"/>
    <x v="551"/>
    <x v="1"/>
    <s v="RT-12532"/>
    <s v="Robin Thompson"/>
    <x v="1"/>
    <s v="United States"/>
    <x v="11"/>
    <x v="12"/>
    <x v="2"/>
    <s v="FUR-BO-106865"/>
    <x v="0"/>
    <x v="2"/>
    <s v="Hartwell Oak 5-Shelf Bookcase"/>
    <n v="510.08300000000003"/>
    <n v="2"/>
    <n v="-132.94540000000001"/>
    <x v="0"/>
    <x v="8"/>
  </r>
  <r>
    <x v="1438"/>
    <x v="262"/>
    <x v="376"/>
    <x v="2"/>
    <s v="ML-19638"/>
    <s v="Michael Lyons"/>
    <x v="1"/>
    <s v="United States"/>
    <x v="3"/>
    <x v="3"/>
    <x v="1"/>
    <s v="FUR-FU-103673"/>
    <x v="0"/>
    <x v="0"/>
    <s v="Corcoran Document Holder, Wood"/>
    <n v="10.000400000000001"/>
    <n v="3"/>
    <n v="-1.1716"/>
    <x v="2"/>
    <x v="6"/>
  </r>
  <r>
    <x v="1439"/>
    <x v="929"/>
    <x v="917"/>
    <x v="2"/>
    <s v="PB-10387"/>
    <s v="Phillip Berry"/>
    <x v="2"/>
    <s v="United States"/>
    <x v="73"/>
    <x v="30"/>
    <x v="0"/>
    <s v="FUR-TA-105355"/>
    <x v="0"/>
    <x v="3"/>
    <s v="Wexford Racetrack Conference Table"/>
    <n v="335.26519999999999"/>
    <n v="4"/>
    <n v="179.31290000000001"/>
    <x v="0"/>
    <x v="8"/>
  </r>
  <r>
    <x v="1440"/>
    <x v="918"/>
    <x v="369"/>
    <x v="0"/>
    <s v="JP-10009"/>
    <s v="Jonathan Peterson"/>
    <x v="2"/>
    <s v="United States"/>
    <x v="29"/>
    <x v="13"/>
    <x v="3"/>
    <s v="FUR-CH-109697"/>
    <x v="0"/>
    <x v="1"/>
    <s v="Rowan Mid-Back Tilter Chair"/>
    <n v="514.38049999999998"/>
    <n v="1"/>
    <n v="-197.44720000000001"/>
    <x v="1"/>
    <x v="11"/>
  </r>
  <r>
    <x v="1440"/>
    <x v="918"/>
    <x v="369"/>
    <x v="0"/>
    <s v="JP-10009"/>
    <s v="Jonathan Peterson"/>
    <x v="2"/>
    <s v="United States"/>
    <x v="29"/>
    <x v="13"/>
    <x v="3"/>
    <s v="FUR-CH-102091"/>
    <x v="0"/>
    <x v="1"/>
    <s v="Vantage Swivel Task Chair, Blue"/>
    <n v="731.07380000000001"/>
    <n v="3"/>
    <n v="35.401299999999999"/>
    <x v="1"/>
    <x v="11"/>
  </r>
  <r>
    <x v="1441"/>
    <x v="930"/>
    <x v="305"/>
    <x v="2"/>
    <s v="JB-18928"/>
    <s v="Justin Baker"/>
    <x v="2"/>
    <s v="United States"/>
    <x v="52"/>
    <x v="38"/>
    <x v="1"/>
    <s v="FUR-BO-108947"/>
    <x v="0"/>
    <x v="2"/>
    <s v="Concord Ladder Bookcase, Walnut"/>
    <n v="1948.4063000000001"/>
    <n v="2"/>
    <n v="-51.009700000000002"/>
    <x v="1"/>
    <x v="9"/>
  </r>
  <r>
    <x v="1442"/>
    <x v="353"/>
    <x v="918"/>
    <x v="2"/>
    <s v="RS-12780"/>
    <s v="Randy Smith"/>
    <x v="1"/>
    <s v="United States"/>
    <x v="46"/>
    <x v="28"/>
    <x v="2"/>
    <s v="FUR-TA-105529"/>
    <x v="0"/>
    <x v="3"/>
    <s v="Fenwick Compact Office Desk"/>
    <n v="367.78149999999999"/>
    <n v="4"/>
    <n v="-18.960799999999999"/>
    <x v="5"/>
    <x v="4"/>
  </r>
  <r>
    <x v="1443"/>
    <x v="931"/>
    <x v="553"/>
    <x v="2"/>
    <s v="JW-21266"/>
    <s v="Joseph Wilson"/>
    <x v="2"/>
    <s v="United States"/>
    <x v="103"/>
    <x v="43"/>
    <x v="2"/>
    <s v="FUR-FU-108837"/>
    <x v="0"/>
    <x v="0"/>
    <s v="Ivanhoe Poster Frame, Aluminum"/>
    <n v="850.57489999999996"/>
    <n v="2"/>
    <n v="-10.277799999999999"/>
    <x v="1"/>
    <x v="11"/>
  </r>
  <r>
    <x v="1443"/>
    <x v="931"/>
    <x v="553"/>
    <x v="2"/>
    <s v="JW-21266"/>
    <s v="Joseph Wilson"/>
    <x v="2"/>
    <s v="United States"/>
    <x v="103"/>
    <x v="43"/>
    <x v="2"/>
    <s v="FUR-FU-104558"/>
    <x v="0"/>
    <x v="0"/>
    <s v="Lambert Swing Arm Desk Lamp"/>
    <n v="149.16390000000001"/>
    <n v="2"/>
    <n v="-17.829899999999999"/>
    <x v="1"/>
    <x v="11"/>
  </r>
  <r>
    <x v="1443"/>
    <x v="931"/>
    <x v="553"/>
    <x v="2"/>
    <s v="JW-21266"/>
    <s v="Joseph Wilson"/>
    <x v="2"/>
    <s v="United States"/>
    <x v="103"/>
    <x v="43"/>
    <x v="2"/>
    <s v="FUR-TA-107449"/>
    <x v="0"/>
    <x v="3"/>
    <s v="Pembroke 36 x 72 Conference Table"/>
    <n v="479.08330000000001"/>
    <n v="7"/>
    <n v="97.284300000000002"/>
    <x v="1"/>
    <x v="11"/>
  </r>
  <r>
    <x v="1443"/>
    <x v="931"/>
    <x v="553"/>
    <x v="2"/>
    <s v="JW-21266"/>
    <s v="Joseph Wilson"/>
    <x v="2"/>
    <s v="United States"/>
    <x v="103"/>
    <x v="43"/>
    <x v="2"/>
    <s v="FUR-FU-104558"/>
    <x v="0"/>
    <x v="0"/>
    <s v="Lambert Swing Arm Desk Lamp"/>
    <n v="103.4546"/>
    <n v="5"/>
    <n v="-24.091100000000001"/>
    <x v="1"/>
    <x v="11"/>
  </r>
  <r>
    <x v="1444"/>
    <x v="740"/>
    <x v="919"/>
    <x v="2"/>
    <s v="BD-21680"/>
    <s v="Bailey Duran DDS"/>
    <x v="0"/>
    <s v="United States"/>
    <x v="12"/>
    <x v="13"/>
    <x v="3"/>
    <s v="FUR-FU-101124"/>
    <x v="0"/>
    <x v="0"/>
    <s v="Rutledge Desk Organizer Tray, Letter Size"/>
    <n v="440.28620000000001"/>
    <n v="4"/>
    <n v="-199.53729999999999"/>
    <x v="1"/>
    <x v="10"/>
  </r>
  <r>
    <x v="1444"/>
    <x v="740"/>
    <x v="919"/>
    <x v="2"/>
    <s v="BD-21680"/>
    <s v="Bailey Duran DDS"/>
    <x v="0"/>
    <s v="United States"/>
    <x v="12"/>
    <x v="13"/>
    <x v="3"/>
    <s v="FUR-TA-102977"/>
    <x v="0"/>
    <x v="3"/>
    <s v="Caldwell 44 x 96 Conference Table"/>
    <n v="453.73140000000001"/>
    <n v="2"/>
    <n v="70.671099999999996"/>
    <x v="1"/>
    <x v="10"/>
  </r>
  <r>
    <x v="1444"/>
    <x v="740"/>
    <x v="919"/>
    <x v="2"/>
    <s v="BD-21680"/>
    <s v="Bailey Duran DDS"/>
    <x v="0"/>
    <s v="United States"/>
    <x v="12"/>
    <x v="13"/>
    <x v="3"/>
    <s v="FUR-CH-101375"/>
    <x v="0"/>
    <x v="1"/>
    <s v="Sutton Push-Button Manager's Chair, Indigo"/>
    <n v="524.60709999999995"/>
    <n v="5"/>
    <n v="-42.939"/>
    <x v="1"/>
    <x v="10"/>
  </r>
  <r>
    <x v="1444"/>
    <x v="740"/>
    <x v="919"/>
    <x v="2"/>
    <s v="BD-21680"/>
    <s v="Bailey Duran DDS"/>
    <x v="0"/>
    <s v="United States"/>
    <x v="12"/>
    <x v="13"/>
    <x v="3"/>
    <s v="FUR-TA-107022"/>
    <x v="0"/>
    <x v="3"/>
    <s v="Alden Rectangular Conference Table"/>
    <n v="180.66499999999999"/>
    <n v="2"/>
    <n v="-49.628599999999999"/>
    <x v="1"/>
    <x v="10"/>
  </r>
  <r>
    <x v="1445"/>
    <x v="483"/>
    <x v="909"/>
    <x v="2"/>
    <s v="CM-13510"/>
    <s v="Cynthia Moore"/>
    <x v="2"/>
    <s v="United States"/>
    <x v="25"/>
    <x v="24"/>
    <x v="1"/>
    <s v="FUR-FU-106211"/>
    <x v="0"/>
    <x v="0"/>
    <s v="Aurora Brushed Chrome Wall Clock, 14in"/>
    <n v="37.387900000000002"/>
    <n v="1"/>
    <n v="4.7763"/>
    <x v="2"/>
    <x v="2"/>
  </r>
  <r>
    <x v="1446"/>
    <x v="549"/>
    <x v="539"/>
    <x v="2"/>
    <s v="EB-13139"/>
    <s v="Elaine Brooks"/>
    <x v="1"/>
    <s v="United States"/>
    <x v="103"/>
    <x v="43"/>
    <x v="2"/>
    <s v="FUR-FU-104133"/>
    <x v="0"/>
    <x v="0"/>
    <s v="Preston Wood Photo Frame, Mahogany"/>
    <n v="65.724000000000004"/>
    <n v="7"/>
    <n v="39.800600000000003"/>
    <x v="0"/>
    <x v="2"/>
  </r>
  <r>
    <x v="1447"/>
    <x v="932"/>
    <x v="537"/>
    <x v="2"/>
    <s v="AJ-16596"/>
    <s v="Amanda Jones"/>
    <x v="2"/>
    <s v="United States"/>
    <x v="19"/>
    <x v="20"/>
    <x v="2"/>
    <s v="FUR-FU-104558"/>
    <x v="0"/>
    <x v="0"/>
    <s v="Lambert Swing Arm Desk Lamp"/>
    <n v="25.9039"/>
    <n v="3"/>
    <n v="-5.5850999999999997"/>
    <x v="6"/>
    <x v="4"/>
  </r>
  <r>
    <x v="1447"/>
    <x v="932"/>
    <x v="537"/>
    <x v="2"/>
    <s v="AJ-16596"/>
    <s v="Amanda Jones"/>
    <x v="2"/>
    <s v="United States"/>
    <x v="19"/>
    <x v="20"/>
    <x v="2"/>
    <s v="FUR-FU-106906"/>
    <x v="0"/>
    <x v="0"/>
    <s v="Cobalt LED Magnifier Lamp with Clamp Base"/>
    <n v="53.047699999999999"/>
    <n v="4"/>
    <n v="-5.8188000000000004"/>
    <x v="6"/>
    <x v="4"/>
  </r>
  <r>
    <x v="1448"/>
    <x v="18"/>
    <x v="537"/>
    <x v="1"/>
    <s v="RB-12414"/>
    <s v="Rachel Bradley"/>
    <x v="1"/>
    <s v="United States"/>
    <x v="48"/>
    <x v="35"/>
    <x v="3"/>
    <s v="FUR-CH-102091"/>
    <x v="0"/>
    <x v="1"/>
    <s v="Vantage Swivel Task Chair, Blue"/>
    <n v="202.5172"/>
    <n v="2"/>
    <n v="-6.0963000000000003"/>
    <x v="0"/>
    <x v="2"/>
  </r>
  <r>
    <x v="1448"/>
    <x v="18"/>
    <x v="537"/>
    <x v="1"/>
    <s v="RB-12414"/>
    <s v="Rachel Bradley"/>
    <x v="1"/>
    <s v="United States"/>
    <x v="48"/>
    <x v="35"/>
    <x v="3"/>
    <s v="FUR-BO-103613"/>
    <x v="0"/>
    <x v="2"/>
    <s v="Winslow Corner Bookcase, White"/>
    <n v="530.16980000000001"/>
    <n v="2"/>
    <n v="-124.6001"/>
    <x v="0"/>
    <x v="2"/>
  </r>
  <r>
    <x v="1449"/>
    <x v="51"/>
    <x v="920"/>
    <x v="3"/>
    <s v="SS-11049"/>
    <s v="Susan Serrano"/>
    <x v="0"/>
    <s v="United States"/>
    <x v="117"/>
    <x v="44"/>
    <x v="0"/>
    <s v="FUR-FU-100853"/>
    <x v="0"/>
    <x v="0"/>
    <s v="Blaine Cubicle Wall Clock, Black"/>
    <n v="148.18709999999999"/>
    <n v="3"/>
    <n v="46.4771"/>
    <x v="7"/>
    <x v="6"/>
  </r>
  <r>
    <x v="1450"/>
    <x v="481"/>
    <x v="318"/>
    <x v="2"/>
    <s v="SW-11389"/>
    <s v="Sherry Woods"/>
    <x v="2"/>
    <s v="United States"/>
    <x v="31"/>
    <x v="28"/>
    <x v="2"/>
    <s v="FUR-FU-107705"/>
    <x v="0"/>
    <x v="0"/>
    <s v="Hawthorne Desk Accessory Set, Oak"/>
    <n v="100.60290000000001"/>
    <n v="3"/>
    <n v="-15.287599999999999"/>
    <x v="0"/>
    <x v="9"/>
  </r>
  <r>
    <x v="1451"/>
    <x v="27"/>
    <x v="458"/>
    <x v="2"/>
    <s v="CJ-15155"/>
    <s v="Crystal Johnson"/>
    <x v="2"/>
    <s v="United States"/>
    <x v="60"/>
    <x v="40"/>
    <x v="0"/>
    <s v="FUR-CH-100441"/>
    <x v="0"/>
    <x v="1"/>
    <s v="Dalton Folding Chair, 4/Carton"/>
    <n v="177.89709999999999"/>
    <n v="2"/>
    <n v="42.870399999999997"/>
    <x v="6"/>
    <x v="10"/>
  </r>
  <r>
    <x v="1451"/>
    <x v="27"/>
    <x v="458"/>
    <x v="2"/>
    <s v="CJ-15155"/>
    <s v="Crystal Johnson"/>
    <x v="2"/>
    <s v="United States"/>
    <x v="60"/>
    <x v="40"/>
    <x v="0"/>
    <s v="FUR-FU-106211"/>
    <x v="0"/>
    <x v="0"/>
    <s v="Aurora Brushed Chrome Wall Clock, 14in"/>
    <n v="45.786499999999997"/>
    <n v="5"/>
    <n v="-3.4419"/>
    <x v="6"/>
    <x v="10"/>
  </r>
  <r>
    <x v="1451"/>
    <x v="27"/>
    <x v="458"/>
    <x v="2"/>
    <s v="CJ-15155"/>
    <s v="Crystal Johnson"/>
    <x v="2"/>
    <s v="United States"/>
    <x v="60"/>
    <x v="40"/>
    <x v="0"/>
    <s v="FUR-CH-106624"/>
    <x v="0"/>
    <x v="1"/>
    <s v="Adler Fabric Manager's Chair, Slate Gray"/>
    <n v="920.58860000000004"/>
    <n v="1"/>
    <n v="-48.591299999999997"/>
    <x v="6"/>
    <x v="10"/>
  </r>
  <r>
    <x v="1451"/>
    <x v="27"/>
    <x v="458"/>
    <x v="2"/>
    <s v="CJ-15155"/>
    <s v="Crystal Johnson"/>
    <x v="2"/>
    <s v="United States"/>
    <x v="60"/>
    <x v="40"/>
    <x v="0"/>
    <s v="FUR-TA-106211"/>
    <x v="0"/>
    <x v="3"/>
    <s v="Grantham Half-Moon Meeting Table"/>
    <n v="32.174500000000002"/>
    <n v="2"/>
    <n v="-0.24379999999999999"/>
    <x v="6"/>
    <x v="10"/>
  </r>
  <r>
    <x v="1452"/>
    <x v="183"/>
    <x v="699"/>
    <x v="2"/>
    <s v="CP-15539"/>
    <s v="Christopher Parker"/>
    <x v="0"/>
    <s v="United States"/>
    <x v="22"/>
    <x v="22"/>
    <x v="2"/>
    <s v="FUR-FU-104558"/>
    <x v="0"/>
    <x v="0"/>
    <s v="Lambert Swing Arm Desk Lamp"/>
    <n v="83.983800000000002"/>
    <n v="2"/>
    <n v="-14.119400000000001"/>
    <x v="2"/>
    <x v="11"/>
  </r>
  <r>
    <x v="1452"/>
    <x v="183"/>
    <x v="699"/>
    <x v="2"/>
    <s v="CP-15539"/>
    <s v="Christopher Parker"/>
    <x v="0"/>
    <s v="United States"/>
    <x v="22"/>
    <x v="22"/>
    <x v="2"/>
    <s v="FUR-TA-100823"/>
    <x v="0"/>
    <x v="3"/>
    <s v="Redstone Wood Tables, Set of 2"/>
    <n v="377.61130000000003"/>
    <n v="2"/>
    <n v="-29.961200000000002"/>
    <x v="2"/>
    <x v="11"/>
  </r>
  <r>
    <x v="1452"/>
    <x v="183"/>
    <x v="699"/>
    <x v="2"/>
    <s v="CP-15539"/>
    <s v="Christopher Parker"/>
    <x v="0"/>
    <s v="United States"/>
    <x v="22"/>
    <x v="22"/>
    <x v="2"/>
    <s v="FUR-CH-109246"/>
    <x v="0"/>
    <x v="1"/>
    <s v="Beckett Steno Chair, Gray"/>
    <n v="190.00729999999999"/>
    <n v="5"/>
    <n v="0.6673"/>
    <x v="2"/>
    <x v="11"/>
  </r>
  <r>
    <x v="1453"/>
    <x v="703"/>
    <x v="656"/>
    <x v="1"/>
    <s v="JB-13728"/>
    <s v="James Bradley"/>
    <x v="2"/>
    <s v="United States"/>
    <x v="29"/>
    <x v="13"/>
    <x v="3"/>
    <s v="FUR-FU-106906"/>
    <x v="0"/>
    <x v="0"/>
    <s v="Cobalt LED Magnifier Lamp with Clamp Base"/>
    <n v="185.54470000000001"/>
    <n v="3"/>
    <n v="8.6580999999999992"/>
    <x v="0"/>
    <x v="6"/>
  </r>
  <r>
    <x v="1454"/>
    <x v="480"/>
    <x v="641"/>
    <x v="2"/>
    <s v="CS-11638"/>
    <s v="Chad Scott"/>
    <x v="0"/>
    <s v="United States"/>
    <x v="72"/>
    <x v="6"/>
    <x v="1"/>
    <s v="FUR-CH-100441"/>
    <x v="0"/>
    <x v="1"/>
    <s v="Dalton Folding Chair, 4/Carton"/>
    <n v="256.79660000000001"/>
    <n v="5"/>
    <n v="67.799599999999998"/>
    <x v="6"/>
    <x v="6"/>
  </r>
  <r>
    <x v="1455"/>
    <x v="933"/>
    <x v="921"/>
    <x v="1"/>
    <s v="DM-10488"/>
    <s v="Dylan Miller"/>
    <x v="0"/>
    <s v="United States"/>
    <x v="67"/>
    <x v="24"/>
    <x v="1"/>
    <s v="FUR-CH-105507"/>
    <x v="0"/>
    <x v="1"/>
    <s v="Kingsley Mesh-Back Task Chair"/>
    <n v="1506.1560999999999"/>
    <n v="5"/>
    <n v="-637.35080000000005"/>
    <x v="0"/>
    <x v="9"/>
  </r>
  <r>
    <x v="1456"/>
    <x v="781"/>
    <x v="922"/>
    <x v="2"/>
    <s v="JC-16396"/>
    <s v="Jordan Chambers"/>
    <x v="1"/>
    <s v="United States"/>
    <x v="7"/>
    <x v="9"/>
    <x v="0"/>
    <s v="FUR-CH-100441"/>
    <x v="0"/>
    <x v="1"/>
    <s v="Dalton Folding Chair, 4/Carton"/>
    <n v="270.54790000000003"/>
    <n v="5"/>
    <n v="-52.516800000000003"/>
    <x v="5"/>
    <x v="1"/>
  </r>
  <r>
    <x v="1456"/>
    <x v="781"/>
    <x v="922"/>
    <x v="2"/>
    <s v="JC-16396"/>
    <s v="Jordan Chambers"/>
    <x v="1"/>
    <s v="United States"/>
    <x v="7"/>
    <x v="9"/>
    <x v="0"/>
    <s v="FUR-FU-106906"/>
    <x v="0"/>
    <x v="0"/>
    <s v="Cobalt LED Magnifier Lamp with Clamp Base"/>
    <n v="8.8607999999999993"/>
    <n v="2"/>
    <n v="-2.0688"/>
    <x v="5"/>
    <x v="1"/>
  </r>
  <r>
    <x v="1457"/>
    <x v="172"/>
    <x v="634"/>
    <x v="2"/>
    <s v="RS-18004"/>
    <s v="Robin Santiago"/>
    <x v="2"/>
    <s v="United States"/>
    <x v="77"/>
    <x v="42"/>
    <x v="1"/>
    <s v="FUR-CH-105507"/>
    <x v="0"/>
    <x v="1"/>
    <s v="Kingsley Mesh-Back Task Chair"/>
    <n v="401.22899999999998"/>
    <n v="8"/>
    <n v="32.928699999999999"/>
    <x v="4"/>
    <x v="3"/>
  </r>
  <r>
    <x v="1458"/>
    <x v="670"/>
    <x v="605"/>
    <x v="2"/>
    <s v="MP-17123"/>
    <s v="Michael Powell"/>
    <x v="0"/>
    <s v="United States"/>
    <x v="13"/>
    <x v="14"/>
    <x v="3"/>
    <s v="FUR-FU-101124"/>
    <x v="0"/>
    <x v="0"/>
    <s v="Rutledge Desk Organizer Tray, Letter Size"/>
    <n v="27.128"/>
    <n v="5"/>
    <n v="5.1082999999999998"/>
    <x v="6"/>
    <x v="7"/>
  </r>
  <r>
    <x v="1459"/>
    <x v="893"/>
    <x v="923"/>
    <x v="2"/>
    <s v="SH-14673"/>
    <s v="Stephen Hoffman"/>
    <x v="2"/>
    <s v="United States"/>
    <x v="71"/>
    <x v="4"/>
    <x v="1"/>
    <s v="FUR-CH-106624"/>
    <x v="0"/>
    <x v="1"/>
    <s v="Adler Fabric Manager's Chair, Slate Gray"/>
    <n v="958.94590000000005"/>
    <n v="4"/>
    <n v="137.2396"/>
    <x v="0"/>
    <x v="10"/>
  </r>
  <r>
    <x v="1460"/>
    <x v="934"/>
    <x v="19"/>
    <x v="0"/>
    <s v="DD-11889"/>
    <s v="Dr. Kelly Hammond DVM"/>
    <x v="0"/>
    <s v="United States"/>
    <x v="72"/>
    <x v="6"/>
    <x v="1"/>
    <s v="FUR-FU-100853"/>
    <x v="0"/>
    <x v="0"/>
    <s v="Blaine Cubicle Wall Clock, Black"/>
    <n v="59.720999999999997"/>
    <n v="2"/>
    <n v="43.311599999999999"/>
    <x v="7"/>
    <x v="3"/>
  </r>
  <r>
    <x v="1461"/>
    <x v="935"/>
    <x v="792"/>
    <x v="2"/>
    <s v="JM-14371"/>
    <s v="Jonathan Glass MD"/>
    <x v="1"/>
    <s v="United States"/>
    <x v="43"/>
    <x v="7"/>
    <x v="2"/>
    <s v="FUR-BO-107956"/>
    <x v="0"/>
    <x v="2"/>
    <s v="Sterling Wide Bookcase, Charcoal Gray"/>
    <n v="294.70729999999998"/>
    <n v="5"/>
    <n v="-26.479700000000001"/>
    <x v="1"/>
    <x v="7"/>
  </r>
  <r>
    <x v="1462"/>
    <x v="388"/>
    <x v="924"/>
    <x v="2"/>
    <s v="AG-16049"/>
    <s v="Alfred Galvan"/>
    <x v="0"/>
    <s v="United States"/>
    <x v="27"/>
    <x v="26"/>
    <x v="3"/>
    <s v="FUR-FU-103673"/>
    <x v="0"/>
    <x v="0"/>
    <s v="Corcoran Document Holder, Wood"/>
    <n v="450.78590000000003"/>
    <n v="3"/>
    <n v="12.305300000000001"/>
    <x v="2"/>
    <x v="8"/>
  </r>
  <r>
    <x v="1463"/>
    <x v="936"/>
    <x v="685"/>
    <x v="2"/>
    <s v="DW-18669"/>
    <s v="David Wright"/>
    <x v="1"/>
    <s v="United States"/>
    <x v="51"/>
    <x v="37"/>
    <x v="0"/>
    <s v="FUR-FU-107705"/>
    <x v="0"/>
    <x v="0"/>
    <s v="Hawthorne Desk Accessory Set, Oak"/>
    <n v="430.02969999999999"/>
    <n v="6"/>
    <n v="99.727599999999995"/>
    <x v="5"/>
    <x v="8"/>
  </r>
  <r>
    <x v="1464"/>
    <x v="746"/>
    <x v="550"/>
    <x v="2"/>
    <s v="PL-14033"/>
    <s v="Patricia Le"/>
    <x v="1"/>
    <s v="United States"/>
    <x v="18"/>
    <x v="19"/>
    <x v="2"/>
    <s v="FUR-FU-107705"/>
    <x v="0"/>
    <x v="0"/>
    <s v="Hawthorne Desk Accessory Set, Oak"/>
    <n v="69.683599999999998"/>
    <n v="2"/>
    <n v="45.626199999999997"/>
    <x v="4"/>
    <x v="6"/>
  </r>
  <r>
    <x v="1464"/>
    <x v="746"/>
    <x v="550"/>
    <x v="2"/>
    <s v="PL-14033"/>
    <s v="Patricia Le"/>
    <x v="1"/>
    <s v="United States"/>
    <x v="18"/>
    <x v="19"/>
    <x v="2"/>
    <s v="FUR-FU-100853"/>
    <x v="0"/>
    <x v="0"/>
    <s v="Blaine Cubicle Wall Clock, Black"/>
    <n v="12.1998"/>
    <n v="6"/>
    <n v="3.1646000000000001"/>
    <x v="4"/>
    <x v="6"/>
  </r>
  <r>
    <x v="1464"/>
    <x v="746"/>
    <x v="550"/>
    <x v="2"/>
    <s v="PL-14033"/>
    <s v="Patricia Le"/>
    <x v="1"/>
    <s v="United States"/>
    <x v="18"/>
    <x v="19"/>
    <x v="2"/>
    <s v="FUR-CH-102704"/>
    <x v="0"/>
    <x v="1"/>
    <s v="Brookline High-Back Executive Chair, Black Leather"/>
    <n v="181.6446"/>
    <n v="1"/>
    <n v="-58.232900000000001"/>
    <x v="4"/>
    <x v="6"/>
  </r>
  <r>
    <x v="1465"/>
    <x v="750"/>
    <x v="382"/>
    <x v="2"/>
    <s v="DD-11889"/>
    <s v="Dr. Kelly Hammond DVM"/>
    <x v="2"/>
    <s v="United States"/>
    <x v="67"/>
    <x v="24"/>
    <x v="1"/>
    <s v="FUR-FU-101341"/>
    <x v="0"/>
    <x v="0"/>
    <s v="Griswold Chairmats for Medium Pile Carpet"/>
    <n v="11.0837"/>
    <n v="9"/>
    <n v="4.8833000000000002"/>
    <x v="2"/>
    <x v="10"/>
  </r>
  <r>
    <x v="1466"/>
    <x v="693"/>
    <x v="925"/>
    <x v="2"/>
    <s v="SB-11122"/>
    <s v="Sharon Boyd"/>
    <x v="1"/>
    <s v="United States"/>
    <x v="0"/>
    <x v="0"/>
    <x v="0"/>
    <s v="FUR-FU-108837"/>
    <x v="0"/>
    <x v="0"/>
    <s v="Ivanhoe Poster Frame, Aluminum"/>
    <n v="27.526800000000001"/>
    <n v="6"/>
    <n v="11.664400000000001"/>
    <x v="5"/>
    <x v="0"/>
  </r>
  <r>
    <x v="1467"/>
    <x v="796"/>
    <x v="854"/>
    <x v="1"/>
    <s v="RB-21395"/>
    <s v="Renee Browning"/>
    <x v="0"/>
    <s v="United States"/>
    <x v="17"/>
    <x v="18"/>
    <x v="3"/>
    <s v="FUR-CH-102091"/>
    <x v="0"/>
    <x v="1"/>
    <s v="Vantage Swivel Task Chair, Blue"/>
    <n v="216.20160000000001"/>
    <n v="3"/>
    <n v="1.2052"/>
    <x v="0"/>
    <x v="0"/>
  </r>
  <r>
    <x v="1468"/>
    <x v="737"/>
    <x v="926"/>
    <x v="0"/>
    <s v="BF-13164"/>
    <s v="Brian Fitzgerald"/>
    <x v="2"/>
    <s v="United States"/>
    <x v="57"/>
    <x v="0"/>
    <x v="0"/>
    <s v="FUR-CH-105507"/>
    <x v="0"/>
    <x v="1"/>
    <s v="Kingsley Mesh-Back Task Chair"/>
    <n v="369.06290000000001"/>
    <n v="2"/>
    <n v="-53.778599999999997"/>
    <x v="7"/>
    <x v="0"/>
  </r>
  <r>
    <x v="1468"/>
    <x v="737"/>
    <x v="926"/>
    <x v="0"/>
    <s v="BF-13164"/>
    <s v="Brian Fitzgerald"/>
    <x v="2"/>
    <s v="United States"/>
    <x v="57"/>
    <x v="0"/>
    <x v="0"/>
    <s v="FUR-FU-106211"/>
    <x v="0"/>
    <x v="0"/>
    <s v="Aurora Brushed Chrome Wall Clock, 14in"/>
    <n v="114.7009"/>
    <n v="3"/>
    <n v="36.686399999999999"/>
    <x v="7"/>
    <x v="0"/>
  </r>
  <r>
    <x v="1469"/>
    <x v="52"/>
    <x v="526"/>
    <x v="0"/>
    <s v="TK-20960"/>
    <s v="Tanya Kim"/>
    <x v="0"/>
    <s v="United States"/>
    <x v="25"/>
    <x v="24"/>
    <x v="1"/>
    <s v="FUR-FU-104133"/>
    <x v="0"/>
    <x v="0"/>
    <s v="Preston Wood Photo Frame, Mahogany"/>
    <n v="249.53219999999999"/>
    <n v="7"/>
    <n v="135.77590000000001"/>
    <x v="7"/>
    <x v="8"/>
  </r>
  <r>
    <x v="1470"/>
    <x v="937"/>
    <x v="765"/>
    <x v="1"/>
    <s v="SA-21945"/>
    <s v="Shelly Alexander"/>
    <x v="1"/>
    <s v="United States"/>
    <x v="35"/>
    <x v="30"/>
    <x v="0"/>
    <s v="FUR-FU-101124"/>
    <x v="0"/>
    <x v="0"/>
    <s v="Rutledge Desk Organizer Tray, Letter Size"/>
    <n v="71.881500000000003"/>
    <n v="3"/>
    <n v="19.648599999999998"/>
    <x v="7"/>
    <x v="11"/>
  </r>
  <r>
    <x v="1471"/>
    <x v="233"/>
    <x v="927"/>
    <x v="2"/>
    <s v="MJ-17149"/>
    <s v="Michelle Jacobs"/>
    <x v="2"/>
    <s v="United States"/>
    <x v="56"/>
    <x v="7"/>
    <x v="2"/>
    <s v="FUR-CH-102704"/>
    <x v="0"/>
    <x v="1"/>
    <s v="Brookline High-Back Executive Chair, Black Leather"/>
    <n v="488.55709999999999"/>
    <n v="9"/>
    <n v="-320.01060000000001"/>
    <x v="0"/>
    <x v="3"/>
  </r>
  <r>
    <x v="1471"/>
    <x v="233"/>
    <x v="927"/>
    <x v="2"/>
    <s v="MJ-17149"/>
    <s v="Michelle Jacobs"/>
    <x v="2"/>
    <s v="United States"/>
    <x v="56"/>
    <x v="7"/>
    <x v="2"/>
    <s v="FUR-CH-102091"/>
    <x v="0"/>
    <x v="1"/>
    <s v="Vantage Swivel Task Chair, Blue"/>
    <n v="2122.4178999999999"/>
    <n v="1"/>
    <n v="233.51079999999999"/>
    <x v="0"/>
    <x v="3"/>
  </r>
  <r>
    <x v="1472"/>
    <x v="918"/>
    <x v="928"/>
    <x v="1"/>
    <s v="CT-20796"/>
    <s v="Colin Terry"/>
    <x v="2"/>
    <s v="United States"/>
    <x v="48"/>
    <x v="35"/>
    <x v="3"/>
    <s v="FUR-TA-107449"/>
    <x v="0"/>
    <x v="3"/>
    <s v="Pembroke 36 x 72 Conference Table"/>
    <n v="333.1875"/>
    <n v="3"/>
    <n v="7.3777999999999997"/>
    <x v="0"/>
    <x v="11"/>
  </r>
  <r>
    <x v="1473"/>
    <x v="938"/>
    <x v="1"/>
    <x v="2"/>
    <s v="JC-12085"/>
    <s v="John Coffey"/>
    <x v="2"/>
    <s v="United States"/>
    <x v="61"/>
    <x v="10"/>
    <x v="1"/>
    <s v="FUR-FU-100853"/>
    <x v="0"/>
    <x v="0"/>
    <s v="Blaine Cubicle Wall Clock, Black"/>
    <n v="14.532299999999999"/>
    <n v="4"/>
    <n v="1.8193999999999999"/>
    <x v="1"/>
    <x v="1"/>
  </r>
  <r>
    <x v="1474"/>
    <x v="924"/>
    <x v="276"/>
    <x v="2"/>
    <s v="AG-15143"/>
    <s v="Angel Gordon"/>
    <x v="1"/>
    <s v="United States"/>
    <x v="11"/>
    <x v="12"/>
    <x v="2"/>
    <s v="FUR-FU-105733"/>
    <x v="0"/>
    <x v="0"/>
    <s v="Sable Halogen Replacement Bulb, 2-Pack"/>
    <n v="68.900599999999997"/>
    <n v="2"/>
    <n v="-0.70040000000000002"/>
    <x v="1"/>
    <x v="10"/>
  </r>
  <r>
    <x v="1474"/>
    <x v="924"/>
    <x v="276"/>
    <x v="2"/>
    <s v="AG-15143"/>
    <s v="Angel Gordon"/>
    <x v="1"/>
    <s v="United States"/>
    <x v="11"/>
    <x v="12"/>
    <x v="2"/>
    <s v="FUR-BO-107999"/>
    <x v="0"/>
    <x v="2"/>
    <s v="Braxton Barrister Bookcase, Mahogany"/>
    <n v="1502.1554000000001"/>
    <n v="6"/>
    <n v="-161.90979999999999"/>
    <x v="1"/>
    <x v="10"/>
  </r>
  <r>
    <x v="1475"/>
    <x v="896"/>
    <x v="604"/>
    <x v="2"/>
    <s v="HW-10634"/>
    <s v="Heather Williams"/>
    <x v="2"/>
    <s v="United States"/>
    <x v="36"/>
    <x v="31"/>
    <x v="2"/>
    <s v="FUR-BO-106371"/>
    <x v="0"/>
    <x v="2"/>
    <s v="Fairmont Ladder Shelf, Black Metal Frame"/>
    <n v="726.92280000000005"/>
    <n v="2"/>
    <n v="-469.93060000000003"/>
    <x v="5"/>
    <x v="10"/>
  </r>
  <r>
    <x v="1476"/>
    <x v="939"/>
    <x v="929"/>
    <x v="2"/>
    <s v="DD-19355"/>
    <s v="Denise Davenport"/>
    <x v="2"/>
    <s v="United States"/>
    <x v="7"/>
    <x v="9"/>
    <x v="0"/>
    <s v="FUR-CH-106624"/>
    <x v="0"/>
    <x v="1"/>
    <s v="Adler Fabric Manager's Chair, Slate Gray"/>
    <n v="711.40269999999998"/>
    <n v="2"/>
    <n v="-255.4135"/>
    <x v="1"/>
    <x v="8"/>
  </r>
  <r>
    <x v="1477"/>
    <x v="387"/>
    <x v="17"/>
    <x v="1"/>
    <s v="EB-20447"/>
    <s v="Emma Butler"/>
    <x v="1"/>
    <s v="United States"/>
    <x v="24"/>
    <x v="23"/>
    <x v="2"/>
    <s v="FUR-FU-106906"/>
    <x v="0"/>
    <x v="0"/>
    <s v="Cobalt LED Magnifier Lamp with Clamp Base"/>
    <n v="96.297899999999998"/>
    <n v="1"/>
    <n v="35.906599999999997"/>
    <x v="7"/>
    <x v="4"/>
  </r>
  <r>
    <x v="1477"/>
    <x v="387"/>
    <x v="17"/>
    <x v="1"/>
    <s v="EB-20447"/>
    <s v="Emma Butler"/>
    <x v="1"/>
    <s v="United States"/>
    <x v="24"/>
    <x v="23"/>
    <x v="2"/>
    <s v="FUR-TA-103467"/>
    <x v="0"/>
    <x v="3"/>
    <s v="Kessler Round Bullnose High Table"/>
    <n v="1022.0667"/>
    <n v="4"/>
    <n v="-243.92769999999999"/>
    <x v="7"/>
    <x v="4"/>
  </r>
  <r>
    <x v="1478"/>
    <x v="214"/>
    <x v="641"/>
    <x v="2"/>
    <s v="DM-18201"/>
    <s v="Darlene Miller"/>
    <x v="2"/>
    <s v="United States"/>
    <x v="119"/>
    <x v="41"/>
    <x v="3"/>
    <s v="FUR-BO-106371"/>
    <x v="0"/>
    <x v="2"/>
    <s v="Fairmont Ladder Shelf, Black Metal Frame"/>
    <n v="603.4117"/>
    <n v="1"/>
    <n v="193.9503"/>
    <x v="1"/>
    <x v="6"/>
  </r>
  <r>
    <x v="1478"/>
    <x v="214"/>
    <x v="641"/>
    <x v="2"/>
    <s v="DM-18201"/>
    <s v="Darlene Miller"/>
    <x v="2"/>
    <s v="United States"/>
    <x v="119"/>
    <x v="41"/>
    <x v="3"/>
    <s v="FUR-TA-105363"/>
    <x v="0"/>
    <x v="3"/>
    <s v="Ashcombe Rectangular Table Top"/>
    <n v="2251.2303000000002"/>
    <n v="5"/>
    <n v="178.17"/>
    <x v="1"/>
    <x v="6"/>
  </r>
  <r>
    <x v="1479"/>
    <x v="940"/>
    <x v="742"/>
    <x v="0"/>
    <s v="AW-16482"/>
    <s v="Ashley Waller"/>
    <x v="2"/>
    <s v="United States"/>
    <x v="102"/>
    <x v="35"/>
    <x v="3"/>
    <s v="FUR-BO-103613"/>
    <x v="0"/>
    <x v="2"/>
    <s v="Winslow Corner Bookcase, White"/>
    <n v="1507.1012000000001"/>
    <n v="1"/>
    <n v="275.95569999999998"/>
    <x v="7"/>
    <x v="9"/>
  </r>
  <r>
    <x v="1480"/>
    <x v="941"/>
    <x v="524"/>
    <x v="2"/>
    <s v="BS-15718"/>
    <s v="Brian Smith"/>
    <x v="1"/>
    <s v="United States"/>
    <x v="114"/>
    <x v="42"/>
    <x v="1"/>
    <s v="FUR-FU-103673"/>
    <x v="0"/>
    <x v="0"/>
    <s v="Corcoran Document Holder, Wood"/>
    <n v="306.63810000000001"/>
    <n v="1"/>
    <n v="124.06180000000001"/>
    <x v="3"/>
    <x v="7"/>
  </r>
  <r>
    <x v="1480"/>
    <x v="941"/>
    <x v="524"/>
    <x v="2"/>
    <s v="BS-15718"/>
    <s v="Brian Smith"/>
    <x v="1"/>
    <s v="United States"/>
    <x v="114"/>
    <x v="42"/>
    <x v="1"/>
    <s v="FUR-FU-105733"/>
    <x v="0"/>
    <x v="0"/>
    <s v="Sable Halogen Replacement Bulb, 2-Pack"/>
    <n v="229.22669999999999"/>
    <n v="6"/>
    <n v="-20.518699999999999"/>
    <x v="3"/>
    <x v="7"/>
  </r>
  <r>
    <x v="1481"/>
    <x v="942"/>
    <x v="930"/>
    <x v="2"/>
    <s v="MC-17541"/>
    <s v="Meghan Cisneros"/>
    <x v="2"/>
    <s v="United States"/>
    <x v="93"/>
    <x v="9"/>
    <x v="0"/>
    <s v="FUR-FU-106211"/>
    <x v="0"/>
    <x v="0"/>
    <s v="Aurora Brushed Chrome Wall Clock, 14in"/>
    <n v="126.1164"/>
    <n v="9"/>
    <n v="-17.435099999999998"/>
    <x v="4"/>
    <x v="4"/>
  </r>
  <r>
    <x v="1481"/>
    <x v="942"/>
    <x v="930"/>
    <x v="2"/>
    <s v="MC-17541"/>
    <s v="Meghan Cisneros"/>
    <x v="2"/>
    <s v="United States"/>
    <x v="93"/>
    <x v="9"/>
    <x v="0"/>
    <s v="FUR-BO-106371"/>
    <x v="0"/>
    <x v="2"/>
    <s v="Fairmont Ladder Shelf, Black Metal Frame"/>
    <n v="1329.8393000000001"/>
    <n v="1"/>
    <n v="187.76079999999999"/>
    <x v="4"/>
    <x v="4"/>
  </r>
  <r>
    <x v="1482"/>
    <x v="808"/>
    <x v="606"/>
    <x v="3"/>
    <s v="JP-11891"/>
    <s v="Joanna Pacheco"/>
    <x v="0"/>
    <s v="United States"/>
    <x v="38"/>
    <x v="32"/>
    <x v="3"/>
    <s v="FUR-FU-108837"/>
    <x v="0"/>
    <x v="0"/>
    <s v="Ivanhoe Poster Frame, Aluminum"/>
    <n v="37.053699999999999"/>
    <n v="1"/>
    <n v="-8.7956000000000003"/>
    <x v="7"/>
    <x v="5"/>
  </r>
  <r>
    <x v="1482"/>
    <x v="808"/>
    <x v="606"/>
    <x v="3"/>
    <s v="JP-11891"/>
    <s v="Joanna Pacheco"/>
    <x v="0"/>
    <s v="United States"/>
    <x v="38"/>
    <x v="32"/>
    <x v="3"/>
    <s v="FUR-FU-107705"/>
    <x v="0"/>
    <x v="0"/>
    <s v="Hawthorne Desk Accessory Set, Oak"/>
    <n v="55.460599999999999"/>
    <n v="8"/>
    <n v="11.194800000000001"/>
    <x v="7"/>
    <x v="5"/>
  </r>
  <r>
    <x v="1482"/>
    <x v="808"/>
    <x v="606"/>
    <x v="3"/>
    <s v="JP-11891"/>
    <s v="Joanna Pacheco"/>
    <x v="0"/>
    <s v="United States"/>
    <x v="38"/>
    <x v="32"/>
    <x v="3"/>
    <s v="FUR-BO-106371"/>
    <x v="0"/>
    <x v="2"/>
    <s v="Fairmont Ladder Shelf, Black Metal Frame"/>
    <n v="74.701599999999999"/>
    <n v="6"/>
    <n v="-3.7972000000000001"/>
    <x v="7"/>
    <x v="5"/>
  </r>
  <r>
    <x v="1483"/>
    <x v="943"/>
    <x v="256"/>
    <x v="2"/>
    <s v="HV-19038"/>
    <s v="Holly Valentine"/>
    <x v="0"/>
    <s v="United States"/>
    <x v="99"/>
    <x v="20"/>
    <x v="2"/>
    <s v="FUR-CH-108751"/>
    <x v="0"/>
    <x v="1"/>
    <s v="Prescott Ergonomic Chair with Lumbar Support"/>
    <n v="3770.8132000000001"/>
    <n v="1"/>
    <n v="936.327"/>
    <x v="7"/>
    <x v="6"/>
  </r>
  <r>
    <x v="1483"/>
    <x v="943"/>
    <x v="256"/>
    <x v="2"/>
    <s v="HV-19038"/>
    <s v="Holly Valentine"/>
    <x v="0"/>
    <s v="United States"/>
    <x v="99"/>
    <x v="20"/>
    <x v="2"/>
    <s v="FUR-CH-106624"/>
    <x v="0"/>
    <x v="1"/>
    <s v="Adler Fabric Manager's Chair, Slate Gray"/>
    <n v="306.86500000000001"/>
    <n v="3"/>
    <n v="-79.375399999999999"/>
    <x v="7"/>
    <x v="6"/>
  </r>
  <r>
    <x v="1484"/>
    <x v="944"/>
    <x v="931"/>
    <x v="2"/>
    <s v="JS-13681"/>
    <s v="Jessica Stephens"/>
    <x v="0"/>
    <s v="United States"/>
    <x v="17"/>
    <x v="18"/>
    <x v="3"/>
    <s v="FUR-TA-103467"/>
    <x v="0"/>
    <x v="3"/>
    <s v="Kessler Round Bullnose High Table"/>
    <n v="951.96780000000001"/>
    <n v="3"/>
    <n v="270.10579999999999"/>
    <x v="3"/>
    <x v="2"/>
  </r>
  <r>
    <x v="1485"/>
    <x v="48"/>
    <x v="932"/>
    <x v="2"/>
    <s v="GW-20575"/>
    <s v="Glen Wood"/>
    <x v="1"/>
    <s v="United States"/>
    <x v="117"/>
    <x v="44"/>
    <x v="0"/>
    <s v="FUR-CH-101375"/>
    <x v="0"/>
    <x v="1"/>
    <s v="Sutton Push-Button Manager's Chair, Indigo"/>
    <n v="49.199100000000001"/>
    <n v="4"/>
    <n v="-20.854199999999999"/>
    <x v="3"/>
    <x v="9"/>
  </r>
  <r>
    <x v="1486"/>
    <x v="310"/>
    <x v="335"/>
    <x v="2"/>
    <s v="JJ-14808"/>
    <s v="Jeffrey Johnson"/>
    <x v="2"/>
    <s v="United States"/>
    <x v="33"/>
    <x v="23"/>
    <x v="2"/>
    <s v="FUR-TA-105355"/>
    <x v="0"/>
    <x v="3"/>
    <s v="Wexford Racetrack Conference Table"/>
    <n v="225.63220000000001"/>
    <n v="2"/>
    <n v="87.691299999999998"/>
    <x v="2"/>
    <x v="1"/>
  </r>
  <r>
    <x v="1487"/>
    <x v="945"/>
    <x v="307"/>
    <x v="2"/>
    <s v="SP-20975"/>
    <s v="Steve Paul"/>
    <x v="1"/>
    <s v="United States"/>
    <x v="115"/>
    <x v="12"/>
    <x v="2"/>
    <s v="FUR-TA-104262"/>
    <x v="0"/>
    <x v="3"/>
    <s v="Thorne End Table, 20-1/2H x 24W x 20D"/>
    <n v="1917.9614999999999"/>
    <n v="3"/>
    <n v="144.1816"/>
    <x v="4"/>
    <x v="1"/>
  </r>
  <r>
    <x v="1488"/>
    <x v="905"/>
    <x v="262"/>
    <x v="2"/>
    <s v="DM-19939"/>
    <s v="Denise Martinez"/>
    <x v="2"/>
    <s v="United States"/>
    <x v="33"/>
    <x v="23"/>
    <x v="2"/>
    <s v="FUR-BO-103595"/>
    <x v="0"/>
    <x v="2"/>
    <s v="Pinehurst 6-Shelf Industrial Bookcase"/>
    <n v="616.80650000000003"/>
    <n v="2"/>
    <n v="-93.084500000000006"/>
    <x v="1"/>
    <x v="3"/>
  </r>
  <r>
    <x v="1489"/>
    <x v="157"/>
    <x v="933"/>
    <x v="2"/>
    <s v="JM-13441"/>
    <s v="Jeffrey Mendez"/>
    <x v="0"/>
    <s v="United States"/>
    <x v="85"/>
    <x v="44"/>
    <x v="0"/>
    <s v="FUR-BO-107956"/>
    <x v="0"/>
    <x v="2"/>
    <s v="Sterling Wide Bookcase, Charcoal Gray"/>
    <n v="195.4734"/>
    <n v="3"/>
    <n v="30.420200000000001"/>
    <x v="0"/>
    <x v="2"/>
  </r>
  <r>
    <x v="1490"/>
    <x v="884"/>
    <x v="934"/>
    <x v="2"/>
    <s v="AS-17428"/>
    <s v="Amy Silva"/>
    <x v="1"/>
    <s v="United States"/>
    <x v="25"/>
    <x v="24"/>
    <x v="1"/>
    <s v="FUR-TA-105529"/>
    <x v="0"/>
    <x v="3"/>
    <s v="Fenwick Compact Office Desk"/>
    <n v="506.3064"/>
    <n v="6"/>
    <n v="-31.477"/>
    <x v="0"/>
    <x v="7"/>
  </r>
  <r>
    <x v="1491"/>
    <x v="468"/>
    <x v="935"/>
    <x v="2"/>
    <s v="PB-10387"/>
    <s v="Phillip Berry"/>
    <x v="2"/>
    <s v="United States"/>
    <x v="79"/>
    <x v="16"/>
    <x v="0"/>
    <s v="FUR-FU-105733"/>
    <x v="0"/>
    <x v="0"/>
    <s v="Sable Halogen Replacement Bulb, 2-Pack"/>
    <n v="48.006399999999999"/>
    <n v="3"/>
    <n v="-3.484"/>
    <x v="1"/>
    <x v="3"/>
  </r>
  <r>
    <x v="1492"/>
    <x v="946"/>
    <x v="936"/>
    <x v="2"/>
    <s v="BW-19189"/>
    <s v="Brenda Wright"/>
    <x v="2"/>
    <s v="United States"/>
    <x v="49"/>
    <x v="36"/>
    <x v="0"/>
    <s v="FUR-FU-101341"/>
    <x v="0"/>
    <x v="0"/>
    <s v="Griswold Chairmats for Medium Pile Carpet"/>
    <n v="24.219799999999999"/>
    <n v="4"/>
    <n v="7.2704000000000004"/>
    <x v="0"/>
    <x v="6"/>
  </r>
  <r>
    <x v="1493"/>
    <x v="731"/>
    <x v="937"/>
    <x v="2"/>
    <s v="JS-18085"/>
    <s v="Jose Schultz"/>
    <x v="2"/>
    <s v="United States"/>
    <x v="40"/>
    <x v="15"/>
    <x v="1"/>
    <s v="FUR-FU-106906"/>
    <x v="0"/>
    <x v="0"/>
    <s v="Cobalt LED Magnifier Lamp with Clamp Base"/>
    <n v="2"/>
    <n v="4"/>
    <n v="-1.6899999999999998E-2"/>
    <x v="7"/>
    <x v="7"/>
  </r>
  <r>
    <x v="1494"/>
    <x v="947"/>
    <x v="938"/>
    <x v="0"/>
    <s v="MO-19560"/>
    <s v="Megan Orr"/>
    <x v="0"/>
    <s v="United States"/>
    <x v="128"/>
    <x v="21"/>
    <x v="1"/>
    <s v="FUR-BO-100475"/>
    <x v="0"/>
    <x v="2"/>
    <s v="Overton 3-Shelf Corner Bookcase"/>
    <n v="313.69990000000001"/>
    <n v="2"/>
    <n v="144.34139999999999"/>
    <x v="7"/>
    <x v="7"/>
  </r>
  <r>
    <x v="1494"/>
    <x v="947"/>
    <x v="938"/>
    <x v="0"/>
    <s v="MO-19560"/>
    <s v="Megan Orr"/>
    <x v="0"/>
    <s v="United States"/>
    <x v="128"/>
    <x v="21"/>
    <x v="1"/>
    <s v="FUR-TA-105529"/>
    <x v="0"/>
    <x v="3"/>
    <s v="Fenwick Compact Office Desk"/>
    <n v="1406.7317"/>
    <n v="2"/>
    <n v="255.56489999999999"/>
    <x v="7"/>
    <x v="7"/>
  </r>
  <r>
    <x v="1495"/>
    <x v="948"/>
    <x v="489"/>
    <x v="1"/>
    <s v="TB-21931"/>
    <s v="Tammie Bright"/>
    <x v="0"/>
    <s v="United States"/>
    <x v="81"/>
    <x v="43"/>
    <x v="2"/>
    <s v="FUR-TA-107564"/>
    <x v="0"/>
    <x v="3"/>
    <s v="Bellwood Slim Training Table, Light Gray"/>
    <n v="992.46040000000005"/>
    <n v="2"/>
    <n v="-457.03250000000003"/>
    <x v="0"/>
    <x v="2"/>
  </r>
  <r>
    <x v="1495"/>
    <x v="948"/>
    <x v="489"/>
    <x v="1"/>
    <s v="TB-21931"/>
    <s v="Tammie Bright"/>
    <x v="0"/>
    <s v="United States"/>
    <x v="81"/>
    <x v="43"/>
    <x v="2"/>
    <s v="FUR-TA-103467"/>
    <x v="0"/>
    <x v="3"/>
    <s v="Kessler Round Bullnose High Table"/>
    <n v="1199.6967999999999"/>
    <n v="2"/>
    <n v="-220.46799999999999"/>
    <x v="0"/>
    <x v="2"/>
  </r>
  <r>
    <x v="1496"/>
    <x v="246"/>
    <x v="939"/>
    <x v="2"/>
    <s v="JK-13116"/>
    <s v="Joseph Knight"/>
    <x v="2"/>
    <s v="United States"/>
    <x v="21"/>
    <x v="18"/>
    <x v="3"/>
    <s v="FUR-CH-102704"/>
    <x v="0"/>
    <x v="1"/>
    <s v="Brookline High-Back Executive Chair, Black Leather"/>
    <n v="153.79470000000001"/>
    <n v="1"/>
    <n v="95.042299999999997"/>
    <x v="3"/>
    <x v="9"/>
  </r>
  <r>
    <x v="1497"/>
    <x v="57"/>
    <x v="611"/>
    <x v="2"/>
    <s v="AH-17179"/>
    <s v="Ashley Hicks"/>
    <x v="0"/>
    <s v="United States"/>
    <x v="120"/>
    <x v="42"/>
    <x v="1"/>
    <s v="FUR-FU-106211"/>
    <x v="0"/>
    <x v="0"/>
    <s v="Aurora Brushed Chrome Wall Clock, 14in"/>
    <n v="423.38029999999998"/>
    <n v="3"/>
    <n v="10.6251"/>
    <x v="4"/>
    <x v="8"/>
  </r>
  <r>
    <x v="1497"/>
    <x v="57"/>
    <x v="611"/>
    <x v="2"/>
    <s v="AH-17179"/>
    <s v="Ashley Hicks"/>
    <x v="0"/>
    <s v="United States"/>
    <x v="120"/>
    <x v="42"/>
    <x v="1"/>
    <s v="FUR-BO-107956"/>
    <x v="0"/>
    <x v="2"/>
    <s v="Sterling Wide Bookcase, Charcoal Gray"/>
    <n v="611.36360000000002"/>
    <n v="6"/>
    <n v="-388.37220000000002"/>
    <x v="4"/>
    <x v="8"/>
  </r>
  <r>
    <x v="1498"/>
    <x v="599"/>
    <x v="630"/>
    <x v="2"/>
    <s v="MM-13997"/>
    <s v="Michael Miller"/>
    <x v="2"/>
    <s v="United States"/>
    <x v="10"/>
    <x v="11"/>
    <x v="2"/>
    <s v="FUR-FU-101124"/>
    <x v="0"/>
    <x v="0"/>
    <s v="Rutledge Desk Organizer Tray, Letter Size"/>
    <n v="193.19200000000001"/>
    <n v="2"/>
    <n v="-16.526499999999999"/>
    <x v="2"/>
    <x v="5"/>
  </r>
  <r>
    <x v="1499"/>
    <x v="949"/>
    <x v="940"/>
    <x v="2"/>
    <s v="CH-12442"/>
    <s v="Courtney Hayes"/>
    <x v="2"/>
    <s v="United States"/>
    <x v="7"/>
    <x v="9"/>
    <x v="0"/>
    <s v="FUR-FU-103673"/>
    <x v="0"/>
    <x v="0"/>
    <s v="Corcoran Document Holder, Wood"/>
    <n v="31.867899999999999"/>
    <n v="2"/>
    <n v="10.612"/>
    <x v="0"/>
    <x v="7"/>
  </r>
  <r>
    <x v="1500"/>
    <x v="935"/>
    <x v="147"/>
    <x v="2"/>
    <s v="LH-15728"/>
    <s v="Lawrence Harrington"/>
    <x v="2"/>
    <s v="United States"/>
    <x v="102"/>
    <x v="35"/>
    <x v="3"/>
    <s v="FUR-CH-100444"/>
    <x v="0"/>
    <x v="1"/>
    <s v="Harborview Mesh Task Chair, Adjustable Arms"/>
    <n v="383.99740000000003"/>
    <n v="5"/>
    <n v="-174.31020000000001"/>
    <x v="4"/>
    <x v="7"/>
  </r>
  <r>
    <x v="1501"/>
    <x v="101"/>
    <x v="558"/>
    <x v="2"/>
    <s v="ME-13335"/>
    <s v="Mary Escobar"/>
    <x v="1"/>
    <s v="United States"/>
    <x v="57"/>
    <x v="0"/>
    <x v="0"/>
    <s v="FUR-TA-102223"/>
    <x v="0"/>
    <x v="3"/>
    <s v="Marchetti Round Conference Table, X-Base"/>
    <n v="329.84199999999998"/>
    <n v="2"/>
    <n v="205.76650000000001"/>
    <x v="3"/>
    <x v="11"/>
  </r>
  <r>
    <x v="1502"/>
    <x v="116"/>
    <x v="21"/>
    <x v="1"/>
    <s v="JD-14082"/>
    <s v="Janet Kane DVM"/>
    <x v="1"/>
    <s v="United States"/>
    <x v="84"/>
    <x v="29"/>
    <x v="0"/>
    <s v="FUR-FU-101124"/>
    <x v="0"/>
    <x v="0"/>
    <s v="Rutledge Desk Organizer Tray, Letter Size"/>
    <n v="32.551400000000001"/>
    <n v="3"/>
    <n v="13.055400000000001"/>
    <x v="1"/>
    <x v="6"/>
  </r>
  <r>
    <x v="1503"/>
    <x v="950"/>
    <x v="941"/>
    <x v="0"/>
    <s v="YB-13119"/>
    <s v="Yvonne Burns"/>
    <x v="2"/>
    <s v="United States"/>
    <x v="73"/>
    <x v="30"/>
    <x v="0"/>
    <s v="FUR-CH-106455"/>
    <x v="0"/>
    <x v="1"/>
    <s v="Nolan Leather Highback Chair, Pneumatic Adjustment"/>
    <n v="1681.4567"/>
    <n v="1"/>
    <n v="200.45259999999999"/>
    <x v="5"/>
    <x v="8"/>
  </r>
  <r>
    <x v="1504"/>
    <x v="951"/>
    <x v="875"/>
    <x v="2"/>
    <s v="RB-20972"/>
    <s v="Renee Bruce"/>
    <x v="2"/>
    <s v="United States"/>
    <x v="35"/>
    <x v="30"/>
    <x v="0"/>
    <s v="FUR-CH-109697"/>
    <x v="0"/>
    <x v="1"/>
    <s v="Rowan Mid-Back Tilter Chair"/>
    <n v="1541.4824000000001"/>
    <n v="5"/>
    <n v="-180.4408"/>
    <x v="7"/>
    <x v="0"/>
  </r>
  <r>
    <x v="1505"/>
    <x v="269"/>
    <x v="942"/>
    <x v="1"/>
    <s v="JR-20438"/>
    <s v="Jason Rhodes"/>
    <x v="2"/>
    <s v="United States"/>
    <x v="107"/>
    <x v="40"/>
    <x v="0"/>
    <s v="FUR-TA-107564"/>
    <x v="0"/>
    <x v="3"/>
    <s v="Bellwood Slim Training Table, Light Gray"/>
    <n v="170.01329999999999"/>
    <n v="6"/>
    <n v="-94.251300000000001"/>
    <x v="1"/>
    <x v="9"/>
  </r>
  <r>
    <x v="1506"/>
    <x v="209"/>
    <x v="102"/>
    <x v="2"/>
    <s v="LM-12170"/>
    <s v="Laura Mckinney"/>
    <x v="0"/>
    <s v="United States"/>
    <x v="111"/>
    <x v="8"/>
    <x v="1"/>
    <s v="FUR-TA-105363"/>
    <x v="0"/>
    <x v="3"/>
    <s v="Ashcombe Rectangular Table Top"/>
    <n v="1838.1132"/>
    <n v="8"/>
    <n v="-104.7787"/>
    <x v="4"/>
    <x v="11"/>
  </r>
  <r>
    <x v="1507"/>
    <x v="854"/>
    <x v="943"/>
    <x v="2"/>
    <s v="MT-20021"/>
    <s v="Mary Thompson"/>
    <x v="2"/>
    <s v="United States"/>
    <x v="123"/>
    <x v="24"/>
    <x v="1"/>
    <s v="FUR-FU-101124"/>
    <x v="0"/>
    <x v="0"/>
    <s v="Rutledge Desk Organizer Tray, Letter Size"/>
    <n v="15.2287"/>
    <n v="1"/>
    <n v="11.4221"/>
    <x v="2"/>
    <x v="3"/>
  </r>
  <r>
    <x v="1508"/>
    <x v="145"/>
    <x v="319"/>
    <x v="2"/>
    <s v="BH-12041"/>
    <s v="Barbara Hester"/>
    <x v="0"/>
    <s v="United States"/>
    <x v="121"/>
    <x v="3"/>
    <x v="1"/>
    <s v="FUR-FU-105733"/>
    <x v="0"/>
    <x v="0"/>
    <s v="Sable Halogen Replacement Bulb, 2-Pack"/>
    <n v="506.29480000000001"/>
    <n v="1"/>
    <n v="70.567099999999996"/>
    <x v="3"/>
    <x v="7"/>
  </r>
  <r>
    <x v="1509"/>
    <x v="198"/>
    <x v="507"/>
    <x v="2"/>
    <s v="RV-15313"/>
    <s v="Rebecca Valencia"/>
    <x v="0"/>
    <s v="United States"/>
    <x v="17"/>
    <x v="18"/>
    <x v="3"/>
    <s v="FUR-FU-101124"/>
    <x v="0"/>
    <x v="0"/>
    <s v="Rutledge Desk Organizer Tray, Letter Size"/>
    <n v="48.9129"/>
    <n v="3"/>
    <n v="31.000599999999999"/>
    <x v="7"/>
    <x v="3"/>
  </r>
  <r>
    <x v="1510"/>
    <x v="475"/>
    <x v="944"/>
    <x v="2"/>
    <s v="ML-11291"/>
    <s v="Michael Lewis"/>
    <x v="1"/>
    <s v="United States"/>
    <x v="49"/>
    <x v="36"/>
    <x v="0"/>
    <s v="FUR-CH-102091"/>
    <x v="0"/>
    <x v="1"/>
    <s v="Vantage Swivel Task Chair, Blue"/>
    <n v="928.41139999999996"/>
    <n v="5"/>
    <n v="26.5261"/>
    <x v="4"/>
    <x v="9"/>
  </r>
  <r>
    <x v="1510"/>
    <x v="475"/>
    <x v="944"/>
    <x v="2"/>
    <s v="ML-11291"/>
    <s v="Michael Lewis"/>
    <x v="1"/>
    <s v="United States"/>
    <x v="49"/>
    <x v="36"/>
    <x v="0"/>
    <s v="FUR-FU-104558"/>
    <x v="0"/>
    <x v="0"/>
    <s v="Lambert Swing Arm Desk Lamp"/>
    <n v="26.050799999999999"/>
    <n v="6"/>
    <n v="6.1874000000000002"/>
    <x v="4"/>
    <x v="9"/>
  </r>
  <r>
    <x v="1511"/>
    <x v="267"/>
    <x v="780"/>
    <x v="1"/>
    <s v="AH-20476"/>
    <s v="Allison Hill"/>
    <x v="0"/>
    <s v="United States"/>
    <x v="49"/>
    <x v="36"/>
    <x v="0"/>
    <s v="FUR-FU-106211"/>
    <x v="0"/>
    <x v="0"/>
    <s v="Aurora Brushed Chrome Wall Clock, 14in"/>
    <n v="71.633799999999994"/>
    <n v="2"/>
    <n v="-6.4810999999999996"/>
    <x v="1"/>
    <x v="11"/>
  </r>
  <r>
    <x v="1512"/>
    <x v="952"/>
    <x v="945"/>
    <x v="1"/>
    <s v="DM-17527"/>
    <s v="Danny Morgan"/>
    <x v="2"/>
    <s v="United States"/>
    <x v="58"/>
    <x v="32"/>
    <x v="3"/>
    <s v="FUR-CH-100444"/>
    <x v="0"/>
    <x v="1"/>
    <s v="Harborview Mesh Task Chair, Adjustable Arms"/>
    <n v="665.53679999999997"/>
    <n v="2"/>
    <n v="20.107299999999999"/>
    <x v="7"/>
    <x v="4"/>
  </r>
  <r>
    <x v="1512"/>
    <x v="952"/>
    <x v="945"/>
    <x v="1"/>
    <s v="DM-17527"/>
    <s v="Danny Morgan"/>
    <x v="2"/>
    <s v="United States"/>
    <x v="58"/>
    <x v="32"/>
    <x v="3"/>
    <s v="FUR-FU-105733"/>
    <x v="0"/>
    <x v="0"/>
    <s v="Sable Halogen Replacement Bulb, 2-Pack"/>
    <n v="35.307899999999997"/>
    <n v="2"/>
    <n v="-2.3456999999999999"/>
    <x v="7"/>
    <x v="4"/>
  </r>
  <r>
    <x v="1513"/>
    <x v="708"/>
    <x v="293"/>
    <x v="2"/>
    <s v="JM-15198"/>
    <s v="Jennifer Miranda"/>
    <x v="0"/>
    <s v="United States"/>
    <x v="120"/>
    <x v="42"/>
    <x v="1"/>
    <s v="FUR-TA-102977"/>
    <x v="0"/>
    <x v="3"/>
    <s v="Caldwell 44 x 96 Conference Table"/>
    <n v="428.23849999999999"/>
    <n v="3"/>
    <n v="-172.94900000000001"/>
    <x v="6"/>
    <x v="9"/>
  </r>
  <r>
    <x v="1514"/>
    <x v="71"/>
    <x v="258"/>
    <x v="0"/>
    <s v="CC-10400"/>
    <s v="Casey Chase"/>
    <x v="1"/>
    <s v="United States"/>
    <x v="28"/>
    <x v="4"/>
    <x v="1"/>
    <s v="FUR-FU-106211"/>
    <x v="0"/>
    <x v="0"/>
    <s v="Aurora Brushed Chrome Wall Clock, 14in"/>
    <n v="40.738500000000002"/>
    <n v="6"/>
    <n v="18.464200000000002"/>
    <x v="0"/>
    <x v="10"/>
  </r>
  <r>
    <x v="1515"/>
    <x v="145"/>
    <x v="145"/>
    <x v="2"/>
    <s v="RG-14092"/>
    <s v="Ryan Gonzalez"/>
    <x v="0"/>
    <s v="United States"/>
    <x v="75"/>
    <x v="39"/>
    <x v="0"/>
    <s v="FUR-CH-105507"/>
    <x v="0"/>
    <x v="1"/>
    <s v="Kingsley Mesh-Back Task Chair"/>
    <n v="683.33669999999995"/>
    <n v="8"/>
    <n v="443.75450000000001"/>
    <x v="0"/>
    <x v="7"/>
  </r>
  <r>
    <x v="1516"/>
    <x v="858"/>
    <x v="700"/>
    <x v="2"/>
    <s v="JP-15635"/>
    <s v="John Pierce"/>
    <x v="2"/>
    <s v="United States"/>
    <x v="121"/>
    <x v="3"/>
    <x v="1"/>
    <s v="FUR-FU-107705"/>
    <x v="0"/>
    <x v="0"/>
    <s v="Hawthorne Desk Accessory Set, Oak"/>
    <n v="13.708500000000001"/>
    <n v="5"/>
    <n v="1.7769999999999999"/>
    <x v="0"/>
    <x v="1"/>
  </r>
  <r>
    <x v="1516"/>
    <x v="858"/>
    <x v="700"/>
    <x v="2"/>
    <s v="JP-15635"/>
    <s v="John Pierce"/>
    <x v="2"/>
    <s v="United States"/>
    <x v="121"/>
    <x v="3"/>
    <x v="1"/>
    <s v="FUR-FU-105733"/>
    <x v="0"/>
    <x v="0"/>
    <s v="Sable Halogen Replacement Bulb, 2-Pack"/>
    <n v="465.4092"/>
    <n v="3"/>
    <n v="182.4829"/>
    <x v="0"/>
    <x v="1"/>
  </r>
  <r>
    <x v="1516"/>
    <x v="858"/>
    <x v="700"/>
    <x v="2"/>
    <s v="JP-15635"/>
    <s v="John Pierce"/>
    <x v="2"/>
    <s v="United States"/>
    <x v="121"/>
    <x v="3"/>
    <x v="1"/>
    <s v="FUR-FU-100853"/>
    <x v="0"/>
    <x v="0"/>
    <s v="Blaine Cubicle Wall Clock, Black"/>
    <n v="62.815899999999999"/>
    <n v="3"/>
    <n v="7.6654999999999998"/>
    <x v="0"/>
    <x v="1"/>
  </r>
  <r>
    <x v="1517"/>
    <x v="238"/>
    <x v="946"/>
    <x v="2"/>
    <s v="KG-18423"/>
    <s v="Kimberly Gutierrez"/>
    <x v="0"/>
    <s v="United States"/>
    <x v="52"/>
    <x v="38"/>
    <x v="1"/>
    <s v="FUR-TA-105363"/>
    <x v="0"/>
    <x v="3"/>
    <s v="Ashcombe Rectangular Table Top"/>
    <n v="948.04790000000003"/>
    <n v="3"/>
    <n v="199.8458"/>
    <x v="0"/>
    <x v="7"/>
  </r>
  <r>
    <x v="1518"/>
    <x v="953"/>
    <x v="922"/>
    <x v="2"/>
    <s v="LS-14246"/>
    <s v="Lori Simmons"/>
    <x v="2"/>
    <s v="United States"/>
    <x v="18"/>
    <x v="19"/>
    <x v="2"/>
    <s v="FUR-TA-107022"/>
    <x v="0"/>
    <x v="3"/>
    <s v="Alden Rectangular Conference Table"/>
    <n v="3289.1116999999999"/>
    <n v="4"/>
    <n v="-597.02329999999995"/>
    <x v="2"/>
    <x v="1"/>
  </r>
  <r>
    <x v="1519"/>
    <x v="954"/>
    <x v="559"/>
    <x v="0"/>
    <s v="HW-10634"/>
    <s v="Heather Williams"/>
    <x v="2"/>
    <s v="United States"/>
    <x v="60"/>
    <x v="40"/>
    <x v="0"/>
    <s v="FUR-CH-101375"/>
    <x v="0"/>
    <x v="1"/>
    <s v="Sutton Push-Button Manager's Chair, Indigo"/>
    <n v="800.59990000000005"/>
    <n v="3"/>
    <n v="27.206"/>
    <x v="3"/>
    <x v="4"/>
  </r>
  <r>
    <x v="1519"/>
    <x v="954"/>
    <x v="559"/>
    <x v="0"/>
    <s v="HW-10634"/>
    <s v="Heather Williams"/>
    <x v="2"/>
    <s v="United States"/>
    <x v="60"/>
    <x v="40"/>
    <x v="0"/>
    <s v="FUR-FU-107705"/>
    <x v="0"/>
    <x v="0"/>
    <s v="Hawthorne Desk Accessory Set, Oak"/>
    <n v="345.67529999999999"/>
    <n v="7"/>
    <n v="14.846399999999999"/>
    <x v="3"/>
    <x v="4"/>
  </r>
  <r>
    <x v="1520"/>
    <x v="955"/>
    <x v="947"/>
    <x v="2"/>
    <s v="AH-10409"/>
    <s v="Angie Henderson"/>
    <x v="2"/>
    <s v="United States"/>
    <x v="19"/>
    <x v="20"/>
    <x v="2"/>
    <s v="FUR-FU-106211"/>
    <x v="0"/>
    <x v="0"/>
    <s v="Aurora Brushed Chrome Wall Clock, 14in"/>
    <n v="456.90030000000002"/>
    <n v="3"/>
    <n v="214.25700000000001"/>
    <x v="7"/>
    <x v="6"/>
  </r>
  <r>
    <x v="1521"/>
    <x v="861"/>
    <x v="948"/>
    <x v="1"/>
    <s v="MB-21302"/>
    <s v="Mark Brown"/>
    <x v="0"/>
    <s v="United States"/>
    <x v="76"/>
    <x v="34"/>
    <x v="1"/>
    <s v="FUR-TA-100823"/>
    <x v="0"/>
    <x v="3"/>
    <s v="Redstone Wood Tables, Set of 2"/>
    <n v="1111.5513000000001"/>
    <n v="3"/>
    <n v="619.44979999999998"/>
    <x v="7"/>
    <x v="8"/>
  </r>
  <r>
    <x v="1522"/>
    <x v="265"/>
    <x v="852"/>
    <x v="2"/>
    <s v="JR-12184"/>
    <s v="Joshua Rice"/>
    <x v="2"/>
    <s v="United States"/>
    <x v="7"/>
    <x v="9"/>
    <x v="0"/>
    <s v="FUR-FU-106211"/>
    <x v="0"/>
    <x v="0"/>
    <s v="Aurora Brushed Chrome Wall Clock, 14in"/>
    <n v="2"/>
    <n v="2"/>
    <n v="0.1905"/>
    <x v="0"/>
    <x v="7"/>
  </r>
  <r>
    <x v="1523"/>
    <x v="359"/>
    <x v="612"/>
    <x v="2"/>
    <s v="TH-17373"/>
    <s v="Travis Hobbs"/>
    <x v="0"/>
    <s v="United States"/>
    <x v="36"/>
    <x v="31"/>
    <x v="2"/>
    <s v="FUR-FU-100853"/>
    <x v="0"/>
    <x v="0"/>
    <s v="Blaine Cubicle Wall Clock, Black"/>
    <n v="48.478099999999998"/>
    <n v="1"/>
    <n v="17.120699999999999"/>
    <x v="7"/>
    <x v="1"/>
  </r>
  <r>
    <x v="1524"/>
    <x v="51"/>
    <x v="949"/>
    <x v="2"/>
    <s v="JT-11160"/>
    <s v="Jose Travis"/>
    <x v="2"/>
    <s v="United States"/>
    <x v="65"/>
    <x v="41"/>
    <x v="3"/>
    <s v="FUR-FU-106211"/>
    <x v="0"/>
    <x v="0"/>
    <s v="Aurora Brushed Chrome Wall Clock, 14in"/>
    <n v="23.655999999999999"/>
    <n v="6"/>
    <n v="6.8756000000000004"/>
    <x v="5"/>
    <x v="6"/>
  </r>
  <r>
    <x v="1525"/>
    <x v="794"/>
    <x v="950"/>
    <x v="2"/>
    <s v="WJ-14088"/>
    <s v="William Jones"/>
    <x v="2"/>
    <s v="United States"/>
    <x v="5"/>
    <x v="5"/>
    <x v="2"/>
    <s v="FUR-CH-107657"/>
    <x v="0"/>
    <x v="1"/>
    <s v="Hollis Stacking Chair, Rounded Back"/>
    <n v="222.6052"/>
    <n v="3"/>
    <n v="-46.4876"/>
    <x v="2"/>
    <x v="3"/>
  </r>
  <r>
    <x v="1526"/>
    <x v="603"/>
    <x v="281"/>
    <x v="1"/>
    <s v="RJ-16797"/>
    <s v="Robert Jackson"/>
    <x v="1"/>
    <s v="United States"/>
    <x v="79"/>
    <x v="16"/>
    <x v="0"/>
    <s v="FUR-CH-102704"/>
    <x v="0"/>
    <x v="1"/>
    <s v="Brookline High-Back Executive Chair, Black Leather"/>
    <n v="884.31700000000001"/>
    <n v="7"/>
    <n v="61.630200000000002"/>
    <x v="7"/>
    <x v="8"/>
  </r>
  <r>
    <x v="1527"/>
    <x v="125"/>
    <x v="125"/>
    <x v="2"/>
    <s v="EW-20168"/>
    <s v="Evelyn Williams"/>
    <x v="0"/>
    <s v="United States"/>
    <x v="39"/>
    <x v="33"/>
    <x v="3"/>
    <s v="FUR-FU-106906"/>
    <x v="0"/>
    <x v="0"/>
    <s v="Cobalt LED Magnifier Lamp with Clamp Base"/>
    <n v="46.993699999999997"/>
    <n v="2"/>
    <n v="0.32240000000000002"/>
    <x v="6"/>
    <x v="9"/>
  </r>
  <r>
    <x v="1528"/>
    <x v="509"/>
    <x v="516"/>
    <x v="2"/>
    <s v="DP-18689"/>
    <s v="Dr. Hannah Patterson"/>
    <x v="2"/>
    <s v="United States"/>
    <x v="129"/>
    <x v="2"/>
    <x v="0"/>
    <s v="FUR-FU-101124"/>
    <x v="0"/>
    <x v="0"/>
    <s v="Rutledge Desk Organizer Tray, Letter Size"/>
    <n v="66.724000000000004"/>
    <n v="1"/>
    <n v="38.814399999999999"/>
    <x v="0"/>
    <x v="6"/>
  </r>
  <r>
    <x v="1529"/>
    <x v="956"/>
    <x v="951"/>
    <x v="2"/>
    <s v="DG-14700"/>
    <s v="David Grant"/>
    <x v="2"/>
    <s v="United States"/>
    <x v="69"/>
    <x v="41"/>
    <x v="3"/>
    <s v="FUR-FU-101124"/>
    <x v="0"/>
    <x v="0"/>
    <s v="Rutledge Desk Organizer Tray, Letter Size"/>
    <n v="21.691400000000002"/>
    <n v="1"/>
    <n v="-3.2826"/>
    <x v="4"/>
    <x v="7"/>
  </r>
  <r>
    <x v="1530"/>
    <x v="262"/>
    <x v="223"/>
    <x v="2"/>
    <s v="GP-19502"/>
    <s v="Gregory Peck"/>
    <x v="1"/>
    <s v="United States"/>
    <x v="86"/>
    <x v="43"/>
    <x v="2"/>
    <s v="FUR-FU-107705"/>
    <x v="0"/>
    <x v="0"/>
    <s v="Hawthorne Desk Accessory Set, Oak"/>
    <n v="105.0744"/>
    <n v="3"/>
    <n v="37.057899999999997"/>
    <x v="7"/>
    <x v="6"/>
  </r>
  <r>
    <x v="1531"/>
    <x v="957"/>
    <x v="903"/>
    <x v="0"/>
    <s v="JH-11146"/>
    <s v="Julie Herrera"/>
    <x v="1"/>
    <s v="United States"/>
    <x v="2"/>
    <x v="2"/>
    <x v="0"/>
    <s v="FUR-FU-106906"/>
    <x v="0"/>
    <x v="0"/>
    <s v="Cobalt LED Magnifier Lamp with Clamp Base"/>
    <n v="264.13200000000001"/>
    <n v="3"/>
    <n v="133.82089999999999"/>
    <x v="0"/>
    <x v="6"/>
  </r>
  <r>
    <x v="1532"/>
    <x v="810"/>
    <x v="816"/>
    <x v="2"/>
    <s v="DT-18238"/>
    <s v="David Thompson"/>
    <x v="0"/>
    <s v="United States"/>
    <x v="114"/>
    <x v="42"/>
    <x v="1"/>
    <s v="FUR-FU-106906"/>
    <x v="0"/>
    <x v="0"/>
    <s v="Cobalt LED Magnifier Lamp with Clamp Base"/>
    <n v="1341.9942000000001"/>
    <n v="5"/>
    <n v="439.81029999999998"/>
    <x v="1"/>
    <x v="4"/>
  </r>
  <r>
    <x v="1533"/>
    <x v="177"/>
    <x v="952"/>
    <x v="0"/>
    <s v="TS-12504"/>
    <s v="Tina Sanders"/>
    <x v="1"/>
    <s v="United States"/>
    <x v="6"/>
    <x v="6"/>
    <x v="1"/>
    <s v="FUR-FU-106211"/>
    <x v="0"/>
    <x v="0"/>
    <s v="Aurora Brushed Chrome Wall Clock, 14in"/>
    <n v="57.541200000000003"/>
    <n v="3"/>
    <n v="0.16200000000000001"/>
    <x v="0"/>
    <x v="7"/>
  </r>
  <r>
    <x v="1534"/>
    <x v="958"/>
    <x v="953"/>
    <x v="0"/>
    <s v="SW-14073"/>
    <s v="Stephanie Williams"/>
    <x v="2"/>
    <s v="United States"/>
    <x v="96"/>
    <x v="15"/>
    <x v="1"/>
    <s v="FUR-BO-107999"/>
    <x v="0"/>
    <x v="2"/>
    <s v="Braxton Barrister Bookcase, Mahogany"/>
    <n v="317.61700000000002"/>
    <n v="6"/>
    <n v="-51.438400000000001"/>
    <x v="3"/>
    <x v="9"/>
  </r>
  <r>
    <x v="1535"/>
    <x v="959"/>
    <x v="954"/>
    <x v="0"/>
    <s v="MH-11424"/>
    <s v="Monica Herrera"/>
    <x v="1"/>
    <s v="United States"/>
    <x v="13"/>
    <x v="14"/>
    <x v="3"/>
    <s v="FUR-FU-106906"/>
    <x v="0"/>
    <x v="0"/>
    <s v="Cobalt LED Magnifier Lamp with Clamp Base"/>
    <n v="26.834399999999999"/>
    <n v="2"/>
    <n v="7.9494999999999996"/>
    <x v="7"/>
    <x v="1"/>
  </r>
  <r>
    <x v="1536"/>
    <x v="37"/>
    <x v="538"/>
    <x v="0"/>
    <s v="DK-12266"/>
    <s v="Daniel Kennedy"/>
    <x v="1"/>
    <s v="United States"/>
    <x v="5"/>
    <x v="5"/>
    <x v="2"/>
    <s v="FUR-FU-106211"/>
    <x v="0"/>
    <x v="0"/>
    <s v="Aurora Brushed Chrome Wall Clock, 14in"/>
    <n v="21.0289"/>
    <n v="1"/>
    <n v="8.4285999999999994"/>
    <x v="7"/>
    <x v="1"/>
  </r>
  <r>
    <x v="1537"/>
    <x v="793"/>
    <x v="72"/>
    <x v="2"/>
    <s v="EB-18280"/>
    <s v="Emily Bennett"/>
    <x v="2"/>
    <s v="United States"/>
    <x v="90"/>
    <x v="45"/>
    <x v="3"/>
    <s v="FUR-FU-107705"/>
    <x v="0"/>
    <x v="0"/>
    <s v="Hawthorne Desk Accessory Set, Oak"/>
    <n v="5.3455000000000004"/>
    <n v="7"/>
    <n v="-1.2779"/>
    <x v="7"/>
    <x v="10"/>
  </r>
  <r>
    <x v="1538"/>
    <x v="960"/>
    <x v="955"/>
    <x v="0"/>
    <s v="BK-21321"/>
    <s v="Brittany Kim"/>
    <x v="2"/>
    <s v="United States"/>
    <x v="111"/>
    <x v="8"/>
    <x v="1"/>
    <s v="FUR-BO-106865"/>
    <x v="0"/>
    <x v="2"/>
    <s v="Hartwell Oak 5-Shelf Bookcase"/>
    <n v="421.09300000000002"/>
    <n v="3"/>
    <n v="-184.8784"/>
    <x v="0"/>
    <x v="8"/>
  </r>
  <r>
    <x v="1539"/>
    <x v="0"/>
    <x v="956"/>
    <x v="2"/>
    <s v="FW-17784"/>
    <s v="Franklin Wright"/>
    <x v="2"/>
    <s v="United States"/>
    <x v="17"/>
    <x v="18"/>
    <x v="3"/>
    <s v="FUR-CH-101375"/>
    <x v="0"/>
    <x v="1"/>
    <s v="Sutton Push-Button Manager's Chair, Indigo"/>
    <n v="289.88290000000001"/>
    <n v="2"/>
    <n v="-63.412199999999999"/>
    <x v="7"/>
    <x v="0"/>
  </r>
  <r>
    <x v="1539"/>
    <x v="0"/>
    <x v="956"/>
    <x v="2"/>
    <s v="FW-17784"/>
    <s v="Franklin Wright"/>
    <x v="2"/>
    <s v="United States"/>
    <x v="17"/>
    <x v="18"/>
    <x v="3"/>
    <s v="FUR-FU-104133"/>
    <x v="0"/>
    <x v="0"/>
    <s v="Preston Wood Photo Frame, Mahogany"/>
    <n v="163.88210000000001"/>
    <n v="5"/>
    <n v="-15.3574"/>
    <x v="7"/>
    <x v="0"/>
  </r>
  <r>
    <x v="1540"/>
    <x v="190"/>
    <x v="734"/>
    <x v="2"/>
    <s v="PT-15804"/>
    <s v="Patrick Thornton"/>
    <x v="2"/>
    <s v="United States"/>
    <x v="3"/>
    <x v="3"/>
    <x v="1"/>
    <s v="FUR-FU-104133"/>
    <x v="0"/>
    <x v="0"/>
    <s v="Preston Wood Photo Frame, Mahogany"/>
    <n v="272.43329999999997"/>
    <n v="4"/>
    <n v="-61.316600000000001"/>
    <x v="1"/>
    <x v="10"/>
  </r>
  <r>
    <x v="1541"/>
    <x v="346"/>
    <x v="957"/>
    <x v="2"/>
    <s v="MR-13652"/>
    <s v="Meghan Rush"/>
    <x v="2"/>
    <s v="United States"/>
    <x v="38"/>
    <x v="32"/>
    <x v="3"/>
    <s v="FUR-TA-106211"/>
    <x v="0"/>
    <x v="3"/>
    <s v="Grantham Half-Moon Meeting Table"/>
    <n v="343.31970000000001"/>
    <n v="1"/>
    <n v="111.1463"/>
    <x v="4"/>
    <x v="0"/>
  </r>
  <r>
    <x v="1541"/>
    <x v="346"/>
    <x v="957"/>
    <x v="2"/>
    <s v="MR-13652"/>
    <s v="Meghan Rush"/>
    <x v="2"/>
    <s v="United States"/>
    <x v="38"/>
    <x v="32"/>
    <x v="3"/>
    <s v="FUR-TA-107022"/>
    <x v="0"/>
    <x v="3"/>
    <s v="Alden Rectangular Conference Table"/>
    <n v="528.84619999999995"/>
    <n v="4"/>
    <n v="116.56319999999999"/>
    <x v="4"/>
    <x v="0"/>
  </r>
  <r>
    <x v="1541"/>
    <x v="346"/>
    <x v="957"/>
    <x v="2"/>
    <s v="MR-13652"/>
    <s v="Meghan Rush"/>
    <x v="2"/>
    <s v="United States"/>
    <x v="38"/>
    <x v="32"/>
    <x v="3"/>
    <s v="FUR-CH-101375"/>
    <x v="0"/>
    <x v="1"/>
    <s v="Sutton Push-Button Manager's Chair, Indigo"/>
    <n v="283.56"/>
    <n v="2"/>
    <n v="63.673299999999998"/>
    <x v="4"/>
    <x v="0"/>
  </r>
  <r>
    <x v="1542"/>
    <x v="791"/>
    <x v="958"/>
    <x v="2"/>
    <s v="SS-11169"/>
    <s v="Shirley Suarez"/>
    <x v="1"/>
    <s v="United States"/>
    <x v="23"/>
    <x v="5"/>
    <x v="2"/>
    <s v="FUR-FU-101341"/>
    <x v="0"/>
    <x v="0"/>
    <s v="Griswold Chairmats for Medium Pile Carpet"/>
    <n v="86.261899999999997"/>
    <n v="4"/>
    <n v="6.9875999999999996"/>
    <x v="3"/>
    <x v="1"/>
  </r>
  <r>
    <x v="1543"/>
    <x v="472"/>
    <x v="959"/>
    <x v="0"/>
    <s v="CH-12442"/>
    <s v="Courtney Hayes"/>
    <x v="0"/>
    <s v="United States"/>
    <x v="22"/>
    <x v="22"/>
    <x v="2"/>
    <s v="FUR-FU-107705"/>
    <x v="0"/>
    <x v="0"/>
    <s v="Hawthorne Desk Accessory Set, Oak"/>
    <n v="214.72030000000001"/>
    <n v="3"/>
    <n v="-9.4243000000000006"/>
    <x v="0"/>
    <x v="10"/>
  </r>
  <r>
    <x v="1544"/>
    <x v="961"/>
    <x v="676"/>
    <x v="2"/>
    <s v="JW-14543"/>
    <s v="James Webster"/>
    <x v="1"/>
    <s v="United States"/>
    <x v="84"/>
    <x v="29"/>
    <x v="0"/>
    <s v="FUR-TA-102223"/>
    <x v="0"/>
    <x v="3"/>
    <s v="Marchetti Round Conference Table, X-Base"/>
    <n v="232.2159"/>
    <n v="4"/>
    <n v="91.140500000000003"/>
    <x v="1"/>
    <x v="7"/>
  </r>
  <r>
    <x v="1545"/>
    <x v="210"/>
    <x v="620"/>
    <x v="1"/>
    <s v="DW-18669"/>
    <s v="David Wright"/>
    <x v="2"/>
    <s v="United States"/>
    <x v="36"/>
    <x v="31"/>
    <x v="2"/>
    <s v="FUR-FU-101124"/>
    <x v="0"/>
    <x v="0"/>
    <s v="Rutledge Desk Organizer Tray, Letter Size"/>
    <n v="81.7393"/>
    <n v="5"/>
    <n v="-14.351000000000001"/>
    <x v="1"/>
    <x v="3"/>
  </r>
  <r>
    <x v="1546"/>
    <x v="779"/>
    <x v="102"/>
    <x v="3"/>
    <s v="MB-15421"/>
    <s v="Maria Brown"/>
    <x v="2"/>
    <s v="United States"/>
    <x v="102"/>
    <x v="35"/>
    <x v="3"/>
    <s v="FUR-FU-104558"/>
    <x v="0"/>
    <x v="0"/>
    <s v="Lambert Swing Arm Desk Lamp"/>
    <n v="34.4298"/>
    <n v="5"/>
    <n v="11.827400000000001"/>
    <x v="7"/>
    <x v="11"/>
  </r>
  <r>
    <x v="1547"/>
    <x v="962"/>
    <x v="960"/>
    <x v="2"/>
    <s v="PB-14119"/>
    <s v="Pamela Boyd"/>
    <x v="1"/>
    <s v="United States"/>
    <x v="3"/>
    <x v="3"/>
    <x v="1"/>
    <s v="FUR-FU-106906"/>
    <x v="0"/>
    <x v="0"/>
    <s v="Cobalt LED Magnifier Lamp with Clamp Base"/>
    <n v="7.8479999999999999"/>
    <n v="4"/>
    <n v="-4.1638999999999999"/>
    <x v="5"/>
    <x v="9"/>
  </r>
  <r>
    <x v="1548"/>
    <x v="794"/>
    <x v="571"/>
    <x v="2"/>
    <s v="KG-11832"/>
    <s v="Karen Graham"/>
    <x v="0"/>
    <s v="United States"/>
    <x v="97"/>
    <x v="32"/>
    <x v="3"/>
    <s v="FUR-CH-105507"/>
    <x v="0"/>
    <x v="1"/>
    <s v="Kingsley Mesh-Back Task Chair"/>
    <n v="305.0591"/>
    <n v="4"/>
    <n v="76.850499999999997"/>
    <x v="5"/>
    <x v="3"/>
  </r>
  <r>
    <x v="1549"/>
    <x v="63"/>
    <x v="89"/>
    <x v="2"/>
    <s v="LB-15820"/>
    <s v="Lisa Barnes"/>
    <x v="2"/>
    <s v="United States"/>
    <x v="14"/>
    <x v="15"/>
    <x v="1"/>
    <s v="FUR-FU-107705"/>
    <x v="0"/>
    <x v="0"/>
    <s v="Hawthorne Desk Accessory Set, Oak"/>
    <n v="56.252800000000001"/>
    <n v="2"/>
    <n v="32.194699999999997"/>
    <x v="7"/>
    <x v="4"/>
  </r>
  <r>
    <x v="1550"/>
    <x v="857"/>
    <x v="95"/>
    <x v="1"/>
    <s v="AJ-16389"/>
    <s v="Adam Jackson"/>
    <x v="1"/>
    <s v="United States"/>
    <x v="50"/>
    <x v="21"/>
    <x v="1"/>
    <s v="FUR-FU-101341"/>
    <x v="0"/>
    <x v="0"/>
    <s v="Griswold Chairmats for Medium Pile Carpet"/>
    <n v="50.9788"/>
    <n v="3"/>
    <n v="15.0943"/>
    <x v="0"/>
    <x v="0"/>
  </r>
  <r>
    <x v="1551"/>
    <x v="611"/>
    <x v="237"/>
    <x v="2"/>
    <s v="EW-12060"/>
    <s v="Erin Warner"/>
    <x v="2"/>
    <s v="United States"/>
    <x v="117"/>
    <x v="44"/>
    <x v="0"/>
    <s v="FUR-FU-105733"/>
    <x v="0"/>
    <x v="0"/>
    <s v="Sable Halogen Replacement Bulb, 2-Pack"/>
    <n v="7.4145000000000003"/>
    <n v="2"/>
    <n v="-9.7900000000000001E-2"/>
    <x v="3"/>
    <x v="3"/>
  </r>
  <r>
    <x v="1552"/>
    <x v="551"/>
    <x v="961"/>
    <x v="2"/>
    <s v="AK-10750"/>
    <s v="Amber Kidd"/>
    <x v="2"/>
    <s v="United States"/>
    <x v="52"/>
    <x v="38"/>
    <x v="1"/>
    <s v="FUR-TA-107022"/>
    <x v="0"/>
    <x v="3"/>
    <s v="Alden Rectangular Conference Table"/>
    <n v="553.44680000000005"/>
    <n v="1"/>
    <n v="-278.81180000000001"/>
    <x v="3"/>
    <x v="11"/>
  </r>
  <r>
    <x v="1553"/>
    <x v="963"/>
    <x v="922"/>
    <x v="1"/>
    <s v="RR-12881"/>
    <s v="Robert Reese"/>
    <x v="0"/>
    <s v="United States"/>
    <x v="6"/>
    <x v="6"/>
    <x v="1"/>
    <s v="FUR-FU-107705"/>
    <x v="0"/>
    <x v="0"/>
    <s v="Hawthorne Desk Accessory Set, Oak"/>
    <n v="53.875300000000003"/>
    <n v="6"/>
    <n v="20.295500000000001"/>
    <x v="7"/>
    <x v="1"/>
  </r>
  <r>
    <x v="1554"/>
    <x v="866"/>
    <x v="294"/>
    <x v="1"/>
    <s v="LH-20942"/>
    <s v="Lori Hernandez"/>
    <x v="2"/>
    <s v="United States"/>
    <x v="86"/>
    <x v="43"/>
    <x v="2"/>
    <s v="FUR-FU-101341"/>
    <x v="0"/>
    <x v="0"/>
    <s v="Griswold Chairmats for Medium Pile Carpet"/>
    <n v="22.212800000000001"/>
    <n v="3"/>
    <n v="4.4945000000000004"/>
    <x v="7"/>
    <x v="7"/>
  </r>
  <r>
    <x v="1555"/>
    <x v="26"/>
    <x v="962"/>
    <x v="2"/>
    <s v="GW-20575"/>
    <s v="Glen Wood"/>
    <x v="1"/>
    <s v="United States"/>
    <x v="104"/>
    <x v="26"/>
    <x v="3"/>
    <s v="FUR-FU-101341"/>
    <x v="0"/>
    <x v="0"/>
    <s v="Griswold Chairmats for Medium Pile Carpet"/>
    <n v="7.8465999999999996"/>
    <n v="5"/>
    <n v="1.1923999999999999"/>
    <x v="3"/>
    <x v="11"/>
  </r>
  <r>
    <x v="1556"/>
    <x v="964"/>
    <x v="619"/>
    <x v="2"/>
    <s v="BD-17953"/>
    <s v="Barbara Dudley"/>
    <x v="1"/>
    <s v="United States"/>
    <x v="85"/>
    <x v="44"/>
    <x v="0"/>
    <s v="FUR-CH-105507"/>
    <x v="0"/>
    <x v="1"/>
    <s v="Kingsley Mesh-Back Task Chair"/>
    <n v="81.135300000000001"/>
    <n v="7"/>
    <n v="-9.4110999999999994"/>
    <x v="4"/>
    <x v="0"/>
  </r>
  <r>
    <x v="1556"/>
    <x v="964"/>
    <x v="619"/>
    <x v="2"/>
    <s v="BD-17953"/>
    <s v="Barbara Dudley"/>
    <x v="1"/>
    <s v="United States"/>
    <x v="85"/>
    <x v="44"/>
    <x v="0"/>
    <s v="FUR-TA-106211"/>
    <x v="0"/>
    <x v="3"/>
    <s v="Grantham Half-Moon Meeting Table"/>
    <n v="1001.4837"/>
    <n v="3"/>
    <n v="311.70580000000001"/>
    <x v="4"/>
    <x v="0"/>
  </r>
  <r>
    <x v="1557"/>
    <x v="965"/>
    <x v="231"/>
    <x v="2"/>
    <s v="SS-11049"/>
    <s v="Susan Serrano"/>
    <x v="2"/>
    <s v="United States"/>
    <x v="98"/>
    <x v="46"/>
    <x v="3"/>
    <s v="FUR-CH-106624"/>
    <x v="0"/>
    <x v="1"/>
    <s v="Adler Fabric Manager's Chair, Slate Gray"/>
    <n v="250.51689999999999"/>
    <n v="4"/>
    <n v="-48.844999999999999"/>
    <x v="4"/>
    <x v="1"/>
  </r>
  <r>
    <x v="1557"/>
    <x v="965"/>
    <x v="231"/>
    <x v="2"/>
    <s v="SS-11049"/>
    <s v="Susan Serrano"/>
    <x v="2"/>
    <s v="United States"/>
    <x v="98"/>
    <x v="46"/>
    <x v="3"/>
    <s v="FUR-BO-106371"/>
    <x v="0"/>
    <x v="2"/>
    <s v="Fairmont Ladder Shelf, Black Metal Frame"/>
    <n v="110.9158"/>
    <n v="6"/>
    <n v="-36.893999999999998"/>
    <x v="4"/>
    <x v="1"/>
  </r>
  <r>
    <x v="1558"/>
    <x v="966"/>
    <x v="500"/>
    <x v="2"/>
    <s v="JW-17573"/>
    <s v="John Whitehead"/>
    <x v="0"/>
    <s v="United States"/>
    <x v="123"/>
    <x v="24"/>
    <x v="1"/>
    <s v="FUR-CH-109697"/>
    <x v="0"/>
    <x v="1"/>
    <s v="Rowan Mid-Back Tilter Chair"/>
    <n v="218.81020000000001"/>
    <n v="1"/>
    <n v="-39.398499999999999"/>
    <x v="3"/>
    <x v="7"/>
  </r>
  <r>
    <x v="1559"/>
    <x v="321"/>
    <x v="321"/>
    <x v="2"/>
    <s v="SA-21945"/>
    <s v="Shelly Alexander"/>
    <x v="0"/>
    <s v="United States"/>
    <x v="66"/>
    <x v="23"/>
    <x v="2"/>
    <s v="FUR-FU-103673"/>
    <x v="0"/>
    <x v="0"/>
    <s v="Corcoran Document Holder, Wood"/>
    <n v="192.0196"/>
    <n v="2"/>
    <n v="-82.212599999999995"/>
    <x v="1"/>
    <x v="0"/>
  </r>
  <r>
    <x v="1559"/>
    <x v="321"/>
    <x v="321"/>
    <x v="2"/>
    <s v="SA-21945"/>
    <s v="Shelly Alexander"/>
    <x v="0"/>
    <s v="United States"/>
    <x v="66"/>
    <x v="23"/>
    <x v="2"/>
    <s v="FUR-BO-107140"/>
    <x v="0"/>
    <x v="2"/>
    <s v="Delacroix Lawyers Bookcase, Cherry Finish"/>
    <n v="227.4556"/>
    <n v="3"/>
    <n v="-56.987900000000003"/>
    <x v="1"/>
    <x v="0"/>
  </r>
  <r>
    <x v="1560"/>
    <x v="74"/>
    <x v="920"/>
    <x v="2"/>
    <s v="PB-14119"/>
    <s v="Pamela Boyd"/>
    <x v="2"/>
    <s v="United States"/>
    <x v="56"/>
    <x v="7"/>
    <x v="2"/>
    <s v="FUR-CH-107657"/>
    <x v="0"/>
    <x v="1"/>
    <s v="Hollis Stacking Chair, Rounded Back"/>
    <n v="112.0223"/>
    <n v="4"/>
    <n v="34.4161"/>
    <x v="2"/>
    <x v="6"/>
  </r>
  <r>
    <x v="1561"/>
    <x v="967"/>
    <x v="76"/>
    <x v="1"/>
    <s v="DW-14506"/>
    <s v="Daniel Wagner"/>
    <x v="2"/>
    <s v="United States"/>
    <x v="87"/>
    <x v="17"/>
    <x v="3"/>
    <s v="FUR-FU-108837"/>
    <x v="0"/>
    <x v="0"/>
    <s v="Ivanhoe Poster Frame, Aluminum"/>
    <n v="46.906700000000001"/>
    <n v="8"/>
    <n v="7.0347"/>
    <x v="1"/>
    <x v="5"/>
  </r>
  <r>
    <x v="1562"/>
    <x v="968"/>
    <x v="448"/>
    <x v="2"/>
    <s v="JB-21490"/>
    <s v="Judy Baker"/>
    <x v="0"/>
    <s v="United States"/>
    <x v="25"/>
    <x v="24"/>
    <x v="1"/>
    <s v="FUR-FU-108837"/>
    <x v="0"/>
    <x v="0"/>
    <s v="Ivanhoe Poster Frame, Aluminum"/>
    <n v="139.73349999999999"/>
    <n v="2"/>
    <n v="-70.864599999999996"/>
    <x v="7"/>
    <x v="7"/>
  </r>
  <r>
    <x v="1563"/>
    <x v="267"/>
    <x v="113"/>
    <x v="0"/>
    <s v="DJ-15930"/>
    <s v="Dustin Jordan"/>
    <x v="2"/>
    <s v="United States"/>
    <x v="94"/>
    <x v="30"/>
    <x v="0"/>
    <s v="FUR-BO-103613"/>
    <x v="0"/>
    <x v="2"/>
    <s v="Winslow Corner Bookcase, White"/>
    <n v="250.24619999999999"/>
    <n v="4"/>
    <n v="-36.357900000000001"/>
    <x v="0"/>
    <x v="11"/>
  </r>
  <r>
    <x v="1564"/>
    <x v="335"/>
    <x v="515"/>
    <x v="1"/>
    <s v="ED-21004"/>
    <s v="Elizabeth Oliver DDS"/>
    <x v="1"/>
    <s v="United States"/>
    <x v="21"/>
    <x v="18"/>
    <x v="3"/>
    <s v="FUR-CH-108751"/>
    <x v="0"/>
    <x v="1"/>
    <s v="Prescott Ergonomic Chair with Lumbar Support"/>
    <n v="629.30259999999998"/>
    <n v="5"/>
    <n v="-205.9341"/>
    <x v="7"/>
    <x v="6"/>
  </r>
  <r>
    <x v="1565"/>
    <x v="56"/>
    <x v="963"/>
    <x v="0"/>
    <s v="MW-11894"/>
    <s v="Marilyn Wang"/>
    <x v="1"/>
    <s v="United States"/>
    <x v="60"/>
    <x v="40"/>
    <x v="0"/>
    <s v="FUR-FU-108837"/>
    <x v="0"/>
    <x v="0"/>
    <s v="Ivanhoe Poster Frame, Aluminum"/>
    <n v="68.719899999999996"/>
    <n v="5"/>
    <n v="10.2224"/>
    <x v="0"/>
    <x v="2"/>
  </r>
  <r>
    <x v="1566"/>
    <x v="969"/>
    <x v="591"/>
    <x v="2"/>
    <s v="EK-16543"/>
    <s v="Elizabeth Kelley"/>
    <x v="1"/>
    <s v="United States"/>
    <x v="14"/>
    <x v="15"/>
    <x v="1"/>
    <s v="FUR-CH-101375"/>
    <x v="0"/>
    <x v="1"/>
    <s v="Sutton Push-Button Manager's Chair, Indigo"/>
    <n v="53.118200000000002"/>
    <n v="3"/>
    <n v="-1.0432999999999999"/>
    <x v="5"/>
    <x v="8"/>
  </r>
  <r>
    <x v="1567"/>
    <x v="485"/>
    <x v="822"/>
    <x v="2"/>
    <s v="RC-11746"/>
    <s v="Rhonda Chavez"/>
    <x v="2"/>
    <s v="United States"/>
    <x v="78"/>
    <x v="37"/>
    <x v="0"/>
    <s v="FUR-FU-104133"/>
    <x v="0"/>
    <x v="0"/>
    <s v="Preston Wood Photo Frame, Mahogany"/>
    <n v="29.48"/>
    <n v="9"/>
    <n v="9.1166999999999998"/>
    <x v="6"/>
    <x v="9"/>
  </r>
  <r>
    <x v="1568"/>
    <x v="774"/>
    <x v="651"/>
    <x v="2"/>
    <s v="MM-13593"/>
    <s v="Mary Marshall"/>
    <x v="2"/>
    <s v="United States"/>
    <x v="101"/>
    <x v="11"/>
    <x v="2"/>
    <s v="FUR-BO-106865"/>
    <x v="0"/>
    <x v="2"/>
    <s v="Hartwell Oak 5-Shelf Bookcase"/>
    <n v="286.18700000000001"/>
    <n v="3"/>
    <n v="-145.35380000000001"/>
    <x v="7"/>
    <x v="2"/>
  </r>
  <r>
    <x v="1569"/>
    <x v="970"/>
    <x v="500"/>
    <x v="0"/>
    <s v="JP-15635"/>
    <s v="John Pierce"/>
    <x v="1"/>
    <s v="United States"/>
    <x v="55"/>
    <x v="12"/>
    <x v="2"/>
    <s v="FUR-FU-104133"/>
    <x v="0"/>
    <x v="0"/>
    <s v="Preston Wood Photo Frame, Mahogany"/>
    <n v="119.703"/>
    <n v="3"/>
    <n v="-14.266999999999999"/>
    <x v="7"/>
    <x v="5"/>
  </r>
  <r>
    <x v="1570"/>
    <x v="41"/>
    <x v="964"/>
    <x v="2"/>
    <s v="CP-21216"/>
    <s v="Cameron Parker"/>
    <x v="2"/>
    <s v="United States"/>
    <x v="37"/>
    <x v="14"/>
    <x v="3"/>
    <s v="FUR-FU-100853"/>
    <x v="0"/>
    <x v="0"/>
    <s v="Blaine Cubicle Wall Clock, Black"/>
    <n v="47.873600000000003"/>
    <n v="1"/>
    <n v="18.117100000000001"/>
    <x v="5"/>
    <x v="5"/>
  </r>
  <r>
    <x v="1570"/>
    <x v="41"/>
    <x v="964"/>
    <x v="2"/>
    <s v="CP-21216"/>
    <s v="Cameron Parker"/>
    <x v="2"/>
    <s v="United States"/>
    <x v="37"/>
    <x v="14"/>
    <x v="3"/>
    <s v="FUR-FU-106906"/>
    <x v="0"/>
    <x v="0"/>
    <s v="Cobalt LED Magnifier Lamp with Clamp Base"/>
    <n v="357.58100000000002"/>
    <n v="10"/>
    <n v="149.8835"/>
    <x v="5"/>
    <x v="5"/>
  </r>
  <r>
    <x v="1571"/>
    <x v="878"/>
    <x v="114"/>
    <x v="0"/>
    <s v="KM-14564"/>
    <s v="Katherine Martinez"/>
    <x v="1"/>
    <s v="United States"/>
    <x v="31"/>
    <x v="28"/>
    <x v="2"/>
    <s v="FUR-TA-100823"/>
    <x v="0"/>
    <x v="3"/>
    <s v="Redstone Wood Tables, Set of 2"/>
    <n v="1540.2427"/>
    <n v="3"/>
    <n v="-847.10350000000005"/>
    <x v="5"/>
    <x v="2"/>
  </r>
  <r>
    <x v="1572"/>
    <x v="316"/>
    <x v="965"/>
    <x v="2"/>
    <s v="JA-13470"/>
    <s v="Julie Alexander"/>
    <x v="0"/>
    <s v="United States"/>
    <x v="60"/>
    <x v="40"/>
    <x v="0"/>
    <s v="FUR-TA-105355"/>
    <x v="0"/>
    <x v="3"/>
    <s v="Wexford Racetrack Conference Table"/>
    <n v="69.923000000000002"/>
    <n v="5"/>
    <n v="8.5115999999999996"/>
    <x v="1"/>
    <x v="10"/>
  </r>
  <r>
    <x v="1572"/>
    <x v="316"/>
    <x v="965"/>
    <x v="2"/>
    <s v="JA-13470"/>
    <s v="Julie Alexander"/>
    <x v="0"/>
    <s v="United States"/>
    <x v="60"/>
    <x v="40"/>
    <x v="0"/>
    <s v="FUR-BO-107956"/>
    <x v="0"/>
    <x v="2"/>
    <s v="Sterling Wide Bookcase, Charcoal Gray"/>
    <n v="362.68599999999998"/>
    <n v="2"/>
    <n v="14.665699999999999"/>
    <x v="1"/>
    <x v="10"/>
  </r>
  <r>
    <x v="1573"/>
    <x v="971"/>
    <x v="525"/>
    <x v="2"/>
    <s v="JS-21169"/>
    <s v="Jason Stein"/>
    <x v="2"/>
    <s v="United States"/>
    <x v="60"/>
    <x v="40"/>
    <x v="0"/>
    <s v="FUR-CH-109246"/>
    <x v="0"/>
    <x v="1"/>
    <s v="Beckett Steno Chair, Gray"/>
    <n v="880.03229999999996"/>
    <n v="2"/>
    <n v="552.85360000000003"/>
    <x v="4"/>
    <x v="0"/>
  </r>
  <r>
    <x v="1574"/>
    <x v="720"/>
    <x v="189"/>
    <x v="1"/>
    <s v="KR-11188"/>
    <s v="Karla Ramos"/>
    <x v="1"/>
    <s v="United States"/>
    <x v="22"/>
    <x v="22"/>
    <x v="2"/>
    <s v="FUR-FU-100853"/>
    <x v="0"/>
    <x v="0"/>
    <s v="Blaine Cubicle Wall Clock, Black"/>
    <n v="19.448599999999999"/>
    <n v="1"/>
    <n v="4.9305000000000003"/>
    <x v="7"/>
    <x v="4"/>
  </r>
  <r>
    <x v="1575"/>
    <x v="972"/>
    <x v="966"/>
    <x v="1"/>
    <s v="LH-20942"/>
    <s v="Lori Hernandez"/>
    <x v="1"/>
    <s v="United States"/>
    <x v="46"/>
    <x v="28"/>
    <x v="2"/>
    <s v="FUR-CH-109697"/>
    <x v="0"/>
    <x v="1"/>
    <s v="Rowan Mid-Back Tilter Chair"/>
    <n v="256.25540000000001"/>
    <n v="1"/>
    <n v="18.4741"/>
    <x v="7"/>
    <x v="6"/>
  </r>
  <r>
    <x v="1576"/>
    <x v="973"/>
    <x v="505"/>
    <x v="2"/>
    <s v="NL-17206"/>
    <s v="Nathaniel Lee"/>
    <x v="1"/>
    <s v="United States"/>
    <x v="74"/>
    <x v="37"/>
    <x v="0"/>
    <s v="FUR-FU-100853"/>
    <x v="0"/>
    <x v="0"/>
    <s v="Blaine Cubicle Wall Clock, Black"/>
    <n v="29.439399999999999"/>
    <n v="7"/>
    <n v="15.802099999999999"/>
    <x v="2"/>
    <x v="10"/>
  </r>
  <r>
    <x v="1577"/>
    <x v="79"/>
    <x v="878"/>
    <x v="2"/>
    <s v="ML-19638"/>
    <s v="Michael Lyons"/>
    <x v="1"/>
    <s v="United States"/>
    <x v="88"/>
    <x v="31"/>
    <x v="2"/>
    <s v="FUR-FU-106211"/>
    <x v="0"/>
    <x v="0"/>
    <s v="Aurora Brushed Chrome Wall Clock, 14in"/>
    <n v="52.798900000000003"/>
    <n v="2"/>
    <n v="26.248699999999999"/>
    <x v="4"/>
    <x v="0"/>
  </r>
  <r>
    <x v="1578"/>
    <x v="974"/>
    <x v="760"/>
    <x v="2"/>
    <s v="KM-21851"/>
    <s v="Kathleen Moran"/>
    <x v="1"/>
    <s v="United States"/>
    <x v="83"/>
    <x v="27"/>
    <x v="0"/>
    <s v="FUR-FU-104558"/>
    <x v="0"/>
    <x v="0"/>
    <s v="Lambert Swing Arm Desk Lamp"/>
    <n v="73.281300000000002"/>
    <n v="4"/>
    <n v="0.13070000000000001"/>
    <x v="0"/>
    <x v="7"/>
  </r>
  <r>
    <x v="1579"/>
    <x v="694"/>
    <x v="385"/>
    <x v="2"/>
    <s v="CL-19571"/>
    <s v="Charles Lester"/>
    <x v="2"/>
    <s v="United States"/>
    <x v="12"/>
    <x v="13"/>
    <x v="3"/>
    <s v="FUR-CH-108751"/>
    <x v="0"/>
    <x v="1"/>
    <s v="Prescott Ergonomic Chair with Lumbar Support"/>
    <n v="100.8395"/>
    <n v="1"/>
    <n v="7.9039000000000001"/>
    <x v="2"/>
    <x v="9"/>
  </r>
  <r>
    <x v="1580"/>
    <x v="815"/>
    <x v="253"/>
    <x v="1"/>
    <s v="CR-14272"/>
    <s v="Courtney Rodriguez"/>
    <x v="1"/>
    <s v="United States"/>
    <x v="21"/>
    <x v="18"/>
    <x v="3"/>
    <s v="FUR-TA-107564"/>
    <x v="0"/>
    <x v="3"/>
    <s v="Bellwood Slim Training Table, Light Gray"/>
    <n v="1041.7925"/>
    <n v="3"/>
    <n v="333.01440000000002"/>
    <x v="7"/>
    <x v="3"/>
  </r>
  <r>
    <x v="1581"/>
    <x v="909"/>
    <x v="967"/>
    <x v="0"/>
    <s v="BP-16227"/>
    <s v="Brittney Phillips"/>
    <x v="1"/>
    <s v="United States"/>
    <x v="42"/>
    <x v="11"/>
    <x v="2"/>
    <s v="FUR-BO-109883"/>
    <x v="0"/>
    <x v="2"/>
    <s v="Ashford Mobile 4-Shelf Bookcase"/>
    <n v="69.605400000000003"/>
    <n v="1"/>
    <n v="-18.234500000000001"/>
    <x v="7"/>
    <x v="10"/>
  </r>
  <r>
    <x v="1582"/>
    <x v="359"/>
    <x v="271"/>
    <x v="2"/>
    <s v="JM-14291"/>
    <s v="Jeremy Mitchell"/>
    <x v="0"/>
    <s v="United States"/>
    <x v="43"/>
    <x v="7"/>
    <x v="2"/>
    <s v="FUR-FU-100853"/>
    <x v="0"/>
    <x v="0"/>
    <s v="Blaine Cubicle Wall Clock, Black"/>
    <n v="19.392800000000001"/>
    <n v="1"/>
    <n v="3.6440999999999999"/>
    <x v="6"/>
    <x v="1"/>
  </r>
  <r>
    <x v="1583"/>
    <x v="845"/>
    <x v="862"/>
    <x v="2"/>
    <s v="SM-20415"/>
    <s v="Sarah Moore"/>
    <x v="2"/>
    <s v="United States"/>
    <x v="7"/>
    <x v="7"/>
    <x v="2"/>
    <s v="FUR-FU-103673"/>
    <x v="0"/>
    <x v="0"/>
    <s v="Corcoran Document Holder, Wood"/>
    <n v="35.085700000000003"/>
    <n v="1"/>
    <n v="5.5251000000000001"/>
    <x v="1"/>
    <x v="0"/>
  </r>
  <r>
    <x v="1584"/>
    <x v="602"/>
    <x v="662"/>
    <x v="2"/>
    <s v="VB-19749"/>
    <s v="Victor Brown"/>
    <x v="1"/>
    <s v="United States"/>
    <x v="88"/>
    <x v="31"/>
    <x v="2"/>
    <s v="FUR-FU-101124"/>
    <x v="0"/>
    <x v="0"/>
    <s v="Rutledge Desk Organizer Tray, Letter Size"/>
    <n v="263.91300000000001"/>
    <n v="4"/>
    <n v="-9.1887000000000008"/>
    <x v="5"/>
    <x v="5"/>
  </r>
  <r>
    <x v="1584"/>
    <x v="602"/>
    <x v="662"/>
    <x v="2"/>
    <s v="VB-19749"/>
    <s v="Victor Brown"/>
    <x v="1"/>
    <s v="United States"/>
    <x v="88"/>
    <x v="31"/>
    <x v="2"/>
    <s v="FUR-FU-104133"/>
    <x v="0"/>
    <x v="0"/>
    <s v="Preston Wood Photo Frame, Mahogany"/>
    <n v="23.157499999999999"/>
    <n v="1"/>
    <n v="-5.1412000000000004"/>
    <x v="5"/>
    <x v="5"/>
  </r>
  <r>
    <x v="1585"/>
    <x v="975"/>
    <x v="968"/>
    <x v="2"/>
    <s v="KM-18702"/>
    <s v="Kim Morrow"/>
    <x v="1"/>
    <s v="United States"/>
    <x v="76"/>
    <x v="34"/>
    <x v="1"/>
    <s v="FUR-CH-105507"/>
    <x v="0"/>
    <x v="1"/>
    <s v="Kingsley Mesh-Back Task Chair"/>
    <n v="197.4034"/>
    <n v="3"/>
    <n v="13.0936"/>
    <x v="4"/>
    <x v="0"/>
  </r>
  <r>
    <x v="1586"/>
    <x v="976"/>
    <x v="969"/>
    <x v="1"/>
    <s v="CG-20145"/>
    <s v="Casey Gillespie"/>
    <x v="2"/>
    <s v="United States"/>
    <x v="38"/>
    <x v="32"/>
    <x v="3"/>
    <s v="FUR-FU-108837"/>
    <x v="0"/>
    <x v="0"/>
    <s v="Ivanhoe Poster Frame, Aluminum"/>
    <n v="193.6507"/>
    <n v="5"/>
    <n v="-56.960299999999997"/>
    <x v="0"/>
    <x v="4"/>
  </r>
  <r>
    <x v="1586"/>
    <x v="976"/>
    <x v="969"/>
    <x v="1"/>
    <s v="CG-20145"/>
    <s v="Casey Gillespie"/>
    <x v="2"/>
    <s v="United States"/>
    <x v="38"/>
    <x v="32"/>
    <x v="3"/>
    <s v="FUR-FU-101341"/>
    <x v="0"/>
    <x v="0"/>
    <s v="Griswold Chairmats for Medium Pile Carpet"/>
    <n v="50.302"/>
    <n v="5"/>
    <n v="23.100999999999999"/>
    <x v="0"/>
    <x v="4"/>
  </r>
  <r>
    <x v="1586"/>
    <x v="976"/>
    <x v="969"/>
    <x v="1"/>
    <s v="CG-20145"/>
    <s v="Casey Gillespie"/>
    <x v="2"/>
    <s v="United States"/>
    <x v="38"/>
    <x v="32"/>
    <x v="3"/>
    <s v="FUR-TA-105529"/>
    <x v="0"/>
    <x v="3"/>
    <s v="Fenwick Compact Office Desk"/>
    <n v="646.53549999999996"/>
    <n v="3"/>
    <n v="-110.51430000000001"/>
    <x v="0"/>
    <x v="4"/>
  </r>
  <r>
    <x v="1586"/>
    <x v="976"/>
    <x v="969"/>
    <x v="1"/>
    <s v="CG-20145"/>
    <s v="Casey Gillespie"/>
    <x v="2"/>
    <s v="United States"/>
    <x v="38"/>
    <x v="32"/>
    <x v="3"/>
    <s v="FUR-BO-108947"/>
    <x v="0"/>
    <x v="2"/>
    <s v="Concord Ladder Bookcase, Walnut"/>
    <n v="84.318899999999999"/>
    <n v="3"/>
    <n v="-20.799499999999998"/>
    <x v="0"/>
    <x v="4"/>
  </r>
  <r>
    <x v="1587"/>
    <x v="977"/>
    <x v="551"/>
    <x v="2"/>
    <s v="MW-10128"/>
    <s v="Madison Weber"/>
    <x v="2"/>
    <s v="United States"/>
    <x v="56"/>
    <x v="7"/>
    <x v="2"/>
    <s v="FUR-FU-104558"/>
    <x v="0"/>
    <x v="0"/>
    <s v="Lambert Swing Arm Desk Lamp"/>
    <n v="9.1811000000000007"/>
    <n v="2"/>
    <n v="-1.6843999999999999"/>
    <x v="6"/>
    <x v="8"/>
  </r>
  <r>
    <x v="1588"/>
    <x v="57"/>
    <x v="57"/>
    <x v="1"/>
    <s v="TD-14002"/>
    <s v="Tamara Davis"/>
    <x v="0"/>
    <s v="United States"/>
    <x v="24"/>
    <x v="23"/>
    <x v="2"/>
    <s v="FUR-CH-108751"/>
    <x v="0"/>
    <x v="1"/>
    <s v="Prescott Ergonomic Chair with Lumbar Support"/>
    <n v="271.52339999999998"/>
    <n v="2"/>
    <n v="45.2637"/>
    <x v="7"/>
    <x v="8"/>
  </r>
  <r>
    <x v="1589"/>
    <x v="978"/>
    <x v="537"/>
    <x v="0"/>
    <s v="HN-15442"/>
    <s v="Howard Norman"/>
    <x v="2"/>
    <s v="United States"/>
    <x v="31"/>
    <x v="28"/>
    <x v="2"/>
    <s v="FUR-CH-100444"/>
    <x v="0"/>
    <x v="1"/>
    <s v="Harborview Mesh Task Chair, Adjustable Arms"/>
    <n v="172.22030000000001"/>
    <n v="2"/>
    <n v="11.903600000000001"/>
    <x v="5"/>
    <x v="2"/>
  </r>
  <r>
    <x v="1590"/>
    <x v="945"/>
    <x v="307"/>
    <x v="2"/>
    <s v="CH-20280"/>
    <s v="Cheyenne Horton"/>
    <x v="1"/>
    <s v="United States"/>
    <x v="22"/>
    <x v="22"/>
    <x v="2"/>
    <s v="FUR-FU-106906"/>
    <x v="0"/>
    <x v="0"/>
    <s v="Cobalt LED Magnifier Lamp with Clamp Base"/>
    <n v="35.785499999999999"/>
    <n v="3"/>
    <n v="0.59930000000000005"/>
    <x v="4"/>
    <x v="1"/>
  </r>
  <r>
    <x v="1591"/>
    <x v="188"/>
    <x v="282"/>
    <x v="0"/>
    <s v="JT-21762"/>
    <s v="Julia Torres"/>
    <x v="2"/>
    <s v="United States"/>
    <x v="34"/>
    <x v="29"/>
    <x v="0"/>
    <s v="FUR-FU-107705"/>
    <x v="0"/>
    <x v="0"/>
    <s v="Hawthorne Desk Accessory Set, Oak"/>
    <n v="21.368500000000001"/>
    <n v="2"/>
    <n v="10.0695"/>
    <x v="5"/>
    <x v="7"/>
  </r>
  <r>
    <x v="1592"/>
    <x v="775"/>
    <x v="970"/>
    <x v="2"/>
    <s v="BW-17144"/>
    <s v="Bianca Wood"/>
    <x v="1"/>
    <s v="United States"/>
    <x v="4"/>
    <x v="4"/>
    <x v="1"/>
    <s v="FUR-TA-100823"/>
    <x v="0"/>
    <x v="3"/>
    <s v="Redstone Wood Tables, Set of 2"/>
    <n v="804.70280000000002"/>
    <n v="10"/>
    <n v="159.2038"/>
    <x v="3"/>
    <x v="9"/>
  </r>
  <r>
    <x v="1593"/>
    <x v="979"/>
    <x v="971"/>
    <x v="1"/>
    <s v="AO-10828"/>
    <s v="Amber Obrien"/>
    <x v="1"/>
    <s v="United States"/>
    <x v="76"/>
    <x v="34"/>
    <x v="1"/>
    <s v="FUR-CH-109246"/>
    <x v="0"/>
    <x v="1"/>
    <s v="Beckett Steno Chair, Gray"/>
    <n v="186.80860000000001"/>
    <n v="2"/>
    <n v="20.618300000000001"/>
    <x v="0"/>
    <x v="4"/>
  </r>
  <r>
    <x v="1594"/>
    <x v="980"/>
    <x v="752"/>
    <x v="2"/>
    <s v="KM-16291"/>
    <s v="Kaitlin Medina"/>
    <x v="2"/>
    <s v="United States"/>
    <x v="106"/>
    <x v="34"/>
    <x v="1"/>
    <s v="FUR-CH-100441"/>
    <x v="0"/>
    <x v="1"/>
    <s v="Dalton Folding Chair, 4/Carton"/>
    <n v="99.709100000000007"/>
    <n v="5"/>
    <n v="10.531599999999999"/>
    <x v="5"/>
    <x v="6"/>
  </r>
  <r>
    <x v="1595"/>
    <x v="245"/>
    <x v="467"/>
    <x v="2"/>
    <s v="EO-10027"/>
    <s v="Emma Owens"/>
    <x v="1"/>
    <s v="United States"/>
    <x v="49"/>
    <x v="36"/>
    <x v="0"/>
    <s v="FUR-CH-101375"/>
    <x v="0"/>
    <x v="1"/>
    <s v="Sutton Push-Button Manager's Chair, Indigo"/>
    <n v="946.80820000000006"/>
    <n v="4"/>
    <n v="-143.28710000000001"/>
    <x v="4"/>
    <x v="9"/>
  </r>
  <r>
    <x v="1596"/>
    <x v="981"/>
    <x v="972"/>
    <x v="2"/>
    <s v="MT-21069"/>
    <s v="Melissa Taylor"/>
    <x v="1"/>
    <s v="United States"/>
    <x v="121"/>
    <x v="3"/>
    <x v="1"/>
    <s v="FUR-FU-108837"/>
    <x v="0"/>
    <x v="0"/>
    <s v="Ivanhoe Poster Frame, Aluminum"/>
    <n v="19.5581"/>
    <n v="5"/>
    <n v="-2.9085999999999999"/>
    <x v="7"/>
    <x v="10"/>
  </r>
  <r>
    <x v="1596"/>
    <x v="981"/>
    <x v="972"/>
    <x v="2"/>
    <s v="MT-21069"/>
    <s v="Melissa Taylor"/>
    <x v="1"/>
    <s v="United States"/>
    <x v="121"/>
    <x v="3"/>
    <x v="1"/>
    <s v="FUR-CH-101375"/>
    <x v="0"/>
    <x v="1"/>
    <s v="Sutton Push-Button Manager's Chair, Indigo"/>
    <n v="1794.8338000000001"/>
    <n v="2"/>
    <n v="-17.34"/>
    <x v="7"/>
    <x v="10"/>
  </r>
  <r>
    <x v="1596"/>
    <x v="981"/>
    <x v="972"/>
    <x v="2"/>
    <s v="MT-21069"/>
    <s v="Melissa Taylor"/>
    <x v="1"/>
    <s v="United States"/>
    <x v="121"/>
    <x v="3"/>
    <x v="1"/>
    <s v="FUR-CH-106455"/>
    <x v="0"/>
    <x v="1"/>
    <s v="Nolan Leather Highback Chair, Pneumatic Adjustment"/>
    <n v="142.34059999999999"/>
    <n v="4"/>
    <n v="15.6706"/>
    <x v="7"/>
    <x v="10"/>
  </r>
  <r>
    <x v="1596"/>
    <x v="981"/>
    <x v="972"/>
    <x v="2"/>
    <s v="MT-21069"/>
    <s v="Melissa Taylor"/>
    <x v="1"/>
    <s v="United States"/>
    <x v="121"/>
    <x v="3"/>
    <x v="1"/>
    <s v="FUR-FU-108837"/>
    <x v="0"/>
    <x v="0"/>
    <s v="Ivanhoe Poster Frame, Aluminum"/>
    <n v="5.3140000000000001"/>
    <n v="3"/>
    <n v="1.1032999999999999"/>
    <x v="7"/>
    <x v="10"/>
  </r>
  <r>
    <x v="1597"/>
    <x v="982"/>
    <x v="973"/>
    <x v="0"/>
    <s v="MJ-16311"/>
    <s v="Mark Jimenez"/>
    <x v="2"/>
    <s v="United States"/>
    <x v="14"/>
    <x v="15"/>
    <x v="1"/>
    <s v="FUR-FU-106906"/>
    <x v="0"/>
    <x v="0"/>
    <s v="Cobalt LED Magnifier Lamp with Clamp Base"/>
    <n v="218.17349999999999"/>
    <n v="1"/>
    <n v="4.3563999999999998"/>
    <x v="1"/>
    <x v="4"/>
  </r>
  <r>
    <x v="1598"/>
    <x v="379"/>
    <x v="974"/>
    <x v="2"/>
    <s v="IA-13899"/>
    <s v="Isaiah Avila"/>
    <x v="2"/>
    <s v="United States"/>
    <x v="106"/>
    <x v="34"/>
    <x v="1"/>
    <s v="FUR-BO-106371"/>
    <x v="0"/>
    <x v="2"/>
    <s v="Fairmont Ladder Shelf, Black Metal Frame"/>
    <n v="919.29480000000001"/>
    <n v="2"/>
    <n v="-631.48180000000002"/>
    <x v="3"/>
    <x v="10"/>
  </r>
  <r>
    <x v="1599"/>
    <x v="246"/>
    <x v="407"/>
    <x v="2"/>
    <s v="WE-13443"/>
    <s v="William Evans"/>
    <x v="2"/>
    <s v="United States"/>
    <x v="37"/>
    <x v="14"/>
    <x v="3"/>
    <s v="FUR-FU-107705"/>
    <x v="0"/>
    <x v="0"/>
    <s v="Hawthorne Desk Accessory Set, Oak"/>
    <n v="14.154"/>
    <n v="3"/>
    <n v="6.8893000000000004"/>
    <x v="0"/>
    <x v="9"/>
  </r>
  <r>
    <x v="1600"/>
    <x v="983"/>
    <x v="837"/>
    <x v="2"/>
    <s v="SM-21253"/>
    <s v="Sean Moore"/>
    <x v="1"/>
    <s v="United States"/>
    <x v="22"/>
    <x v="22"/>
    <x v="2"/>
    <s v="FUR-FU-100317"/>
    <x v="0"/>
    <x v="0"/>
    <s v="Nomad Floor Lamp, Telescoping Adjustable"/>
    <n v="120.5475"/>
    <n v="2"/>
    <n v="37.768700000000003"/>
    <x v="6"/>
    <x v="1"/>
  </r>
  <r>
    <x v="1600"/>
    <x v="983"/>
    <x v="837"/>
    <x v="2"/>
    <s v="SM-21253"/>
    <s v="Sean Moore"/>
    <x v="1"/>
    <s v="United States"/>
    <x v="22"/>
    <x v="22"/>
    <x v="2"/>
    <s v="FUR-FU-104558"/>
    <x v="0"/>
    <x v="0"/>
    <s v="Lambert Swing Arm Desk Lamp"/>
    <n v="104.2967"/>
    <n v="5"/>
    <n v="-14.1082"/>
    <x v="6"/>
    <x v="1"/>
  </r>
  <r>
    <x v="1600"/>
    <x v="983"/>
    <x v="837"/>
    <x v="2"/>
    <s v="SM-21253"/>
    <s v="Sean Moore"/>
    <x v="1"/>
    <s v="United States"/>
    <x v="22"/>
    <x v="22"/>
    <x v="2"/>
    <s v="FUR-FU-105733"/>
    <x v="0"/>
    <x v="0"/>
    <s v="Sable Halogen Replacement Bulb, 2-Pack"/>
    <n v="16.723700000000001"/>
    <n v="2"/>
    <n v="-7.9142999999999999"/>
    <x v="6"/>
    <x v="1"/>
  </r>
  <r>
    <x v="1601"/>
    <x v="266"/>
    <x v="37"/>
    <x v="0"/>
    <s v="CT-20796"/>
    <s v="Colin Terry"/>
    <x v="1"/>
    <s v="United States"/>
    <x v="9"/>
    <x v="10"/>
    <x v="1"/>
    <s v="FUR-BO-109883"/>
    <x v="0"/>
    <x v="2"/>
    <s v="Ashford Mobile 4-Shelf Bookcase"/>
    <n v="160.01509999999999"/>
    <n v="1"/>
    <n v="7.194"/>
    <x v="5"/>
    <x v="1"/>
  </r>
  <r>
    <x v="1602"/>
    <x v="984"/>
    <x v="975"/>
    <x v="1"/>
    <s v="EC-10711"/>
    <s v="Eric Carney"/>
    <x v="0"/>
    <s v="United States"/>
    <x v="118"/>
    <x v="38"/>
    <x v="1"/>
    <s v="FUR-FU-106211"/>
    <x v="0"/>
    <x v="0"/>
    <s v="Aurora Brushed Chrome Wall Clock, 14in"/>
    <n v="20.653099999999998"/>
    <n v="2"/>
    <n v="-6.3602999999999996"/>
    <x v="7"/>
    <x v="7"/>
  </r>
  <r>
    <x v="1602"/>
    <x v="984"/>
    <x v="975"/>
    <x v="1"/>
    <s v="EC-10711"/>
    <s v="Eric Carney"/>
    <x v="0"/>
    <s v="United States"/>
    <x v="118"/>
    <x v="38"/>
    <x v="1"/>
    <s v="FUR-FU-104133"/>
    <x v="0"/>
    <x v="0"/>
    <s v="Preston Wood Photo Frame, Mahogany"/>
    <n v="51.765300000000003"/>
    <n v="2"/>
    <n v="-0.92090000000000005"/>
    <x v="7"/>
    <x v="7"/>
  </r>
  <r>
    <x v="1603"/>
    <x v="841"/>
    <x v="847"/>
    <x v="2"/>
    <s v="AO-10828"/>
    <s v="Amber Obrien"/>
    <x v="2"/>
    <s v="United States"/>
    <x v="53"/>
    <x v="22"/>
    <x v="2"/>
    <s v="FUR-FU-100317"/>
    <x v="0"/>
    <x v="0"/>
    <s v="Nomad Floor Lamp, Telescoping Adjustable"/>
    <n v="41.097799999999999"/>
    <n v="7"/>
    <n v="-2.069"/>
    <x v="5"/>
    <x v="10"/>
  </r>
  <r>
    <x v="1604"/>
    <x v="985"/>
    <x v="976"/>
    <x v="0"/>
    <s v="BH-12041"/>
    <s v="Barbara Hester"/>
    <x v="0"/>
    <s v="United States"/>
    <x v="102"/>
    <x v="35"/>
    <x v="3"/>
    <s v="FUR-CH-109246"/>
    <x v="0"/>
    <x v="1"/>
    <s v="Beckett Steno Chair, Gray"/>
    <n v="528.70320000000004"/>
    <n v="2"/>
    <n v="-32.555700000000002"/>
    <x v="0"/>
    <x v="11"/>
  </r>
  <r>
    <x v="1605"/>
    <x v="986"/>
    <x v="977"/>
    <x v="2"/>
    <s v="MM-11269"/>
    <s v="Michael Morrison"/>
    <x v="2"/>
    <s v="United States"/>
    <x v="56"/>
    <x v="7"/>
    <x v="2"/>
    <s v="FUR-BO-109883"/>
    <x v="0"/>
    <x v="2"/>
    <s v="Ashford Mobile 4-Shelf Bookcase"/>
    <n v="466.01560000000001"/>
    <n v="2"/>
    <n v="90.998400000000004"/>
    <x v="3"/>
    <x v="6"/>
  </r>
  <r>
    <x v="1606"/>
    <x v="798"/>
    <x v="102"/>
    <x v="2"/>
    <s v="MG-18797"/>
    <s v="Melissa Gates"/>
    <x v="2"/>
    <s v="United States"/>
    <x v="77"/>
    <x v="42"/>
    <x v="1"/>
    <s v="FUR-CH-106455"/>
    <x v="0"/>
    <x v="1"/>
    <s v="Nolan Leather Highback Chair, Pneumatic Adjustment"/>
    <n v="737.60500000000002"/>
    <n v="7"/>
    <n v="239.48849999999999"/>
    <x v="3"/>
    <x v="11"/>
  </r>
  <r>
    <x v="1607"/>
    <x v="987"/>
    <x v="978"/>
    <x v="2"/>
    <s v="JC-18727"/>
    <s v="Joseph Coleman"/>
    <x v="2"/>
    <s v="United States"/>
    <x v="80"/>
    <x v="1"/>
    <x v="0"/>
    <s v="FUR-TA-102223"/>
    <x v="0"/>
    <x v="3"/>
    <s v="Marchetti Round Conference Table, X-Base"/>
    <n v="1075.7358999999999"/>
    <n v="1"/>
    <n v="-506.32510000000002"/>
    <x v="7"/>
    <x v="4"/>
  </r>
  <r>
    <x v="1608"/>
    <x v="862"/>
    <x v="538"/>
    <x v="2"/>
    <s v="MH-11424"/>
    <s v="Monica Herrera"/>
    <x v="2"/>
    <s v="United States"/>
    <x v="93"/>
    <x v="9"/>
    <x v="0"/>
    <s v="FUR-FU-103673"/>
    <x v="0"/>
    <x v="0"/>
    <s v="Corcoran Document Holder, Wood"/>
    <n v="138.779"/>
    <n v="5"/>
    <n v="46.846200000000003"/>
    <x v="6"/>
    <x v="1"/>
  </r>
  <r>
    <x v="1609"/>
    <x v="574"/>
    <x v="59"/>
    <x v="2"/>
    <s v="SK-16484"/>
    <s v="Sergio Knight"/>
    <x v="0"/>
    <s v="United States"/>
    <x v="17"/>
    <x v="18"/>
    <x v="3"/>
    <s v="FUR-CH-108751"/>
    <x v="0"/>
    <x v="1"/>
    <s v="Prescott Ergonomic Chair with Lumbar Support"/>
    <n v="193.37219999999999"/>
    <n v="3"/>
    <n v="-22.4314"/>
    <x v="6"/>
    <x v="8"/>
  </r>
  <r>
    <x v="1610"/>
    <x v="988"/>
    <x v="979"/>
    <x v="2"/>
    <s v="MW-20468"/>
    <s v="Michael Wang"/>
    <x v="2"/>
    <s v="United States"/>
    <x v="105"/>
    <x v="10"/>
    <x v="1"/>
    <s v="FUR-FU-100853"/>
    <x v="0"/>
    <x v="0"/>
    <s v="Blaine Cubicle Wall Clock, Black"/>
    <n v="113.3138"/>
    <n v="2"/>
    <n v="-11.4975"/>
    <x v="1"/>
    <x v="8"/>
  </r>
  <r>
    <x v="1610"/>
    <x v="988"/>
    <x v="979"/>
    <x v="2"/>
    <s v="MW-20468"/>
    <s v="Michael Wang"/>
    <x v="2"/>
    <s v="United States"/>
    <x v="105"/>
    <x v="10"/>
    <x v="1"/>
    <s v="FUR-FU-108837"/>
    <x v="0"/>
    <x v="0"/>
    <s v="Ivanhoe Poster Frame, Aluminum"/>
    <n v="75.237499999999997"/>
    <n v="1"/>
    <n v="23.7117"/>
    <x v="1"/>
    <x v="8"/>
  </r>
  <r>
    <x v="1611"/>
    <x v="372"/>
    <x v="168"/>
    <x v="2"/>
    <s v="AR-17359"/>
    <s v="Anthony Rodriguez"/>
    <x v="2"/>
    <s v="United States"/>
    <x v="51"/>
    <x v="37"/>
    <x v="0"/>
    <s v="FUR-FU-105733"/>
    <x v="0"/>
    <x v="0"/>
    <s v="Sable Halogen Replacement Bulb, 2-Pack"/>
    <n v="13.4209"/>
    <n v="4"/>
    <n v="-0.75170000000000003"/>
    <x v="6"/>
    <x v="2"/>
  </r>
  <r>
    <x v="1612"/>
    <x v="616"/>
    <x v="980"/>
    <x v="2"/>
    <s v="JM-13441"/>
    <s v="Jeffrey Mendez"/>
    <x v="1"/>
    <s v="United States"/>
    <x v="30"/>
    <x v="27"/>
    <x v="0"/>
    <s v="FUR-FU-101124"/>
    <x v="0"/>
    <x v="0"/>
    <s v="Rutledge Desk Organizer Tray, Letter Size"/>
    <n v="37.442"/>
    <n v="1"/>
    <n v="30.0441"/>
    <x v="4"/>
    <x v="5"/>
  </r>
  <r>
    <x v="1613"/>
    <x v="51"/>
    <x v="949"/>
    <x v="0"/>
    <s v="KR-18849"/>
    <s v="Kristen Rowe"/>
    <x v="0"/>
    <s v="United States"/>
    <x v="125"/>
    <x v="11"/>
    <x v="2"/>
    <s v="FUR-CH-106624"/>
    <x v="0"/>
    <x v="1"/>
    <s v="Adler Fabric Manager's Chair, Slate Gray"/>
    <n v="63.8232"/>
    <n v="1"/>
    <n v="27.988399999999999"/>
    <x v="5"/>
    <x v="6"/>
  </r>
  <r>
    <x v="1614"/>
    <x v="989"/>
    <x v="107"/>
    <x v="2"/>
    <s v="JA-16939"/>
    <s v="Jasmin Alvarado"/>
    <x v="2"/>
    <s v="United States"/>
    <x v="14"/>
    <x v="15"/>
    <x v="1"/>
    <s v="FUR-FU-103673"/>
    <x v="0"/>
    <x v="0"/>
    <s v="Corcoran Document Holder, Wood"/>
    <n v="78.627600000000001"/>
    <n v="3"/>
    <n v="5.7545000000000002"/>
    <x v="6"/>
    <x v="9"/>
  </r>
  <r>
    <x v="1615"/>
    <x v="337"/>
    <x v="593"/>
    <x v="2"/>
    <s v="MC-12925"/>
    <s v="Michael Cooper"/>
    <x v="0"/>
    <s v="United States"/>
    <x v="13"/>
    <x v="14"/>
    <x v="3"/>
    <s v="FUR-FU-101124"/>
    <x v="0"/>
    <x v="0"/>
    <s v="Rutledge Desk Organizer Tray, Letter Size"/>
    <n v="61.486600000000003"/>
    <n v="3"/>
    <n v="-18.595600000000001"/>
    <x v="7"/>
    <x v="11"/>
  </r>
  <r>
    <x v="1616"/>
    <x v="990"/>
    <x v="149"/>
    <x v="0"/>
    <s v="KW-20714"/>
    <s v="Kathleen Webster"/>
    <x v="1"/>
    <s v="United States"/>
    <x v="106"/>
    <x v="34"/>
    <x v="1"/>
    <s v="FUR-TA-105355"/>
    <x v="0"/>
    <x v="3"/>
    <s v="Wexford Racetrack Conference Table"/>
    <n v="517.13530000000003"/>
    <n v="1"/>
    <n v="-26.342099999999999"/>
    <x v="0"/>
    <x v="2"/>
  </r>
  <r>
    <x v="1616"/>
    <x v="990"/>
    <x v="149"/>
    <x v="0"/>
    <s v="KW-20714"/>
    <s v="Kathleen Webster"/>
    <x v="1"/>
    <s v="United States"/>
    <x v="106"/>
    <x v="34"/>
    <x v="1"/>
    <s v="FUR-CH-109246"/>
    <x v="0"/>
    <x v="1"/>
    <s v="Beckett Steno Chair, Gray"/>
    <n v="84.676699999999997"/>
    <n v="5"/>
    <n v="9.8193999999999999"/>
    <x v="0"/>
    <x v="2"/>
  </r>
  <r>
    <x v="1617"/>
    <x v="596"/>
    <x v="279"/>
    <x v="2"/>
    <s v="RV-15313"/>
    <s v="Rebecca Valencia"/>
    <x v="2"/>
    <s v="United States"/>
    <x v="98"/>
    <x v="46"/>
    <x v="3"/>
    <s v="FUR-CH-101375"/>
    <x v="0"/>
    <x v="1"/>
    <s v="Sutton Push-Button Manager's Chair, Indigo"/>
    <n v="677.67650000000003"/>
    <n v="3"/>
    <n v="-8.5236999999999998"/>
    <x v="7"/>
    <x v="9"/>
  </r>
  <r>
    <x v="1618"/>
    <x v="191"/>
    <x v="193"/>
    <x v="1"/>
    <s v="JW-21266"/>
    <s v="Joseph Wilson"/>
    <x v="2"/>
    <s v="United States"/>
    <x v="21"/>
    <x v="18"/>
    <x v="3"/>
    <s v="FUR-BO-100475"/>
    <x v="0"/>
    <x v="2"/>
    <s v="Overton 3-Shelf Corner Bookcase"/>
    <n v="236.86170000000001"/>
    <n v="5"/>
    <n v="135.6934"/>
    <x v="0"/>
    <x v="5"/>
  </r>
  <r>
    <x v="1619"/>
    <x v="211"/>
    <x v="215"/>
    <x v="2"/>
    <s v="PC-16868"/>
    <s v="Parker Cain"/>
    <x v="2"/>
    <s v="United States"/>
    <x v="123"/>
    <x v="24"/>
    <x v="1"/>
    <s v="FUR-CH-102704"/>
    <x v="0"/>
    <x v="1"/>
    <s v="Brookline High-Back Executive Chair, Black Leather"/>
    <n v="689.56880000000001"/>
    <n v="7"/>
    <n v="-130.63050000000001"/>
    <x v="0"/>
    <x v="6"/>
  </r>
  <r>
    <x v="1620"/>
    <x v="852"/>
    <x v="981"/>
    <x v="2"/>
    <s v="KS-17744"/>
    <s v="Katie Suarez"/>
    <x v="2"/>
    <s v="United States"/>
    <x v="81"/>
    <x v="43"/>
    <x v="2"/>
    <s v="FUR-CH-102704"/>
    <x v="0"/>
    <x v="1"/>
    <s v="Brookline High-Back Executive Chair, Black Leather"/>
    <n v="398.649"/>
    <n v="2"/>
    <n v="108.0797"/>
    <x v="3"/>
    <x v="11"/>
  </r>
  <r>
    <x v="1621"/>
    <x v="839"/>
    <x v="167"/>
    <x v="0"/>
    <s v="JW-16232"/>
    <s v="James Watson"/>
    <x v="0"/>
    <s v="United States"/>
    <x v="53"/>
    <x v="22"/>
    <x v="2"/>
    <s v="FUR-FU-104133"/>
    <x v="0"/>
    <x v="0"/>
    <s v="Preston Wood Photo Frame, Mahogany"/>
    <n v="55.315800000000003"/>
    <n v="3"/>
    <n v="-27.962299999999999"/>
    <x v="7"/>
    <x v="5"/>
  </r>
  <r>
    <x v="1622"/>
    <x v="656"/>
    <x v="486"/>
    <x v="1"/>
    <s v="DS-13502"/>
    <s v="Dawn Summers"/>
    <x v="2"/>
    <s v="United States"/>
    <x v="32"/>
    <x v="26"/>
    <x v="3"/>
    <s v="FUR-FU-107705"/>
    <x v="0"/>
    <x v="0"/>
    <s v="Hawthorne Desk Accessory Set, Oak"/>
    <n v="25.981100000000001"/>
    <n v="6"/>
    <n v="-7.2347000000000001"/>
    <x v="0"/>
    <x v="0"/>
  </r>
  <r>
    <x v="1623"/>
    <x v="592"/>
    <x v="188"/>
    <x v="0"/>
    <s v="JD-13878"/>
    <s v="Julie Dominguez"/>
    <x v="2"/>
    <s v="United States"/>
    <x v="78"/>
    <x v="37"/>
    <x v="0"/>
    <s v="FUR-FU-104558"/>
    <x v="0"/>
    <x v="0"/>
    <s v="Lambert Swing Arm Desk Lamp"/>
    <n v="16.7927"/>
    <n v="4"/>
    <n v="1.7724"/>
    <x v="5"/>
    <x v="7"/>
  </r>
  <r>
    <x v="1624"/>
    <x v="91"/>
    <x v="305"/>
    <x v="0"/>
    <s v="JB-13923"/>
    <s v="John Bishop"/>
    <x v="1"/>
    <s v="United States"/>
    <x v="56"/>
    <x v="7"/>
    <x v="2"/>
    <s v="FUR-FU-104133"/>
    <x v="0"/>
    <x v="0"/>
    <s v="Preston Wood Photo Frame, Mahogany"/>
    <n v="260.72820000000002"/>
    <n v="7"/>
    <n v="53.283499999999997"/>
    <x v="0"/>
    <x v="9"/>
  </r>
  <r>
    <x v="1625"/>
    <x v="353"/>
    <x v="94"/>
    <x v="2"/>
    <s v="FA-21263"/>
    <s v="Felicia Aguilar"/>
    <x v="2"/>
    <s v="United States"/>
    <x v="34"/>
    <x v="29"/>
    <x v="0"/>
    <s v="FUR-CH-102704"/>
    <x v="0"/>
    <x v="1"/>
    <s v="Brookline High-Back Executive Chair, Black Leather"/>
    <n v="791.36"/>
    <n v="3"/>
    <n v="239.50450000000001"/>
    <x v="1"/>
    <x v="4"/>
  </r>
  <r>
    <x v="1626"/>
    <x v="991"/>
    <x v="982"/>
    <x v="2"/>
    <s v="ME-14374"/>
    <s v="Michael Evans"/>
    <x v="0"/>
    <s v="United States"/>
    <x v="6"/>
    <x v="6"/>
    <x v="1"/>
    <s v="FUR-CH-101375"/>
    <x v="0"/>
    <x v="1"/>
    <s v="Sutton Push-Button Manager's Chair, Indigo"/>
    <n v="170.19890000000001"/>
    <n v="4"/>
    <n v="27.422799999999999"/>
    <x v="1"/>
    <x v="5"/>
  </r>
  <r>
    <x v="1627"/>
    <x v="92"/>
    <x v="983"/>
    <x v="2"/>
    <s v="BM-13680"/>
    <s v="Brian Martin"/>
    <x v="2"/>
    <s v="United States"/>
    <x v="38"/>
    <x v="32"/>
    <x v="3"/>
    <s v="FUR-CH-100444"/>
    <x v="0"/>
    <x v="1"/>
    <s v="Harborview Mesh Task Chair, Adjustable Arms"/>
    <n v="898.31380000000001"/>
    <n v="2"/>
    <n v="341.06319999999999"/>
    <x v="1"/>
    <x v="4"/>
  </r>
  <r>
    <x v="1628"/>
    <x v="315"/>
    <x v="311"/>
    <x v="0"/>
    <s v="SJ-13608"/>
    <s v="Sara Johnston"/>
    <x v="2"/>
    <s v="United States"/>
    <x v="36"/>
    <x v="31"/>
    <x v="2"/>
    <s v="FUR-FU-103673"/>
    <x v="0"/>
    <x v="0"/>
    <s v="Corcoran Document Holder, Wood"/>
    <n v="37.577300000000001"/>
    <n v="6"/>
    <n v="-14.452500000000001"/>
    <x v="0"/>
    <x v="2"/>
  </r>
  <r>
    <x v="1628"/>
    <x v="315"/>
    <x v="311"/>
    <x v="0"/>
    <s v="SJ-13608"/>
    <s v="Sara Johnston"/>
    <x v="2"/>
    <s v="United States"/>
    <x v="36"/>
    <x v="31"/>
    <x v="2"/>
    <s v="FUR-FU-106906"/>
    <x v="0"/>
    <x v="0"/>
    <s v="Cobalt LED Magnifier Lamp with Clamp Base"/>
    <n v="64.5137"/>
    <n v="3"/>
    <n v="29.9283"/>
    <x v="0"/>
    <x v="2"/>
  </r>
  <r>
    <x v="1629"/>
    <x v="851"/>
    <x v="984"/>
    <x v="0"/>
    <s v="AB-11200"/>
    <s v="Adam Burgess"/>
    <x v="2"/>
    <s v="United States"/>
    <x v="71"/>
    <x v="4"/>
    <x v="1"/>
    <s v="FUR-CH-101375"/>
    <x v="0"/>
    <x v="1"/>
    <s v="Sutton Push-Button Manager's Chair, Indigo"/>
    <n v="445.9932"/>
    <n v="2"/>
    <n v="31.745000000000001"/>
    <x v="3"/>
    <x v="1"/>
  </r>
  <r>
    <x v="1630"/>
    <x v="634"/>
    <x v="774"/>
    <x v="2"/>
    <s v="CG-21690"/>
    <s v="Chelsea Gill"/>
    <x v="1"/>
    <s v="United States"/>
    <x v="92"/>
    <x v="46"/>
    <x v="3"/>
    <s v="FUR-CH-100444"/>
    <x v="0"/>
    <x v="1"/>
    <s v="Harborview Mesh Task Chair, Adjustable Arms"/>
    <n v="168.24080000000001"/>
    <n v="2"/>
    <n v="47.818899999999999"/>
    <x v="5"/>
    <x v="0"/>
  </r>
  <r>
    <x v="1631"/>
    <x v="597"/>
    <x v="747"/>
    <x v="2"/>
    <s v="MB-21808"/>
    <s v="Michelle Brown"/>
    <x v="2"/>
    <s v="United States"/>
    <x v="79"/>
    <x v="16"/>
    <x v="0"/>
    <s v="FUR-FU-104558"/>
    <x v="0"/>
    <x v="0"/>
    <s v="Lambert Swing Arm Desk Lamp"/>
    <n v="54.315800000000003"/>
    <n v="4"/>
    <n v="23.3935"/>
    <x v="3"/>
    <x v="9"/>
  </r>
  <r>
    <x v="1632"/>
    <x v="992"/>
    <x v="985"/>
    <x v="2"/>
    <s v="AG-15143"/>
    <s v="Angel Gordon"/>
    <x v="2"/>
    <s v="United States"/>
    <x v="82"/>
    <x v="19"/>
    <x v="2"/>
    <s v="FUR-BO-107956"/>
    <x v="0"/>
    <x v="2"/>
    <s v="Sterling Wide Bookcase, Charcoal Gray"/>
    <n v="84.013800000000003"/>
    <n v="3"/>
    <n v="-17.286100000000001"/>
    <x v="2"/>
    <x v="2"/>
  </r>
  <r>
    <x v="1633"/>
    <x v="993"/>
    <x v="986"/>
    <x v="3"/>
    <s v="CR-17062"/>
    <s v="Cynthia Rowe"/>
    <x v="1"/>
    <s v="United States"/>
    <x v="90"/>
    <x v="45"/>
    <x v="3"/>
    <s v="FUR-FU-103673"/>
    <x v="0"/>
    <x v="0"/>
    <s v="Corcoran Document Holder, Wood"/>
    <n v="20.723700000000001"/>
    <n v="1"/>
    <n v="3.7046999999999999"/>
    <x v="7"/>
    <x v="0"/>
  </r>
  <r>
    <x v="1634"/>
    <x v="378"/>
    <x v="381"/>
    <x v="2"/>
    <s v="GJ-12584"/>
    <s v="Gary Jackson"/>
    <x v="2"/>
    <s v="United States"/>
    <x v="43"/>
    <x v="7"/>
    <x v="2"/>
    <s v="FUR-TA-105529"/>
    <x v="0"/>
    <x v="3"/>
    <s v="Fenwick Compact Office Desk"/>
    <n v="248.65450000000001"/>
    <n v="4"/>
    <n v="98.6982"/>
    <x v="5"/>
    <x v="7"/>
  </r>
  <r>
    <x v="1634"/>
    <x v="378"/>
    <x v="381"/>
    <x v="2"/>
    <s v="GJ-12584"/>
    <s v="Gary Jackson"/>
    <x v="2"/>
    <s v="United States"/>
    <x v="43"/>
    <x v="7"/>
    <x v="2"/>
    <s v="FUR-FU-103673"/>
    <x v="0"/>
    <x v="0"/>
    <s v="Corcoran Document Holder, Wood"/>
    <n v="21.024899999999999"/>
    <n v="1"/>
    <n v="12.414099999999999"/>
    <x v="5"/>
    <x v="7"/>
  </r>
  <r>
    <x v="1635"/>
    <x v="106"/>
    <x v="88"/>
    <x v="0"/>
    <s v="AR-14905"/>
    <s v="Anthony Romero"/>
    <x v="1"/>
    <s v="United States"/>
    <x v="29"/>
    <x v="13"/>
    <x v="3"/>
    <s v="FUR-CH-109246"/>
    <x v="0"/>
    <x v="1"/>
    <s v="Beckett Steno Chair, Gray"/>
    <n v="605.38350000000003"/>
    <n v="3"/>
    <n v="166.90559999999999"/>
    <x v="0"/>
    <x v="6"/>
  </r>
  <r>
    <x v="1636"/>
    <x v="101"/>
    <x v="987"/>
    <x v="2"/>
    <s v="KR-19763"/>
    <s v="Kathy Rivas"/>
    <x v="2"/>
    <s v="United States"/>
    <x v="49"/>
    <x v="36"/>
    <x v="0"/>
    <s v="FUR-CH-102091"/>
    <x v="0"/>
    <x v="1"/>
    <s v="Vantage Swivel Task Chair, Blue"/>
    <n v="486.06819999999999"/>
    <n v="2"/>
    <n v="105.3578"/>
    <x v="0"/>
    <x v="11"/>
  </r>
  <r>
    <x v="1637"/>
    <x v="994"/>
    <x v="988"/>
    <x v="0"/>
    <s v="DM-20738"/>
    <s v="Diana May"/>
    <x v="2"/>
    <s v="United States"/>
    <x v="44"/>
    <x v="19"/>
    <x v="2"/>
    <s v="FUR-FU-108837"/>
    <x v="0"/>
    <x v="0"/>
    <s v="Ivanhoe Poster Frame, Aluminum"/>
    <n v="31.7575"/>
    <n v="4"/>
    <n v="13.8117"/>
    <x v="7"/>
    <x v="2"/>
  </r>
  <r>
    <x v="1638"/>
    <x v="995"/>
    <x v="29"/>
    <x v="0"/>
    <s v="TM-11530"/>
    <s v="Tammy Mcdowell"/>
    <x v="1"/>
    <s v="United States"/>
    <x v="71"/>
    <x v="4"/>
    <x v="1"/>
    <s v="FUR-CH-109697"/>
    <x v="0"/>
    <x v="1"/>
    <s v="Rowan Mid-Back Tilter Chair"/>
    <n v="818.48050000000001"/>
    <n v="4"/>
    <n v="-52.59"/>
    <x v="3"/>
    <x v="4"/>
  </r>
  <r>
    <x v="1639"/>
    <x v="206"/>
    <x v="989"/>
    <x v="0"/>
    <s v="MM-16118"/>
    <s v="Matthew Moore"/>
    <x v="0"/>
    <s v="United States"/>
    <x v="19"/>
    <x v="20"/>
    <x v="2"/>
    <s v="FUR-BO-107999"/>
    <x v="0"/>
    <x v="2"/>
    <s v="Braxton Barrister Bookcase, Mahogany"/>
    <n v="294.59120000000001"/>
    <n v="3"/>
    <n v="68.373900000000006"/>
    <x v="0"/>
    <x v="5"/>
  </r>
  <r>
    <x v="1640"/>
    <x v="996"/>
    <x v="522"/>
    <x v="2"/>
    <s v="DH-20868"/>
    <s v="Diana Hays"/>
    <x v="2"/>
    <s v="United States"/>
    <x v="53"/>
    <x v="22"/>
    <x v="2"/>
    <s v="FUR-CH-107657"/>
    <x v="0"/>
    <x v="1"/>
    <s v="Hollis Stacking Chair, Rounded Back"/>
    <n v="408.14640000000003"/>
    <n v="6"/>
    <n v="-4.5894000000000004"/>
    <x v="7"/>
    <x v="5"/>
  </r>
  <r>
    <x v="1641"/>
    <x v="997"/>
    <x v="61"/>
    <x v="2"/>
    <s v="VS-14844"/>
    <s v="Veronica Silva"/>
    <x v="1"/>
    <s v="United States"/>
    <x v="72"/>
    <x v="6"/>
    <x v="1"/>
    <s v="FUR-FU-103673"/>
    <x v="0"/>
    <x v="0"/>
    <s v="Corcoran Document Holder, Wood"/>
    <n v="105.8447"/>
    <n v="3"/>
    <n v="-16.720099999999999"/>
    <x v="2"/>
    <x v="2"/>
  </r>
  <r>
    <x v="1641"/>
    <x v="997"/>
    <x v="61"/>
    <x v="2"/>
    <s v="VS-14844"/>
    <s v="Veronica Silva"/>
    <x v="1"/>
    <s v="United States"/>
    <x v="72"/>
    <x v="6"/>
    <x v="1"/>
    <s v="FUR-FU-105733"/>
    <x v="0"/>
    <x v="0"/>
    <s v="Sable Halogen Replacement Bulb, 2-Pack"/>
    <n v="586.79719999999998"/>
    <n v="1"/>
    <n v="-4.6661000000000001"/>
    <x v="2"/>
    <x v="2"/>
  </r>
  <r>
    <x v="1642"/>
    <x v="809"/>
    <x v="645"/>
    <x v="0"/>
    <s v="EW-15050"/>
    <s v="Eric Williams"/>
    <x v="2"/>
    <s v="United States"/>
    <x v="122"/>
    <x v="43"/>
    <x v="2"/>
    <s v="FUR-CH-109697"/>
    <x v="0"/>
    <x v="1"/>
    <s v="Rowan Mid-Back Tilter Chair"/>
    <n v="1439.1769999999999"/>
    <n v="7"/>
    <n v="70.877200000000002"/>
    <x v="0"/>
    <x v="8"/>
  </r>
  <r>
    <x v="1642"/>
    <x v="809"/>
    <x v="645"/>
    <x v="0"/>
    <s v="EW-15050"/>
    <s v="Eric Williams"/>
    <x v="2"/>
    <s v="United States"/>
    <x v="122"/>
    <x v="43"/>
    <x v="2"/>
    <s v="FUR-FU-104133"/>
    <x v="0"/>
    <x v="0"/>
    <s v="Preston Wood Photo Frame, Mahogany"/>
    <n v="19.881799999999998"/>
    <n v="3"/>
    <n v="0.91469999999999996"/>
    <x v="0"/>
    <x v="8"/>
  </r>
  <r>
    <x v="1643"/>
    <x v="931"/>
    <x v="590"/>
    <x v="2"/>
    <s v="MB-15421"/>
    <s v="Maria Brown"/>
    <x v="1"/>
    <s v="United States"/>
    <x v="93"/>
    <x v="9"/>
    <x v="0"/>
    <s v="FUR-FU-103673"/>
    <x v="0"/>
    <x v="0"/>
    <s v="Corcoran Document Holder, Wood"/>
    <n v="25.4116"/>
    <n v="3"/>
    <n v="9.5856999999999992"/>
    <x v="0"/>
    <x v="11"/>
  </r>
  <r>
    <x v="1644"/>
    <x v="984"/>
    <x v="990"/>
    <x v="2"/>
    <s v="TS-12504"/>
    <s v="Tina Sanders"/>
    <x v="2"/>
    <s v="United States"/>
    <x v="47"/>
    <x v="25"/>
    <x v="3"/>
    <s v="FUR-BO-108947"/>
    <x v="0"/>
    <x v="2"/>
    <s v="Concord Ladder Bookcase, Walnut"/>
    <n v="448.62349999999998"/>
    <n v="1"/>
    <n v="125.51049999999999"/>
    <x v="0"/>
    <x v="7"/>
  </r>
  <r>
    <x v="1645"/>
    <x v="998"/>
    <x v="991"/>
    <x v="2"/>
    <s v="DM-12103"/>
    <s v="David Martinez"/>
    <x v="0"/>
    <s v="United States"/>
    <x v="129"/>
    <x v="2"/>
    <x v="0"/>
    <s v="FUR-FU-104558"/>
    <x v="0"/>
    <x v="0"/>
    <s v="Lambert Swing Arm Desk Lamp"/>
    <n v="13.7659"/>
    <n v="2"/>
    <n v="4.3893000000000004"/>
    <x v="1"/>
    <x v="10"/>
  </r>
  <r>
    <x v="1646"/>
    <x v="999"/>
    <x v="504"/>
    <x v="2"/>
    <s v="LS-10998"/>
    <s v="Linda Smith"/>
    <x v="1"/>
    <s v="United States"/>
    <x v="90"/>
    <x v="45"/>
    <x v="3"/>
    <s v="FUR-TA-105355"/>
    <x v="0"/>
    <x v="3"/>
    <s v="Wexford Racetrack Conference Table"/>
    <n v="48.369300000000003"/>
    <n v="2"/>
    <n v="21.744299999999999"/>
    <x v="0"/>
    <x v="2"/>
  </r>
  <r>
    <x v="1647"/>
    <x v="294"/>
    <x v="992"/>
    <x v="2"/>
    <s v="AS-12286"/>
    <s v="Abigail Shaffer"/>
    <x v="1"/>
    <s v="United States"/>
    <x v="16"/>
    <x v="17"/>
    <x v="3"/>
    <s v="FUR-TA-105363"/>
    <x v="0"/>
    <x v="3"/>
    <s v="Ashcombe Rectangular Table Top"/>
    <n v="325.77859999999998"/>
    <n v="2"/>
    <n v="56.545099999999998"/>
    <x v="0"/>
    <x v="7"/>
  </r>
  <r>
    <x v="1648"/>
    <x v="789"/>
    <x v="993"/>
    <x v="2"/>
    <s v="RC-19173"/>
    <s v="Richard Cooper"/>
    <x v="0"/>
    <s v="United States"/>
    <x v="97"/>
    <x v="32"/>
    <x v="3"/>
    <s v="FUR-CH-100444"/>
    <x v="0"/>
    <x v="1"/>
    <s v="Harborview Mesh Task Chair, Adjustable Arms"/>
    <n v="1007.1245"/>
    <n v="4"/>
    <n v="-311.32459999999998"/>
    <x v="5"/>
    <x v="6"/>
  </r>
  <r>
    <x v="1649"/>
    <x v="441"/>
    <x v="401"/>
    <x v="2"/>
    <s v="PG-17633"/>
    <s v="Pamela Gutierrez"/>
    <x v="2"/>
    <s v="United States"/>
    <x v="107"/>
    <x v="40"/>
    <x v="0"/>
    <s v="FUR-FU-105733"/>
    <x v="0"/>
    <x v="0"/>
    <s v="Sable Halogen Replacement Bulb, 2-Pack"/>
    <n v="1231.5106000000001"/>
    <n v="2"/>
    <n v="806.25670000000002"/>
    <x v="2"/>
    <x v="11"/>
  </r>
  <r>
    <x v="1650"/>
    <x v="1000"/>
    <x v="585"/>
    <x v="2"/>
    <s v="DJ-12621"/>
    <s v="David Douglas Jr."/>
    <x v="2"/>
    <s v="United States"/>
    <x v="75"/>
    <x v="39"/>
    <x v="0"/>
    <s v="FUR-CH-102091"/>
    <x v="0"/>
    <x v="1"/>
    <s v="Vantage Swivel Task Chair, Blue"/>
    <n v="576.17970000000003"/>
    <n v="4"/>
    <n v="-25.641300000000001"/>
    <x v="1"/>
    <x v="2"/>
  </r>
  <r>
    <x v="1651"/>
    <x v="368"/>
    <x v="369"/>
    <x v="2"/>
    <s v="CS-17612"/>
    <s v="Courtney Smith"/>
    <x v="1"/>
    <s v="United States"/>
    <x v="46"/>
    <x v="28"/>
    <x v="2"/>
    <s v="FUR-FU-106906"/>
    <x v="0"/>
    <x v="0"/>
    <s v="Cobalt LED Magnifier Lamp with Clamp Base"/>
    <n v="12.137600000000001"/>
    <n v="3"/>
    <n v="-3.4317000000000002"/>
    <x v="7"/>
    <x v="11"/>
  </r>
  <r>
    <x v="1652"/>
    <x v="481"/>
    <x v="994"/>
    <x v="2"/>
    <s v="CJ-16939"/>
    <s v="Chad Jones"/>
    <x v="1"/>
    <s v="United States"/>
    <x v="3"/>
    <x v="3"/>
    <x v="1"/>
    <s v="FUR-FU-100853"/>
    <x v="0"/>
    <x v="0"/>
    <s v="Blaine Cubicle Wall Clock, Black"/>
    <n v="219.08250000000001"/>
    <n v="1"/>
    <n v="89.350899999999996"/>
    <x v="2"/>
    <x v="9"/>
  </r>
  <r>
    <x v="1653"/>
    <x v="388"/>
    <x v="801"/>
    <x v="0"/>
    <s v="RS-10035"/>
    <s v="Richard Smith"/>
    <x v="1"/>
    <s v="United States"/>
    <x v="31"/>
    <x v="28"/>
    <x v="2"/>
    <s v="FUR-CH-109697"/>
    <x v="0"/>
    <x v="1"/>
    <s v="Rowan Mid-Back Tilter Chair"/>
    <n v="426.66559999999998"/>
    <n v="6"/>
    <n v="10.6463"/>
    <x v="3"/>
    <x v="8"/>
  </r>
  <r>
    <x v="1654"/>
    <x v="914"/>
    <x v="76"/>
    <x v="2"/>
    <s v="DM-20738"/>
    <s v="Diana May"/>
    <x v="2"/>
    <s v="United States"/>
    <x v="63"/>
    <x v="39"/>
    <x v="0"/>
    <s v="FUR-FU-100853"/>
    <x v="0"/>
    <x v="0"/>
    <s v="Blaine Cubicle Wall Clock, Black"/>
    <n v="224.047"/>
    <n v="3"/>
    <n v="-103.2548"/>
    <x v="4"/>
    <x v="5"/>
  </r>
  <r>
    <x v="1655"/>
    <x v="268"/>
    <x v="995"/>
    <x v="2"/>
    <s v="SW-18288"/>
    <s v="Scott Williams"/>
    <x v="2"/>
    <s v="United States"/>
    <x v="27"/>
    <x v="26"/>
    <x v="3"/>
    <s v="FUR-TA-106211"/>
    <x v="0"/>
    <x v="3"/>
    <s v="Grantham Half-Moon Meeting Table"/>
    <n v="160.7688"/>
    <n v="2"/>
    <n v="-68.468299999999999"/>
    <x v="1"/>
    <x v="2"/>
  </r>
  <r>
    <x v="1656"/>
    <x v="1001"/>
    <x v="188"/>
    <x v="2"/>
    <s v="AH-20244"/>
    <s v="Alex Hernandez"/>
    <x v="2"/>
    <s v="United States"/>
    <x v="37"/>
    <x v="14"/>
    <x v="3"/>
    <s v="FUR-TA-103467"/>
    <x v="0"/>
    <x v="3"/>
    <s v="Kessler Round Bullnose High Table"/>
    <n v="311.25880000000001"/>
    <n v="2"/>
    <n v="227.86680000000001"/>
    <x v="6"/>
    <x v="7"/>
  </r>
  <r>
    <x v="1657"/>
    <x v="584"/>
    <x v="806"/>
    <x v="1"/>
    <s v="LJ-18279"/>
    <s v="Lisa Jackson"/>
    <x v="0"/>
    <s v="United States"/>
    <x v="75"/>
    <x v="39"/>
    <x v="0"/>
    <s v="FUR-FU-106211"/>
    <x v="0"/>
    <x v="0"/>
    <s v="Aurora Brushed Chrome Wall Clock, 14in"/>
    <n v="57.275599999999997"/>
    <n v="3"/>
    <n v="15.796799999999999"/>
    <x v="0"/>
    <x v="8"/>
  </r>
  <r>
    <x v="1658"/>
    <x v="628"/>
    <x v="610"/>
    <x v="0"/>
    <s v="JW-16275"/>
    <s v="Justin Walker"/>
    <x v="1"/>
    <s v="United States"/>
    <x v="50"/>
    <x v="21"/>
    <x v="1"/>
    <s v="FUR-FU-101124"/>
    <x v="0"/>
    <x v="0"/>
    <s v="Rutledge Desk Organizer Tray, Letter Size"/>
    <n v="72.5505"/>
    <n v="4"/>
    <n v="13.8561"/>
    <x v="3"/>
    <x v="5"/>
  </r>
  <r>
    <x v="1659"/>
    <x v="581"/>
    <x v="118"/>
    <x v="2"/>
    <s v="EG-14386"/>
    <s v="Evelyn Galvan"/>
    <x v="1"/>
    <s v="United States"/>
    <x v="53"/>
    <x v="22"/>
    <x v="2"/>
    <s v="FUR-FU-106211"/>
    <x v="0"/>
    <x v="0"/>
    <s v="Aurora Brushed Chrome Wall Clock, 14in"/>
    <n v="35.889699999999998"/>
    <n v="3"/>
    <n v="1.1220000000000001"/>
    <x v="6"/>
    <x v="0"/>
  </r>
  <r>
    <x v="1660"/>
    <x v="378"/>
    <x v="838"/>
    <x v="2"/>
    <s v="SH-19891"/>
    <s v="Shane Henderson"/>
    <x v="1"/>
    <s v="United States"/>
    <x v="88"/>
    <x v="31"/>
    <x v="2"/>
    <s v="FUR-BO-107999"/>
    <x v="0"/>
    <x v="2"/>
    <s v="Braxton Barrister Bookcase, Mahogany"/>
    <n v="246.64510000000001"/>
    <n v="2"/>
    <n v="-51.290100000000002"/>
    <x v="4"/>
    <x v="7"/>
  </r>
  <r>
    <x v="1661"/>
    <x v="261"/>
    <x v="71"/>
    <x v="3"/>
    <s v="SM-19125"/>
    <s v="Stephen Mckee"/>
    <x v="1"/>
    <s v="United States"/>
    <x v="57"/>
    <x v="0"/>
    <x v="0"/>
    <s v="FUR-FU-101341"/>
    <x v="0"/>
    <x v="0"/>
    <s v="Griswold Chairmats for Medium Pile Carpet"/>
    <n v="24.355599999999999"/>
    <n v="4"/>
    <n v="5.6559999999999997"/>
    <x v="7"/>
    <x v="1"/>
  </r>
  <r>
    <x v="1662"/>
    <x v="1002"/>
    <x v="270"/>
    <x v="2"/>
    <s v="DM-19939"/>
    <s v="Denise Martinez"/>
    <x v="2"/>
    <s v="United States"/>
    <x v="33"/>
    <x v="23"/>
    <x v="2"/>
    <s v="FUR-FU-106211"/>
    <x v="0"/>
    <x v="0"/>
    <s v="Aurora Brushed Chrome Wall Clock, 14in"/>
    <n v="121.5903"/>
    <n v="4"/>
    <n v="44.347999999999999"/>
    <x v="6"/>
    <x v="9"/>
  </r>
  <r>
    <x v="1663"/>
    <x v="1003"/>
    <x v="624"/>
    <x v="2"/>
    <s v="GH-19157"/>
    <s v="Gregory Hill"/>
    <x v="1"/>
    <s v="United States"/>
    <x v="5"/>
    <x v="5"/>
    <x v="2"/>
    <s v="FUR-CH-102091"/>
    <x v="0"/>
    <x v="1"/>
    <s v="Vantage Swivel Task Chair, Blue"/>
    <n v="282.23820000000001"/>
    <n v="4"/>
    <n v="-6.4259000000000004"/>
    <x v="3"/>
    <x v="1"/>
  </r>
  <r>
    <x v="1663"/>
    <x v="1003"/>
    <x v="624"/>
    <x v="2"/>
    <s v="GH-19157"/>
    <s v="Gregory Hill"/>
    <x v="1"/>
    <s v="United States"/>
    <x v="5"/>
    <x v="5"/>
    <x v="2"/>
    <s v="FUR-CH-109246"/>
    <x v="0"/>
    <x v="1"/>
    <s v="Beckett Steno Chair, Gray"/>
    <n v="241.3306"/>
    <n v="7"/>
    <n v="41.512099999999997"/>
    <x v="3"/>
    <x v="1"/>
  </r>
  <r>
    <x v="1664"/>
    <x v="407"/>
    <x v="408"/>
    <x v="1"/>
    <s v="LH-15728"/>
    <s v="Lawrence Harrington"/>
    <x v="2"/>
    <s v="United States"/>
    <x v="8"/>
    <x v="8"/>
    <x v="1"/>
    <s v="FUR-FU-100317"/>
    <x v="0"/>
    <x v="0"/>
    <s v="Nomad Floor Lamp, Telescoping Adjustable"/>
    <n v="42.975099999999998"/>
    <n v="6"/>
    <n v="15.0016"/>
    <x v="0"/>
    <x v="1"/>
  </r>
  <r>
    <x v="1665"/>
    <x v="639"/>
    <x v="103"/>
    <x v="1"/>
    <s v="JC-17517"/>
    <s v="Jeffrey Chandler"/>
    <x v="2"/>
    <s v="United States"/>
    <x v="4"/>
    <x v="4"/>
    <x v="1"/>
    <s v="FUR-TA-107564"/>
    <x v="0"/>
    <x v="3"/>
    <s v="Bellwood Slim Training Table, Light Gray"/>
    <n v="63.679299999999998"/>
    <n v="1"/>
    <n v="-29.864699999999999"/>
    <x v="7"/>
    <x v="11"/>
  </r>
  <r>
    <x v="1666"/>
    <x v="853"/>
    <x v="267"/>
    <x v="1"/>
    <s v="JP-19577"/>
    <s v="Jason Powell"/>
    <x v="1"/>
    <s v="United States"/>
    <x v="105"/>
    <x v="10"/>
    <x v="1"/>
    <s v="FUR-TA-107022"/>
    <x v="0"/>
    <x v="3"/>
    <s v="Alden Rectangular Conference Table"/>
    <n v="237.41669999999999"/>
    <n v="3"/>
    <n v="-60.1586"/>
    <x v="1"/>
    <x v="7"/>
  </r>
  <r>
    <x v="1667"/>
    <x v="715"/>
    <x v="715"/>
    <x v="0"/>
    <s v="RS-10035"/>
    <s v="Richard Smith"/>
    <x v="2"/>
    <s v="United States"/>
    <x v="31"/>
    <x v="28"/>
    <x v="2"/>
    <s v="FUR-CH-100441"/>
    <x v="0"/>
    <x v="1"/>
    <s v="Dalton Folding Chair, 4/Carton"/>
    <n v="525.72659999999996"/>
    <n v="2"/>
    <n v="45.915199999999999"/>
    <x v="1"/>
    <x v="9"/>
  </r>
  <r>
    <x v="1668"/>
    <x v="1004"/>
    <x v="996"/>
    <x v="2"/>
    <s v="JS-21274"/>
    <s v="Jessica Smith"/>
    <x v="0"/>
    <s v="United States"/>
    <x v="113"/>
    <x v="47"/>
    <x v="0"/>
    <s v="FUR-FU-101341"/>
    <x v="0"/>
    <x v="0"/>
    <s v="Griswold Chairmats for Medium Pile Carpet"/>
    <n v="323.62970000000001"/>
    <n v="4"/>
    <n v="157.98570000000001"/>
    <x v="6"/>
    <x v="11"/>
  </r>
  <r>
    <x v="1668"/>
    <x v="1004"/>
    <x v="996"/>
    <x v="2"/>
    <s v="JS-21274"/>
    <s v="Jessica Smith"/>
    <x v="0"/>
    <s v="United States"/>
    <x v="113"/>
    <x v="47"/>
    <x v="0"/>
    <s v="FUR-CH-108751"/>
    <x v="0"/>
    <x v="1"/>
    <s v="Prescott Ergonomic Chair with Lumbar Support"/>
    <n v="293.97239999999999"/>
    <n v="1"/>
    <n v="28.5672"/>
    <x v="6"/>
    <x v="11"/>
  </r>
  <r>
    <x v="1669"/>
    <x v="1"/>
    <x v="538"/>
    <x v="2"/>
    <s v="JW-14315"/>
    <s v="Jamie Walton"/>
    <x v="1"/>
    <s v="United States"/>
    <x v="103"/>
    <x v="46"/>
    <x v="3"/>
    <s v="FUR-FU-104558"/>
    <x v="0"/>
    <x v="0"/>
    <s v="Lambert Swing Arm Desk Lamp"/>
    <n v="74.531400000000005"/>
    <n v="8"/>
    <n v="26.710799999999999"/>
    <x v="1"/>
    <x v="1"/>
  </r>
  <r>
    <x v="1669"/>
    <x v="1"/>
    <x v="538"/>
    <x v="2"/>
    <s v="JW-14315"/>
    <s v="Jamie Walton"/>
    <x v="1"/>
    <s v="United States"/>
    <x v="103"/>
    <x v="46"/>
    <x v="3"/>
    <s v="FUR-FU-108837"/>
    <x v="0"/>
    <x v="0"/>
    <s v="Ivanhoe Poster Frame, Aluminum"/>
    <n v="57.638399999999997"/>
    <n v="2"/>
    <n v="33.979799999999997"/>
    <x v="1"/>
    <x v="1"/>
  </r>
  <r>
    <x v="1670"/>
    <x v="568"/>
    <x v="577"/>
    <x v="0"/>
    <s v="JM-15198"/>
    <s v="Jennifer Miranda"/>
    <x v="0"/>
    <s v="United States"/>
    <x v="122"/>
    <x v="43"/>
    <x v="2"/>
    <s v="FUR-FU-105733"/>
    <x v="0"/>
    <x v="0"/>
    <s v="Sable Halogen Replacement Bulb, 2-Pack"/>
    <n v="30.588200000000001"/>
    <n v="2"/>
    <n v="-2.0529000000000002"/>
    <x v="3"/>
    <x v="8"/>
  </r>
  <r>
    <x v="1671"/>
    <x v="1005"/>
    <x v="997"/>
    <x v="2"/>
    <s v="PG-17633"/>
    <s v="Pamela Gutierrez"/>
    <x v="2"/>
    <s v="United States"/>
    <x v="118"/>
    <x v="38"/>
    <x v="1"/>
    <s v="FUR-FU-106906"/>
    <x v="0"/>
    <x v="0"/>
    <s v="Cobalt LED Magnifier Lamp with Clamp Base"/>
    <n v="162.48390000000001"/>
    <n v="2"/>
    <n v="88.331699999999998"/>
    <x v="3"/>
    <x v="2"/>
  </r>
  <r>
    <x v="1672"/>
    <x v="1006"/>
    <x v="985"/>
    <x v="0"/>
    <s v="CW-10916"/>
    <s v="Christine Wright"/>
    <x v="2"/>
    <s v="United States"/>
    <x v="50"/>
    <x v="21"/>
    <x v="1"/>
    <s v="FUR-CH-105507"/>
    <x v="0"/>
    <x v="1"/>
    <s v="Kingsley Mesh-Back Task Chair"/>
    <n v="82.555899999999994"/>
    <n v="2"/>
    <n v="24.6435"/>
    <x v="5"/>
    <x v="2"/>
  </r>
  <r>
    <x v="1673"/>
    <x v="329"/>
    <x v="412"/>
    <x v="2"/>
    <s v="DW-13910"/>
    <s v="Debra White"/>
    <x v="2"/>
    <s v="United States"/>
    <x v="27"/>
    <x v="26"/>
    <x v="3"/>
    <s v="FUR-FU-103673"/>
    <x v="0"/>
    <x v="0"/>
    <s v="Corcoran Document Holder, Wood"/>
    <n v="56.917700000000004"/>
    <n v="4"/>
    <n v="29.663"/>
    <x v="3"/>
    <x v="2"/>
  </r>
  <r>
    <x v="1674"/>
    <x v="858"/>
    <x v="859"/>
    <x v="2"/>
    <s v="AW-19771"/>
    <s v="Amber Wright"/>
    <x v="2"/>
    <s v="United States"/>
    <x v="3"/>
    <x v="3"/>
    <x v="1"/>
    <s v="FUR-FU-108837"/>
    <x v="0"/>
    <x v="0"/>
    <s v="Ivanhoe Poster Frame, Aluminum"/>
    <n v="17.092099999999999"/>
    <n v="2"/>
    <n v="-1.9135"/>
    <x v="3"/>
    <x v="1"/>
  </r>
  <r>
    <x v="1675"/>
    <x v="795"/>
    <x v="793"/>
    <x v="2"/>
    <s v="LH-17260"/>
    <s v="Laura Haney"/>
    <x v="0"/>
    <s v="United States"/>
    <x v="78"/>
    <x v="37"/>
    <x v="0"/>
    <s v="FUR-CH-107657"/>
    <x v="0"/>
    <x v="1"/>
    <s v="Hollis Stacking Chair, Rounded Back"/>
    <n v="167.6908"/>
    <n v="2"/>
    <n v="-27.773800000000001"/>
    <x v="7"/>
    <x v="5"/>
  </r>
  <r>
    <x v="1676"/>
    <x v="446"/>
    <x v="998"/>
    <x v="2"/>
    <s v="JH-13814"/>
    <s v="Jordan Henderson"/>
    <x v="1"/>
    <s v="United States"/>
    <x v="0"/>
    <x v="0"/>
    <x v="0"/>
    <s v="FUR-TA-107564"/>
    <x v="0"/>
    <x v="3"/>
    <s v="Bellwood Slim Training Table, Light Gray"/>
    <n v="463.93709999999999"/>
    <n v="2"/>
    <n v="-4.9488000000000003"/>
    <x v="7"/>
    <x v="8"/>
  </r>
  <r>
    <x v="1677"/>
    <x v="460"/>
    <x v="999"/>
    <x v="2"/>
    <s v="LH-20770"/>
    <s v="Laurie Hoffman"/>
    <x v="1"/>
    <s v="United States"/>
    <x v="82"/>
    <x v="19"/>
    <x v="2"/>
    <s v="FUR-TA-104262"/>
    <x v="0"/>
    <x v="3"/>
    <s v="Thorne End Table, 20-1/2H x 24W x 20D"/>
    <n v="610.47630000000004"/>
    <n v="4"/>
    <n v="-58.489100000000001"/>
    <x v="3"/>
    <x v="5"/>
  </r>
  <r>
    <x v="1677"/>
    <x v="460"/>
    <x v="999"/>
    <x v="2"/>
    <s v="LH-20770"/>
    <s v="Laurie Hoffman"/>
    <x v="1"/>
    <s v="United States"/>
    <x v="82"/>
    <x v="19"/>
    <x v="2"/>
    <s v="FUR-FU-107705"/>
    <x v="0"/>
    <x v="0"/>
    <s v="Hawthorne Desk Accessory Set, Oak"/>
    <n v="226.24459999999999"/>
    <n v="4"/>
    <n v="106.4879"/>
    <x v="3"/>
    <x v="5"/>
  </r>
  <r>
    <x v="1678"/>
    <x v="20"/>
    <x v="687"/>
    <x v="1"/>
    <s v="MM-19543"/>
    <s v="Marie Moody"/>
    <x v="1"/>
    <s v="United States"/>
    <x v="5"/>
    <x v="5"/>
    <x v="2"/>
    <s v="FUR-FU-100853"/>
    <x v="0"/>
    <x v="0"/>
    <s v="Blaine Cubicle Wall Clock, Black"/>
    <n v="23.867799999999999"/>
    <n v="9"/>
    <n v="9.6075999999999997"/>
    <x v="1"/>
    <x v="7"/>
  </r>
  <r>
    <x v="1679"/>
    <x v="986"/>
    <x v="641"/>
    <x v="0"/>
    <s v="KM-15663"/>
    <s v="Krista Martinez"/>
    <x v="1"/>
    <s v="United States"/>
    <x v="38"/>
    <x v="32"/>
    <x v="3"/>
    <s v="FUR-FU-108837"/>
    <x v="0"/>
    <x v="0"/>
    <s v="Ivanhoe Poster Frame, Aluminum"/>
    <n v="437.59879999999998"/>
    <n v="2"/>
    <n v="69.393000000000001"/>
    <x v="0"/>
    <x v="6"/>
  </r>
  <r>
    <x v="1680"/>
    <x v="201"/>
    <x v="1000"/>
    <x v="2"/>
    <s v="CV-10590"/>
    <s v="Cynthia Vang"/>
    <x v="1"/>
    <s v="United States"/>
    <x v="54"/>
    <x v="1"/>
    <x v="0"/>
    <s v="FUR-CH-100441"/>
    <x v="0"/>
    <x v="1"/>
    <s v="Dalton Folding Chair, 4/Carton"/>
    <n v="319.58390000000003"/>
    <n v="5"/>
    <n v="84.391000000000005"/>
    <x v="0"/>
    <x v="9"/>
  </r>
  <r>
    <x v="1680"/>
    <x v="201"/>
    <x v="1000"/>
    <x v="2"/>
    <s v="CV-10590"/>
    <s v="Cynthia Vang"/>
    <x v="1"/>
    <s v="United States"/>
    <x v="54"/>
    <x v="1"/>
    <x v="0"/>
    <s v="FUR-CH-109246"/>
    <x v="0"/>
    <x v="1"/>
    <s v="Beckett Steno Chair, Gray"/>
    <n v="654.29110000000003"/>
    <n v="6"/>
    <n v="63.959499999999998"/>
    <x v="0"/>
    <x v="9"/>
  </r>
  <r>
    <x v="1680"/>
    <x v="201"/>
    <x v="1000"/>
    <x v="2"/>
    <s v="CV-10590"/>
    <s v="Cynthia Vang"/>
    <x v="1"/>
    <s v="United States"/>
    <x v="54"/>
    <x v="1"/>
    <x v="0"/>
    <s v="FUR-FU-100317"/>
    <x v="0"/>
    <x v="0"/>
    <s v="Nomad Floor Lamp, Telescoping Adjustable"/>
    <n v="37.918300000000002"/>
    <n v="4"/>
    <n v="-11.0123"/>
    <x v="0"/>
    <x v="9"/>
  </r>
  <r>
    <x v="1681"/>
    <x v="385"/>
    <x v="414"/>
    <x v="2"/>
    <s v="CR-17062"/>
    <s v="Cynthia Rowe"/>
    <x v="0"/>
    <s v="United States"/>
    <x v="114"/>
    <x v="42"/>
    <x v="1"/>
    <s v="FUR-CH-109697"/>
    <x v="0"/>
    <x v="1"/>
    <s v="Rowan Mid-Back Tilter Chair"/>
    <n v="254.10130000000001"/>
    <n v="4"/>
    <n v="6.3028000000000004"/>
    <x v="7"/>
    <x v="3"/>
  </r>
  <r>
    <x v="1682"/>
    <x v="388"/>
    <x v="1001"/>
    <x v="1"/>
    <s v="HB-17711"/>
    <s v="Heather Bolton"/>
    <x v="2"/>
    <s v="United States"/>
    <x v="48"/>
    <x v="35"/>
    <x v="3"/>
    <s v="FUR-CH-101375"/>
    <x v="0"/>
    <x v="1"/>
    <s v="Sutton Push-Button Manager's Chair, Indigo"/>
    <n v="2257.3087"/>
    <n v="5"/>
    <n v="643.14250000000004"/>
    <x v="1"/>
    <x v="8"/>
  </r>
  <r>
    <x v="1683"/>
    <x v="13"/>
    <x v="469"/>
    <x v="2"/>
    <s v="WH-12471"/>
    <s v="William Harrison"/>
    <x v="1"/>
    <s v="United States"/>
    <x v="70"/>
    <x v="38"/>
    <x v="1"/>
    <s v="FUR-FU-103673"/>
    <x v="0"/>
    <x v="0"/>
    <s v="Corcoran Document Holder, Wood"/>
    <n v="41.9313"/>
    <n v="3"/>
    <n v="-6.7274000000000003"/>
    <x v="3"/>
    <x v="9"/>
  </r>
  <r>
    <x v="1684"/>
    <x v="48"/>
    <x v="93"/>
    <x v="1"/>
    <s v="VM-14649"/>
    <s v="Victor Morris"/>
    <x v="2"/>
    <s v="United States"/>
    <x v="110"/>
    <x v="47"/>
    <x v="0"/>
    <s v="FUR-FU-107705"/>
    <x v="0"/>
    <x v="0"/>
    <s v="Hawthorne Desk Accessory Set, Oak"/>
    <n v="2"/>
    <n v="3"/>
    <n v="0.30909999999999999"/>
    <x v="0"/>
    <x v="9"/>
  </r>
  <r>
    <x v="1685"/>
    <x v="416"/>
    <x v="1002"/>
    <x v="2"/>
    <s v="MW-11894"/>
    <s v="Marilyn Wang"/>
    <x v="1"/>
    <s v="United States"/>
    <x v="13"/>
    <x v="14"/>
    <x v="3"/>
    <s v="FUR-FU-103673"/>
    <x v="0"/>
    <x v="0"/>
    <s v="Corcoran Document Holder, Wood"/>
    <n v="14.7415"/>
    <n v="2"/>
    <n v="-0.437"/>
    <x v="6"/>
    <x v="4"/>
  </r>
  <r>
    <x v="1686"/>
    <x v="547"/>
    <x v="371"/>
    <x v="1"/>
    <s v="CH-20280"/>
    <s v="Cheyenne Horton"/>
    <x v="2"/>
    <s v="United States"/>
    <x v="83"/>
    <x v="27"/>
    <x v="0"/>
    <s v="FUR-TA-104262"/>
    <x v="0"/>
    <x v="3"/>
    <s v="Thorne End Table, 20-1/2H x 24W x 20D"/>
    <n v="337.46069999999997"/>
    <n v="7"/>
    <n v="75.877399999999994"/>
    <x v="0"/>
    <x v="3"/>
  </r>
  <r>
    <x v="1686"/>
    <x v="547"/>
    <x v="371"/>
    <x v="1"/>
    <s v="CH-20280"/>
    <s v="Cheyenne Horton"/>
    <x v="2"/>
    <s v="United States"/>
    <x v="83"/>
    <x v="27"/>
    <x v="0"/>
    <s v="FUR-FU-100853"/>
    <x v="0"/>
    <x v="0"/>
    <s v="Blaine Cubicle Wall Clock, Black"/>
    <n v="187.5864"/>
    <n v="1"/>
    <n v="-7.9923000000000002"/>
    <x v="0"/>
    <x v="3"/>
  </r>
  <r>
    <x v="1687"/>
    <x v="1007"/>
    <x v="495"/>
    <x v="2"/>
    <s v="DK-10821"/>
    <s v="Daniel Kane"/>
    <x v="0"/>
    <s v="United States"/>
    <x v="9"/>
    <x v="10"/>
    <x v="1"/>
    <s v="FUR-CH-109697"/>
    <x v="0"/>
    <x v="1"/>
    <s v="Rowan Mid-Back Tilter Chair"/>
    <n v="344.65260000000001"/>
    <n v="9"/>
    <n v="22.231400000000001"/>
    <x v="1"/>
    <x v="10"/>
  </r>
  <r>
    <x v="1688"/>
    <x v="514"/>
    <x v="1003"/>
    <x v="2"/>
    <s v="JP-10009"/>
    <s v="Jonathan Peterson"/>
    <x v="1"/>
    <s v="United States"/>
    <x v="26"/>
    <x v="25"/>
    <x v="3"/>
    <s v="FUR-CH-106624"/>
    <x v="0"/>
    <x v="1"/>
    <s v="Adler Fabric Manager's Chair, Slate Gray"/>
    <n v="392.75700000000001"/>
    <n v="4"/>
    <n v="-69.526799999999994"/>
    <x v="2"/>
    <x v="0"/>
  </r>
  <r>
    <x v="1688"/>
    <x v="514"/>
    <x v="1003"/>
    <x v="2"/>
    <s v="JP-10009"/>
    <s v="Jonathan Peterson"/>
    <x v="1"/>
    <s v="United States"/>
    <x v="26"/>
    <x v="25"/>
    <x v="3"/>
    <s v="FUR-FU-105733"/>
    <x v="0"/>
    <x v="0"/>
    <s v="Sable Halogen Replacement Bulb, 2-Pack"/>
    <n v="149.23249999999999"/>
    <n v="5"/>
    <n v="26.853300000000001"/>
    <x v="2"/>
    <x v="0"/>
  </r>
  <r>
    <x v="1689"/>
    <x v="328"/>
    <x v="1004"/>
    <x v="1"/>
    <s v="TB-21931"/>
    <s v="Tammie Bright"/>
    <x v="0"/>
    <s v="United States"/>
    <x v="71"/>
    <x v="4"/>
    <x v="1"/>
    <s v="FUR-FU-101124"/>
    <x v="0"/>
    <x v="0"/>
    <s v="Rutledge Desk Organizer Tray, Letter Size"/>
    <n v="9.1031999999999993"/>
    <n v="2"/>
    <n v="-1.1529"/>
    <x v="7"/>
    <x v="11"/>
  </r>
  <r>
    <x v="1690"/>
    <x v="1008"/>
    <x v="96"/>
    <x v="2"/>
    <s v="SJ-16572"/>
    <s v="Sierra Johnson"/>
    <x v="2"/>
    <s v="United States"/>
    <x v="38"/>
    <x v="32"/>
    <x v="3"/>
    <s v="FUR-FU-104133"/>
    <x v="0"/>
    <x v="0"/>
    <s v="Preston Wood Photo Frame, Mahogany"/>
    <n v="32.6462"/>
    <n v="2"/>
    <n v="6.8399000000000001"/>
    <x v="2"/>
    <x v="1"/>
  </r>
  <r>
    <x v="1690"/>
    <x v="1008"/>
    <x v="96"/>
    <x v="2"/>
    <s v="SJ-16572"/>
    <s v="Sierra Johnson"/>
    <x v="2"/>
    <s v="United States"/>
    <x v="38"/>
    <x v="32"/>
    <x v="3"/>
    <s v="FUR-FU-107705"/>
    <x v="0"/>
    <x v="0"/>
    <s v="Hawthorne Desk Accessory Set, Oak"/>
    <n v="55.7517"/>
    <n v="2"/>
    <n v="2.1495000000000002"/>
    <x v="2"/>
    <x v="1"/>
  </r>
  <r>
    <x v="1691"/>
    <x v="1009"/>
    <x v="620"/>
    <x v="3"/>
    <s v="WD-14279"/>
    <s v="William Day"/>
    <x v="1"/>
    <s v="United States"/>
    <x v="95"/>
    <x v="33"/>
    <x v="3"/>
    <s v="FUR-FU-107705"/>
    <x v="0"/>
    <x v="0"/>
    <s v="Hawthorne Desk Accessory Set, Oak"/>
    <n v="58.533700000000003"/>
    <n v="3"/>
    <n v="15.949299999999999"/>
    <x v="7"/>
    <x v="3"/>
  </r>
  <r>
    <x v="1692"/>
    <x v="967"/>
    <x v="194"/>
    <x v="2"/>
    <s v="MB-15421"/>
    <s v="Maria Brown"/>
    <x v="2"/>
    <s v="United States"/>
    <x v="69"/>
    <x v="41"/>
    <x v="3"/>
    <s v="FUR-FU-100853"/>
    <x v="0"/>
    <x v="0"/>
    <s v="Blaine Cubicle Wall Clock, Black"/>
    <n v="6.2548000000000004"/>
    <n v="4"/>
    <n v="-0.2717"/>
    <x v="0"/>
    <x v="5"/>
  </r>
  <r>
    <x v="1693"/>
    <x v="379"/>
    <x v="568"/>
    <x v="2"/>
    <s v="RS-10035"/>
    <s v="Richard Smith"/>
    <x v="2"/>
    <s v="United States"/>
    <x v="123"/>
    <x v="24"/>
    <x v="1"/>
    <s v="FUR-BO-107140"/>
    <x v="0"/>
    <x v="2"/>
    <s v="Delacroix Lawyers Bookcase, Cherry Finish"/>
    <n v="322.72109999999998"/>
    <n v="3"/>
    <n v="-71.379499999999993"/>
    <x v="2"/>
    <x v="10"/>
  </r>
  <r>
    <x v="1694"/>
    <x v="1010"/>
    <x v="1005"/>
    <x v="2"/>
    <s v="AP-10452"/>
    <s v="Angelica Parker"/>
    <x v="1"/>
    <s v="United States"/>
    <x v="27"/>
    <x v="26"/>
    <x v="3"/>
    <s v="FUR-FU-104133"/>
    <x v="0"/>
    <x v="0"/>
    <s v="Preston Wood Photo Frame, Mahogany"/>
    <n v="97.388499999999993"/>
    <n v="3"/>
    <n v="-36.363599999999998"/>
    <x v="1"/>
    <x v="4"/>
  </r>
  <r>
    <x v="1695"/>
    <x v="297"/>
    <x v="906"/>
    <x v="0"/>
    <s v="KN-16615"/>
    <s v="Kimberly Nguyen"/>
    <x v="0"/>
    <s v="United States"/>
    <x v="22"/>
    <x v="22"/>
    <x v="2"/>
    <s v="FUR-BO-106371"/>
    <x v="0"/>
    <x v="2"/>
    <s v="Fairmont Ladder Shelf, Black Metal Frame"/>
    <n v="287.78890000000001"/>
    <n v="6"/>
    <n v="123.9144"/>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A1C1D9-B95E-4616-881A-6A15474719E5}"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G13" firstHeaderRow="1" firstDataRow="1" firstDataCol="1"/>
  <pivotFields count="26">
    <pivotField showAll="0"/>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axis="axisRow" showAll="0" measureFilter="1">
      <items count="132">
        <item x="110"/>
        <item x="19"/>
        <item x="83"/>
        <item x="32"/>
        <item x="63"/>
        <item x="105"/>
        <item x="61"/>
        <item x="103"/>
        <item x="108"/>
        <item x="59"/>
        <item x="93"/>
        <item x="67"/>
        <item x="46"/>
        <item x="77"/>
        <item x="53"/>
        <item x="35"/>
        <item x="122"/>
        <item x="113"/>
        <item x="79"/>
        <item x="73"/>
        <item x="88"/>
        <item x="37"/>
        <item x="0"/>
        <item x="128"/>
        <item x="36"/>
        <item x="98"/>
        <item x="112"/>
        <item x="80"/>
        <item x="81"/>
        <item x="6"/>
        <item x="1"/>
        <item x="16"/>
        <item x="86"/>
        <item x="13"/>
        <item x="104"/>
        <item x="2"/>
        <item x="20"/>
        <item x="56"/>
        <item x="69"/>
        <item x="3"/>
        <item x="65"/>
        <item x="109"/>
        <item x="4"/>
        <item x="27"/>
        <item x="39"/>
        <item x="72"/>
        <item x="8"/>
        <item x="51"/>
        <item x="106"/>
        <item x="87"/>
        <item x="57"/>
        <item x="119"/>
        <item x="111"/>
        <item x="116"/>
        <item x="34"/>
        <item x="100"/>
        <item x="28"/>
        <item x="5"/>
        <item x="45"/>
        <item x="17"/>
        <item x="121"/>
        <item x="10"/>
        <item x="76"/>
        <item x="95"/>
        <item x="85"/>
        <item x="124"/>
        <item x="22"/>
        <item x="33"/>
        <item x="52"/>
        <item x="68"/>
        <item x="58"/>
        <item x="31"/>
        <item x="114"/>
        <item x="120"/>
        <item x="15"/>
        <item x="92"/>
        <item x="117"/>
        <item x="71"/>
        <item x="78"/>
        <item x="123"/>
        <item x="126"/>
        <item x="84"/>
        <item x="14"/>
        <item x="101"/>
        <item x="48"/>
        <item x="21"/>
        <item x="44"/>
        <item x="118"/>
        <item x="47"/>
        <item x="127"/>
        <item x="30"/>
        <item x="66"/>
        <item x="41"/>
        <item x="7"/>
        <item x="60"/>
        <item x="82"/>
        <item x="50"/>
        <item x="29"/>
        <item x="23"/>
        <item x="96"/>
        <item x="97"/>
        <item x="75"/>
        <item x="125"/>
        <item x="90"/>
        <item x="38"/>
        <item x="43"/>
        <item x="18"/>
        <item x="130"/>
        <item x="89"/>
        <item x="42"/>
        <item x="99"/>
        <item x="9"/>
        <item x="115"/>
        <item x="25"/>
        <item x="12"/>
        <item x="55"/>
        <item x="91"/>
        <item x="74"/>
        <item x="11"/>
        <item x="70"/>
        <item x="54"/>
        <item x="26"/>
        <item x="64"/>
        <item x="24"/>
        <item x="102"/>
        <item x="40"/>
        <item x="107"/>
        <item x="49"/>
        <item x="62"/>
        <item x="129"/>
        <item x="94"/>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6">
    <i>
      <x v="12"/>
    </i>
    <i>
      <x v="66"/>
    </i>
    <i>
      <x v="94"/>
    </i>
    <i>
      <x v="124"/>
    </i>
    <i>
      <x v="127"/>
    </i>
    <i t="grand">
      <x/>
    </i>
  </rowItems>
  <colItems count="1">
    <i/>
  </colItems>
  <dataFields count="1">
    <dataField name="Sum of Sales" fld="15" baseField="8" baseItem="12" numFmtId="165"/>
  </dataFields>
  <pivotTableStyleInfo name="PivotStyleLight16" showRowHeaders="1" showColHeaders="1" showRowStripes="0" showColStripes="0" showLastColumn="1"/>
  <filters count="1">
    <filter fld="8"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CD29BF-29B6-45A6-8926-04BF3C1787EF}"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7:B30" firstHeaderRow="1" firstDataRow="1" firstDataCol="1"/>
  <pivotFields count="26">
    <pivotField showAll="0"/>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showAll="0"/>
    <pivotField showAll="0"/>
    <pivotField showAll="0">
      <items count="5">
        <item x="3"/>
        <item x="0"/>
        <item x="1"/>
        <item x="2"/>
        <item t="default"/>
      </items>
    </pivotField>
    <pivotField showAll="0"/>
    <pivotField showAll="0"/>
    <pivotField showAll="0"/>
    <pivotField showAll="0"/>
    <pivotField dataField="1" showAll="0"/>
    <pivotField showAll="0"/>
    <pivotField showAll="0"/>
    <pivotField showAll="0"/>
    <pivotField showAll="0">
      <items count="13">
        <item x="7"/>
        <item x="5"/>
        <item x="1"/>
        <item x="6"/>
        <item x="8"/>
        <item x="9"/>
        <item x="3"/>
        <item x="0"/>
        <item x="10"/>
        <item x="11"/>
        <item x="4"/>
        <item x="2"/>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0"/>
  </rowFields>
  <rowItems count="13">
    <i>
      <x v="1"/>
    </i>
    <i>
      <x v="2"/>
    </i>
    <i>
      <x v="3"/>
    </i>
    <i>
      <x v="4"/>
    </i>
    <i>
      <x v="5"/>
    </i>
    <i>
      <x v="6"/>
    </i>
    <i>
      <x v="7"/>
    </i>
    <i>
      <x v="8"/>
    </i>
    <i>
      <x v="9"/>
    </i>
    <i>
      <x v="10"/>
    </i>
    <i>
      <x v="11"/>
    </i>
    <i>
      <x v="12"/>
    </i>
    <i t="grand">
      <x/>
    </i>
  </rowItems>
  <colItems count="1">
    <i/>
  </colItems>
  <dataFields count="1">
    <dataField name="Sum of Sales" fld="15" baseField="20" baseItem="1" numFmtId="165"/>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42551A-9EB2-4A41-B744-51F7061DBECD}" name="PivotTable14"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4:S21" firstHeaderRow="1" firstDataRow="1" firstDataCol="0"/>
  <pivotFields count="26">
    <pivotField showAll="0">
      <items count="1697">
        <item x="13"/>
        <item x="15"/>
        <item x="19"/>
        <item x="23"/>
        <item x="26"/>
        <item x="30"/>
        <item x="46"/>
        <item x="48"/>
        <item x="50"/>
        <item x="53"/>
        <item x="66"/>
        <item x="73"/>
        <item x="86"/>
        <item x="96"/>
        <item x="101"/>
        <item x="105"/>
        <item x="107"/>
        <item x="129"/>
        <item x="132"/>
        <item x="134"/>
        <item x="135"/>
        <item x="149"/>
        <item x="151"/>
        <item x="153"/>
        <item x="168"/>
        <item x="175"/>
        <item x="188"/>
        <item x="190"/>
        <item x="191"/>
        <item x="198"/>
        <item x="201"/>
        <item x="202"/>
        <item x="206"/>
        <item x="209"/>
        <item x="211"/>
        <item x="213"/>
        <item x="222"/>
        <item x="228"/>
        <item x="242"/>
        <item x="246"/>
        <item x="250"/>
        <item x="258"/>
        <item x="260"/>
        <item x="264"/>
        <item x="267"/>
        <item x="269"/>
        <item x="277"/>
        <item x="280"/>
        <item x="306"/>
        <item x="320"/>
        <item x="323"/>
        <item x="324"/>
        <item x="335"/>
        <item x="348"/>
        <item x="355"/>
        <item x="379"/>
        <item x="383"/>
        <item x="392"/>
        <item x="393"/>
        <item x="395"/>
        <item x="401"/>
        <item x="411"/>
        <item x="413"/>
        <item x="418"/>
        <item x="423"/>
        <item x="436"/>
        <item x="439"/>
        <item x="464"/>
        <item x="465"/>
        <item x="470"/>
        <item x="499"/>
        <item x="504"/>
        <item x="507"/>
        <item x="544"/>
        <item x="548"/>
        <item x="551"/>
        <item x="562"/>
        <item x="571"/>
        <item x="578"/>
        <item x="579"/>
        <item x="583"/>
        <item x="596"/>
        <item x="600"/>
        <item x="603"/>
        <item x="609"/>
        <item x="619"/>
        <item x="625"/>
        <item x="639"/>
        <item x="644"/>
        <item x="651"/>
        <item x="665"/>
        <item x="675"/>
        <item x="681"/>
        <item x="701"/>
        <item x="702"/>
        <item x="726"/>
        <item x="734"/>
        <item x="757"/>
        <item x="758"/>
        <item x="759"/>
        <item x="764"/>
        <item x="776"/>
        <item x="779"/>
        <item x="780"/>
        <item x="792"/>
        <item x="801"/>
        <item x="806"/>
        <item x="808"/>
        <item x="823"/>
        <item x="828"/>
        <item x="831"/>
        <item x="837"/>
        <item x="842"/>
        <item x="847"/>
        <item x="849"/>
        <item x="850"/>
        <item x="853"/>
        <item x="854"/>
        <item x="864"/>
        <item x="866"/>
        <item x="868"/>
        <item x="872"/>
        <item x="873"/>
        <item x="875"/>
        <item x="883"/>
        <item x="893"/>
        <item x="895"/>
        <item x="906"/>
        <item x="910"/>
        <item x="923"/>
        <item x="935"/>
        <item x="950"/>
        <item x="963"/>
        <item x="988"/>
        <item x="993"/>
        <item x="998"/>
        <item x="1003"/>
        <item x="1008"/>
        <item x="1020"/>
        <item x="1024"/>
        <item x="1028"/>
        <item x="1031"/>
        <item x="1035"/>
        <item x="1043"/>
        <item x="1048"/>
        <item x="1051"/>
        <item x="1057"/>
        <item x="1076"/>
        <item x="1092"/>
        <item x="1099"/>
        <item x="1109"/>
        <item x="1112"/>
        <item x="1117"/>
        <item x="1142"/>
        <item x="1143"/>
        <item x="1145"/>
        <item x="1147"/>
        <item x="1159"/>
        <item x="1196"/>
        <item x="1198"/>
        <item x="1215"/>
        <item x="1218"/>
        <item x="1230"/>
        <item x="1240"/>
        <item x="1244"/>
        <item x="1250"/>
        <item x="1260"/>
        <item x="1263"/>
        <item x="1272"/>
        <item x="1273"/>
        <item x="1286"/>
        <item x="1291"/>
        <item x="1298"/>
        <item x="1301"/>
        <item x="1312"/>
        <item x="1316"/>
        <item x="1318"/>
        <item x="1326"/>
        <item x="1359"/>
        <item x="1402"/>
        <item x="1404"/>
        <item x="1435"/>
        <item x="1461"/>
        <item x="1465"/>
        <item x="1477"/>
        <item x="1478"/>
        <item x="1491"/>
        <item x="1494"/>
        <item x="1500"/>
        <item x="1503"/>
        <item x="1508"/>
        <item x="1509"/>
        <item x="1533"/>
        <item x="1537"/>
        <item x="1540"/>
        <item x="1555"/>
        <item x="1572"/>
        <item x="1585"/>
        <item x="1586"/>
        <item x="1598"/>
        <item x="1605"/>
        <item x="1611"/>
        <item x="1612"/>
        <item x="1617"/>
        <item x="1627"/>
        <item x="1630"/>
        <item x="1631"/>
        <item x="1634"/>
        <item x="1639"/>
        <item x="1642"/>
        <item x="1660"/>
        <item x="1663"/>
        <item x="1665"/>
        <item x="1679"/>
        <item x="1688"/>
        <item x="32"/>
        <item x="33"/>
        <item x="34"/>
        <item x="37"/>
        <item x="43"/>
        <item x="55"/>
        <item x="56"/>
        <item x="57"/>
        <item x="74"/>
        <item x="84"/>
        <item x="85"/>
        <item x="102"/>
        <item x="106"/>
        <item x="118"/>
        <item x="124"/>
        <item x="125"/>
        <item x="127"/>
        <item x="131"/>
        <item x="136"/>
        <item x="142"/>
        <item x="146"/>
        <item x="147"/>
        <item x="150"/>
        <item x="177"/>
        <item x="179"/>
        <item x="182"/>
        <item x="196"/>
        <item x="204"/>
        <item x="205"/>
        <item x="224"/>
        <item x="227"/>
        <item x="234"/>
        <item x="236"/>
        <item x="245"/>
        <item x="252"/>
        <item x="271"/>
        <item x="289"/>
        <item x="290"/>
        <item x="301"/>
        <item x="308"/>
        <item x="312"/>
        <item x="319"/>
        <item x="329"/>
        <item x="334"/>
        <item x="340"/>
        <item x="356"/>
        <item x="374"/>
        <item x="377"/>
        <item x="381"/>
        <item x="384"/>
        <item x="389"/>
        <item x="396"/>
        <item x="406"/>
        <item x="412"/>
        <item x="447"/>
        <item x="462"/>
        <item x="468"/>
        <item x="481"/>
        <item x="491"/>
        <item x="492"/>
        <item x="505"/>
        <item x="509"/>
        <item x="533"/>
        <item x="545"/>
        <item x="546"/>
        <item x="558"/>
        <item x="569"/>
        <item x="576"/>
        <item x="592"/>
        <item x="614"/>
        <item x="621"/>
        <item x="631"/>
        <item x="635"/>
        <item x="636"/>
        <item x="637"/>
        <item x="638"/>
        <item x="645"/>
        <item x="664"/>
        <item x="666"/>
        <item x="667"/>
        <item x="696"/>
        <item x="698"/>
        <item x="699"/>
        <item x="713"/>
        <item x="716"/>
        <item x="722"/>
        <item x="723"/>
        <item x="729"/>
        <item x="732"/>
        <item x="735"/>
        <item x="738"/>
        <item x="749"/>
        <item x="753"/>
        <item x="765"/>
        <item x="772"/>
        <item x="807"/>
        <item x="811"/>
        <item x="814"/>
        <item x="817"/>
        <item x="836"/>
        <item x="844"/>
        <item x="846"/>
        <item x="880"/>
        <item x="887"/>
        <item x="891"/>
        <item x="892"/>
        <item x="904"/>
        <item x="905"/>
        <item x="912"/>
        <item x="936"/>
        <item x="942"/>
        <item x="944"/>
        <item x="971"/>
        <item x="992"/>
        <item x="1005"/>
        <item x="1012"/>
        <item x="1013"/>
        <item x="1017"/>
        <item x="1049"/>
        <item x="1053"/>
        <item x="1062"/>
        <item x="1067"/>
        <item x="1068"/>
        <item x="1073"/>
        <item x="1078"/>
        <item x="1084"/>
        <item x="1088"/>
        <item x="1096"/>
        <item x="1120"/>
        <item x="1122"/>
        <item x="1123"/>
        <item x="1125"/>
        <item x="1126"/>
        <item x="1149"/>
        <item x="1155"/>
        <item x="1156"/>
        <item x="1158"/>
        <item x="1162"/>
        <item x="1171"/>
        <item x="1183"/>
        <item x="1185"/>
        <item x="1191"/>
        <item x="1192"/>
        <item x="1194"/>
        <item x="1202"/>
        <item x="1210"/>
        <item x="1212"/>
        <item x="1213"/>
        <item x="1217"/>
        <item x="1219"/>
        <item x="1229"/>
        <item x="1245"/>
        <item x="1253"/>
        <item x="1254"/>
        <item x="1256"/>
        <item x="1259"/>
        <item x="1261"/>
        <item x="1270"/>
        <item x="1271"/>
        <item x="1280"/>
        <item x="1284"/>
        <item x="1287"/>
        <item x="1306"/>
        <item x="1307"/>
        <item x="1308"/>
        <item x="1313"/>
        <item x="1320"/>
        <item x="1322"/>
        <item x="1323"/>
        <item x="1342"/>
        <item x="1343"/>
        <item x="1360"/>
        <item x="1368"/>
        <item x="1369"/>
        <item x="1374"/>
        <item x="1391"/>
        <item x="1397"/>
        <item x="1439"/>
        <item x="1444"/>
        <item x="1445"/>
        <item x="1455"/>
        <item x="1470"/>
        <item x="1504"/>
        <item x="1506"/>
        <item x="1507"/>
        <item x="1520"/>
        <item x="1522"/>
        <item x="1528"/>
        <item x="1534"/>
        <item x="1536"/>
        <item x="1564"/>
        <item x="1565"/>
        <item x="1568"/>
        <item x="1574"/>
        <item x="1576"/>
        <item x="1595"/>
        <item x="1601"/>
        <item x="1606"/>
        <item x="1607"/>
        <item x="1608"/>
        <item x="1610"/>
        <item x="1619"/>
        <item x="1640"/>
        <item x="1650"/>
        <item x="1666"/>
        <item x="1668"/>
        <item x="1669"/>
        <item x="1670"/>
        <item x="1678"/>
        <item x="1692"/>
        <item x="1694"/>
        <item x="2"/>
        <item x="22"/>
        <item x="24"/>
        <item x="45"/>
        <item x="60"/>
        <item x="62"/>
        <item x="75"/>
        <item x="90"/>
        <item x="92"/>
        <item x="97"/>
        <item x="110"/>
        <item x="114"/>
        <item x="121"/>
        <item x="130"/>
        <item x="139"/>
        <item x="140"/>
        <item x="145"/>
        <item x="148"/>
        <item x="156"/>
        <item x="162"/>
        <item x="167"/>
        <item x="173"/>
        <item x="174"/>
        <item x="200"/>
        <item x="210"/>
        <item x="217"/>
        <item x="226"/>
        <item x="257"/>
        <item x="259"/>
        <item x="274"/>
        <item x="278"/>
        <item x="281"/>
        <item x="285"/>
        <item x="294"/>
        <item x="295"/>
        <item x="300"/>
        <item x="305"/>
        <item x="307"/>
        <item x="309"/>
        <item x="332"/>
        <item x="347"/>
        <item x="357"/>
        <item x="358"/>
        <item x="360"/>
        <item x="366"/>
        <item x="368"/>
        <item x="369"/>
        <item x="371"/>
        <item x="438"/>
        <item x="443"/>
        <item x="454"/>
        <item x="459"/>
        <item x="461"/>
        <item x="472"/>
        <item x="474"/>
        <item x="484"/>
        <item x="493"/>
        <item x="500"/>
        <item x="501"/>
        <item x="508"/>
        <item x="512"/>
        <item x="518"/>
        <item x="531"/>
        <item x="532"/>
        <item x="541"/>
        <item x="543"/>
        <item x="557"/>
        <item x="585"/>
        <item x="586"/>
        <item x="591"/>
        <item x="594"/>
        <item x="597"/>
        <item x="604"/>
        <item x="652"/>
        <item x="660"/>
        <item x="662"/>
        <item x="663"/>
        <item x="670"/>
        <item x="676"/>
        <item x="688"/>
        <item x="689"/>
        <item x="690"/>
        <item x="721"/>
        <item x="725"/>
        <item x="737"/>
        <item x="739"/>
        <item x="742"/>
        <item x="746"/>
        <item x="755"/>
        <item x="760"/>
        <item x="761"/>
        <item x="769"/>
        <item x="770"/>
        <item x="775"/>
        <item x="782"/>
        <item x="787"/>
        <item x="789"/>
        <item x="796"/>
        <item x="802"/>
        <item x="804"/>
        <item x="818"/>
        <item x="839"/>
        <item x="841"/>
        <item x="851"/>
        <item x="855"/>
        <item x="861"/>
        <item x="862"/>
        <item x="870"/>
        <item x="884"/>
        <item x="886"/>
        <item x="896"/>
        <item x="897"/>
        <item x="907"/>
        <item x="908"/>
        <item x="913"/>
        <item x="918"/>
        <item x="926"/>
        <item x="927"/>
        <item x="956"/>
        <item x="961"/>
        <item x="970"/>
        <item x="973"/>
        <item x="987"/>
        <item x="989"/>
        <item x="990"/>
        <item x="994"/>
        <item x="1007"/>
        <item x="1011"/>
        <item x="1026"/>
        <item x="1032"/>
        <item x="1033"/>
        <item x="1036"/>
        <item x="1046"/>
        <item x="1047"/>
        <item x="1070"/>
        <item x="1080"/>
        <item x="1094"/>
        <item x="1101"/>
        <item x="1111"/>
        <item x="1113"/>
        <item x="1114"/>
        <item x="1124"/>
        <item x="1140"/>
        <item x="1152"/>
        <item x="1166"/>
        <item x="1175"/>
        <item x="1180"/>
        <item x="1181"/>
        <item x="1184"/>
        <item x="1208"/>
        <item x="1220"/>
        <item x="1233"/>
        <item x="1234"/>
        <item x="1246"/>
        <item x="1255"/>
        <item x="1258"/>
        <item x="1262"/>
        <item x="1268"/>
        <item x="1274"/>
        <item x="1277"/>
        <item x="1289"/>
        <item x="1295"/>
        <item x="1297"/>
        <item x="1299"/>
        <item x="1302"/>
        <item x="1304"/>
        <item x="1305"/>
        <item x="1315"/>
        <item x="1324"/>
        <item x="1329"/>
        <item x="1334"/>
        <item x="1344"/>
        <item x="1347"/>
        <item x="1348"/>
        <item x="1355"/>
        <item x="1357"/>
        <item x="1371"/>
        <item x="1378"/>
        <item x="1382"/>
        <item x="1386"/>
        <item x="1387"/>
        <item x="1390"/>
        <item x="1403"/>
        <item x="1407"/>
        <item x="1408"/>
        <item x="1413"/>
        <item x="1417"/>
        <item x="1420"/>
        <item x="1431"/>
        <item x="1437"/>
        <item x="1443"/>
        <item x="1449"/>
        <item x="1463"/>
        <item x="1475"/>
        <item x="1481"/>
        <item x="1488"/>
        <item x="1490"/>
        <item x="1492"/>
        <item x="1497"/>
        <item x="1498"/>
        <item x="1499"/>
        <item x="1502"/>
        <item x="1505"/>
        <item x="1542"/>
        <item x="1567"/>
        <item x="1570"/>
        <item x="1583"/>
        <item x="1588"/>
        <item x="1596"/>
        <item x="1637"/>
        <item x="1641"/>
        <item x="1647"/>
        <item x="1648"/>
        <item x="1649"/>
        <item x="1655"/>
        <item x="1673"/>
        <item x="1676"/>
        <item x="1685"/>
        <item x="1689"/>
        <item x="1695"/>
        <item x="0"/>
        <item x="4"/>
        <item x="7"/>
        <item x="28"/>
        <item x="49"/>
        <item x="59"/>
        <item x="68"/>
        <item x="78"/>
        <item x="93"/>
        <item x="98"/>
        <item x="99"/>
        <item x="109"/>
        <item x="126"/>
        <item x="141"/>
        <item x="159"/>
        <item x="166"/>
        <item x="183"/>
        <item x="185"/>
        <item x="189"/>
        <item x="194"/>
        <item x="219"/>
        <item x="221"/>
        <item x="240"/>
        <item x="251"/>
        <item x="253"/>
        <item x="261"/>
        <item x="262"/>
        <item x="263"/>
        <item x="279"/>
        <item x="287"/>
        <item x="296"/>
        <item x="297"/>
        <item x="299"/>
        <item x="314"/>
        <item x="315"/>
        <item x="318"/>
        <item x="326"/>
        <item x="341"/>
        <item x="343"/>
        <item x="346"/>
        <item x="349"/>
        <item x="361"/>
        <item x="363"/>
        <item x="370"/>
        <item x="376"/>
        <item x="378"/>
        <item x="385"/>
        <item x="390"/>
        <item x="391"/>
        <item x="400"/>
        <item x="405"/>
        <item x="409"/>
        <item x="421"/>
        <item x="425"/>
        <item x="440"/>
        <item x="445"/>
        <item x="449"/>
        <item x="451"/>
        <item x="458"/>
        <item x="463"/>
        <item x="467"/>
        <item x="476"/>
        <item x="479"/>
        <item x="480"/>
        <item x="483"/>
        <item x="486"/>
        <item x="489"/>
        <item x="494"/>
        <item x="498"/>
        <item x="510"/>
        <item x="513"/>
        <item x="515"/>
        <item x="525"/>
        <item x="527"/>
        <item x="528"/>
        <item x="535"/>
        <item x="540"/>
        <item x="547"/>
        <item x="552"/>
        <item x="559"/>
        <item x="561"/>
        <item x="563"/>
        <item x="565"/>
        <item x="572"/>
        <item x="580"/>
        <item x="581"/>
        <item x="582"/>
        <item x="587"/>
        <item x="593"/>
        <item x="602"/>
        <item x="620"/>
        <item x="630"/>
        <item x="641"/>
        <item x="646"/>
        <item x="657"/>
        <item x="671"/>
        <item x="683"/>
        <item x="684"/>
        <item x="694"/>
        <item x="695"/>
        <item x="704"/>
        <item x="707"/>
        <item x="709"/>
        <item x="714"/>
        <item x="718"/>
        <item x="719"/>
        <item x="724"/>
        <item x="727"/>
        <item x="728"/>
        <item x="745"/>
        <item x="748"/>
        <item x="791"/>
        <item x="794"/>
        <item x="800"/>
        <item x="812"/>
        <item x="820"/>
        <item x="824"/>
        <item x="834"/>
        <item x="838"/>
        <item x="863"/>
        <item x="874"/>
        <item x="877"/>
        <item x="903"/>
        <item x="914"/>
        <item x="921"/>
        <item x="925"/>
        <item x="929"/>
        <item x="931"/>
        <item x="937"/>
        <item x="940"/>
        <item x="943"/>
        <item x="947"/>
        <item x="958"/>
        <item x="962"/>
        <item x="979"/>
        <item x="1001"/>
        <item x="1004"/>
        <item x="1029"/>
        <item x="1040"/>
        <item x="1069"/>
        <item x="1075"/>
        <item x="1082"/>
        <item x="1083"/>
        <item x="1086"/>
        <item x="1100"/>
        <item x="1107"/>
        <item x="1116"/>
        <item x="1121"/>
        <item x="1138"/>
        <item x="1151"/>
        <item x="1157"/>
        <item x="1169"/>
        <item x="1182"/>
        <item x="1186"/>
        <item x="1189"/>
        <item x="1199"/>
        <item x="1209"/>
        <item x="1224"/>
        <item x="1238"/>
        <item x="1251"/>
        <item x="1252"/>
        <item x="1264"/>
        <item x="1267"/>
        <item x="1279"/>
        <item x="1314"/>
        <item x="1328"/>
        <item x="1336"/>
        <item x="1353"/>
        <item x="1356"/>
        <item x="1363"/>
        <item x="1380"/>
        <item x="1381"/>
        <item x="1385"/>
        <item x="1392"/>
        <item x="1393"/>
        <item x="1395"/>
        <item x="1401"/>
        <item x="1405"/>
        <item x="1418"/>
        <item x="1423"/>
        <item x="1432"/>
        <item x="1450"/>
        <item x="1451"/>
        <item x="1452"/>
        <item x="1457"/>
        <item x="1468"/>
        <item x="1471"/>
        <item x="1484"/>
        <item x="1485"/>
        <item x="1487"/>
        <item x="1511"/>
        <item x="1518"/>
        <item x="1519"/>
        <item x="1523"/>
        <item x="1535"/>
        <item x="1538"/>
        <item x="1539"/>
        <item x="1543"/>
        <item x="1549"/>
        <item x="1556"/>
        <item x="1562"/>
        <item x="1563"/>
        <item x="1571"/>
        <item x="1581"/>
        <item x="1582"/>
        <item x="1589"/>
        <item x="1594"/>
        <item x="1599"/>
        <item x="1614"/>
        <item x="1645"/>
        <item x="1657"/>
        <item x="1658"/>
        <item x="1677"/>
        <item x="1686"/>
        <item x="1690"/>
        <item x="3"/>
        <item x="11"/>
        <item x="17"/>
        <item x="29"/>
        <item x="42"/>
        <item x="47"/>
        <item x="70"/>
        <item x="79"/>
        <item x="83"/>
        <item x="87"/>
        <item x="138"/>
        <item x="169"/>
        <item x="181"/>
        <item x="184"/>
        <item x="187"/>
        <item x="197"/>
        <item x="208"/>
        <item x="215"/>
        <item x="220"/>
        <item x="225"/>
        <item x="230"/>
        <item x="235"/>
        <item x="249"/>
        <item x="255"/>
        <item x="256"/>
        <item x="313"/>
        <item x="331"/>
        <item x="337"/>
        <item x="362"/>
        <item x="365"/>
        <item x="373"/>
        <item x="380"/>
        <item x="382"/>
        <item x="387"/>
        <item x="394"/>
        <item x="398"/>
        <item x="402"/>
        <item x="403"/>
        <item x="404"/>
        <item x="419"/>
        <item x="420"/>
        <item x="427"/>
        <item x="430"/>
        <item x="432"/>
        <item x="434"/>
        <item x="444"/>
        <item x="446"/>
        <item x="452"/>
        <item x="453"/>
        <item x="455"/>
        <item x="478"/>
        <item x="485"/>
        <item x="488"/>
        <item x="490"/>
        <item x="516"/>
        <item x="521"/>
        <item x="524"/>
        <item x="529"/>
        <item x="553"/>
        <item x="564"/>
        <item x="568"/>
        <item x="590"/>
        <item x="608"/>
        <item x="612"/>
        <item x="626"/>
        <item x="627"/>
        <item x="628"/>
        <item x="632"/>
        <item x="648"/>
        <item x="650"/>
        <item x="654"/>
        <item x="659"/>
        <item x="669"/>
        <item x="677"/>
        <item x="678"/>
        <item x="685"/>
        <item x="686"/>
        <item x="692"/>
        <item x="700"/>
        <item x="703"/>
        <item x="706"/>
        <item x="708"/>
        <item x="710"/>
        <item x="736"/>
        <item x="740"/>
        <item x="743"/>
        <item x="747"/>
        <item x="751"/>
        <item x="756"/>
        <item x="762"/>
        <item x="767"/>
        <item x="783"/>
        <item x="790"/>
        <item x="797"/>
        <item x="819"/>
        <item x="821"/>
        <item x="827"/>
        <item x="832"/>
        <item x="852"/>
        <item x="879"/>
        <item x="889"/>
        <item x="890"/>
        <item x="899"/>
        <item x="900"/>
        <item x="902"/>
        <item x="916"/>
        <item x="932"/>
        <item x="934"/>
        <item x="939"/>
        <item x="948"/>
        <item x="952"/>
        <item x="954"/>
        <item x="969"/>
        <item x="974"/>
        <item x="980"/>
        <item x="982"/>
        <item x="985"/>
        <item x="991"/>
        <item x="1002"/>
        <item x="1016"/>
        <item x="1030"/>
        <item x="1034"/>
        <item x="1038"/>
        <item x="1054"/>
        <item x="1055"/>
        <item x="1081"/>
        <item x="1087"/>
        <item x="1089"/>
        <item x="1095"/>
        <item x="1102"/>
        <item x="1108"/>
        <item x="1115"/>
        <item x="1127"/>
        <item x="1139"/>
        <item x="1148"/>
        <item x="1150"/>
        <item x="1165"/>
        <item x="1167"/>
        <item x="1174"/>
        <item x="1177"/>
        <item x="1201"/>
        <item x="1207"/>
        <item x="1211"/>
        <item x="1225"/>
        <item x="1226"/>
        <item x="1235"/>
        <item x="1237"/>
        <item x="1242"/>
        <item x="1247"/>
        <item x="1265"/>
        <item x="1266"/>
        <item x="1285"/>
        <item x="1288"/>
        <item x="1296"/>
        <item x="1310"/>
        <item x="1333"/>
        <item x="1345"/>
        <item x="1365"/>
        <item x="1367"/>
        <item x="1376"/>
        <item x="1377"/>
        <item x="1394"/>
        <item x="1406"/>
        <item x="1410"/>
        <item x="1412"/>
        <item x="1424"/>
        <item x="1427"/>
        <item x="1428"/>
        <item x="1442"/>
        <item x="1446"/>
        <item x="1453"/>
        <item x="1454"/>
        <item x="1458"/>
        <item x="1460"/>
        <item x="1469"/>
        <item x="1482"/>
        <item x="1483"/>
        <item x="1501"/>
        <item x="1512"/>
        <item x="1514"/>
        <item x="1515"/>
        <item x="1521"/>
        <item x="1527"/>
        <item x="1529"/>
        <item x="1541"/>
        <item x="1544"/>
        <item x="1545"/>
        <item x="1575"/>
        <item x="1579"/>
        <item x="1584"/>
        <item x="1615"/>
        <item x="1623"/>
        <item x="1625"/>
        <item x="1626"/>
        <item x="1629"/>
        <item x="1633"/>
        <item x="1636"/>
        <item x="1638"/>
        <item x="1656"/>
        <item x="1664"/>
        <item x="1680"/>
        <item x="1683"/>
        <item x="1691"/>
        <item x="1693"/>
        <item x="1"/>
        <item x="5"/>
        <item x="6"/>
        <item x="9"/>
        <item x="12"/>
        <item x="14"/>
        <item x="16"/>
        <item x="20"/>
        <item x="61"/>
        <item x="63"/>
        <item x="65"/>
        <item x="77"/>
        <item x="80"/>
        <item x="81"/>
        <item x="100"/>
        <item x="104"/>
        <item x="115"/>
        <item x="137"/>
        <item x="143"/>
        <item x="155"/>
        <item x="160"/>
        <item x="161"/>
        <item x="164"/>
        <item x="170"/>
        <item x="172"/>
        <item x="178"/>
        <item x="180"/>
        <item x="193"/>
        <item x="199"/>
        <item x="207"/>
        <item x="214"/>
        <item x="238"/>
        <item x="243"/>
        <item x="248"/>
        <item x="254"/>
        <item x="266"/>
        <item x="272"/>
        <item x="273"/>
        <item x="282"/>
        <item x="284"/>
        <item x="291"/>
        <item x="302"/>
        <item x="316"/>
        <item x="317"/>
        <item x="321"/>
        <item x="327"/>
        <item x="333"/>
        <item x="336"/>
        <item x="339"/>
        <item x="345"/>
        <item x="350"/>
        <item x="388"/>
        <item x="397"/>
        <item x="408"/>
        <item x="414"/>
        <item x="422"/>
        <item x="433"/>
        <item x="457"/>
        <item x="473"/>
        <item x="523"/>
        <item x="538"/>
        <item x="539"/>
        <item x="549"/>
        <item x="550"/>
        <item x="555"/>
        <item x="567"/>
        <item x="577"/>
        <item x="584"/>
        <item x="588"/>
        <item x="589"/>
        <item x="606"/>
        <item x="607"/>
        <item x="610"/>
        <item x="611"/>
        <item x="617"/>
        <item x="618"/>
        <item x="622"/>
        <item x="633"/>
        <item x="634"/>
        <item x="643"/>
        <item x="655"/>
        <item x="656"/>
        <item x="658"/>
        <item x="661"/>
        <item x="668"/>
        <item x="673"/>
        <item x="679"/>
        <item x="705"/>
        <item x="711"/>
        <item x="712"/>
        <item x="715"/>
        <item x="730"/>
        <item x="733"/>
        <item x="741"/>
        <item x="744"/>
        <item x="750"/>
        <item x="752"/>
        <item x="754"/>
        <item x="774"/>
        <item x="777"/>
        <item x="778"/>
        <item x="809"/>
        <item x="816"/>
        <item x="830"/>
        <item x="858"/>
        <item x="871"/>
        <item x="878"/>
        <item x="881"/>
        <item x="882"/>
        <item x="888"/>
        <item x="894"/>
        <item x="898"/>
        <item x="901"/>
        <item x="911"/>
        <item x="915"/>
        <item x="917"/>
        <item x="919"/>
        <item x="930"/>
        <item x="946"/>
        <item x="949"/>
        <item x="955"/>
        <item x="957"/>
        <item x="967"/>
        <item x="968"/>
        <item x="977"/>
        <item x="978"/>
        <item x="1009"/>
        <item x="1015"/>
        <item x="1019"/>
        <item x="1022"/>
        <item x="1037"/>
        <item x="1044"/>
        <item x="1045"/>
        <item x="1052"/>
        <item x="1063"/>
        <item x="1064"/>
        <item x="1065"/>
        <item x="1074"/>
        <item x="1085"/>
        <item x="1097"/>
        <item x="1105"/>
        <item x="1106"/>
        <item x="1118"/>
        <item x="1119"/>
        <item x="1128"/>
        <item x="1131"/>
        <item x="1146"/>
        <item x="1172"/>
        <item x="1178"/>
        <item x="1187"/>
        <item x="1190"/>
        <item x="1214"/>
        <item x="1221"/>
        <item x="1223"/>
        <item x="1227"/>
        <item x="1228"/>
        <item x="1236"/>
        <item x="1241"/>
        <item x="1243"/>
        <item x="1249"/>
        <item x="1275"/>
        <item x="1282"/>
        <item x="1292"/>
        <item x="1309"/>
        <item x="1311"/>
        <item x="1321"/>
        <item x="1330"/>
        <item x="1339"/>
        <item x="1349"/>
        <item x="1350"/>
        <item x="1370"/>
        <item x="1372"/>
        <item x="1388"/>
        <item x="1398"/>
        <item x="1400"/>
        <item x="1409"/>
        <item x="1414"/>
        <item x="1436"/>
        <item x="1464"/>
        <item x="1467"/>
        <item x="1473"/>
        <item x="1480"/>
        <item x="1495"/>
        <item x="1513"/>
        <item x="1516"/>
        <item x="1525"/>
        <item x="1526"/>
        <item x="1531"/>
        <item x="1546"/>
        <item x="1548"/>
        <item x="1557"/>
        <item x="1561"/>
        <item x="1566"/>
        <item x="1573"/>
        <item x="1577"/>
        <item x="1593"/>
        <item x="1597"/>
        <item x="1603"/>
        <item x="1616"/>
        <item x="1622"/>
        <item x="1654"/>
        <item x="1667"/>
        <item x="1671"/>
        <item x="1674"/>
        <item x="1675"/>
        <item x="1687"/>
        <item x="21"/>
        <item x="35"/>
        <item x="36"/>
        <item x="39"/>
        <item x="41"/>
        <item x="44"/>
        <item x="51"/>
        <item x="52"/>
        <item x="58"/>
        <item x="67"/>
        <item x="69"/>
        <item x="71"/>
        <item x="72"/>
        <item x="76"/>
        <item x="88"/>
        <item x="89"/>
        <item x="103"/>
        <item x="108"/>
        <item x="111"/>
        <item x="120"/>
        <item x="122"/>
        <item x="123"/>
        <item x="128"/>
        <item x="133"/>
        <item x="144"/>
        <item x="157"/>
        <item x="158"/>
        <item x="163"/>
        <item x="165"/>
        <item x="171"/>
        <item x="176"/>
        <item x="186"/>
        <item x="195"/>
        <item x="216"/>
        <item x="223"/>
        <item x="232"/>
        <item x="233"/>
        <item x="241"/>
        <item x="247"/>
        <item x="268"/>
        <item x="286"/>
        <item x="288"/>
        <item x="293"/>
        <item x="298"/>
        <item x="311"/>
        <item x="322"/>
        <item x="325"/>
        <item x="342"/>
        <item x="352"/>
        <item x="359"/>
        <item x="364"/>
        <item x="367"/>
        <item x="386"/>
        <item x="399"/>
        <item x="410"/>
        <item x="417"/>
        <item x="428"/>
        <item x="431"/>
        <item x="435"/>
        <item x="437"/>
        <item x="441"/>
        <item x="450"/>
        <item x="456"/>
        <item x="460"/>
        <item x="475"/>
        <item x="477"/>
        <item x="482"/>
        <item x="487"/>
        <item x="495"/>
        <item x="496"/>
        <item x="497"/>
        <item x="502"/>
        <item x="506"/>
        <item x="511"/>
        <item x="519"/>
        <item x="520"/>
        <item x="526"/>
        <item x="530"/>
        <item x="534"/>
        <item x="536"/>
        <item x="537"/>
        <item x="542"/>
        <item x="554"/>
        <item x="566"/>
        <item x="573"/>
        <item x="575"/>
        <item x="595"/>
        <item x="598"/>
        <item x="601"/>
        <item x="605"/>
        <item x="629"/>
        <item x="640"/>
        <item x="647"/>
        <item x="649"/>
        <item x="674"/>
        <item x="680"/>
        <item x="682"/>
        <item x="691"/>
        <item x="693"/>
        <item x="697"/>
        <item x="784"/>
        <item x="785"/>
        <item x="786"/>
        <item x="788"/>
        <item x="795"/>
        <item x="798"/>
        <item x="803"/>
        <item x="813"/>
        <item x="815"/>
        <item x="825"/>
        <item x="829"/>
        <item x="835"/>
        <item x="843"/>
        <item x="845"/>
        <item x="848"/>
        <item x="856"/>
        <item x="859"/>
        <item x="865"/>
        <item x="867"/>
        <item x="876"/>
        <item x="909"/>
        <item x="922"/>
        <item x="928"/>
        <item x="933"/>
        <item x="938"/>
        <item x="945"/>
        <item x="951"/>
        <item x="959"/>
        <item x="960"/>
        <item x="965"/>
        <item x="972"/>
        <item x="975"/>
        <item x="976"/>
        <item x="983"/>
        <item x="984"/>
        <item x="995"/>
        <item x="996"/>
        <item x="1014"/>
        <item x="1023"/>
        <item x="1039"/>
        <item x="1041"/>
        <item x="1050"/>
        <item x="1056"/>
        <item x="1058"/>
        <item x="1059"/>
        <item x="1061"/>
        <item x="1066"/>
        <item x="1071"/>
        <item x="1072"/>
        <item x="1077"/>
        <item x="1091"/>
        <item x="1093"/>
        <item x="1103"/>
        <item x="1104"/>
        <item x="1110"/>
        <item x="1129"/>
        <item x="1130"/>
        <item x="1132"/>
        <item x="1141"/>
        <item x="1160"/>
        <item x="1161"/>
        <item x="1164"/>
        <item x="1173"/>
        <item x="1176"/>
        <item x="1188"/>
        <item x="1195"/>
        <item x="1197"/>
        <item x="1203"/>
        <item x="1204"/>
        <item x="1206"/>
        <item x="1216"/>
        <item x="1231"/>
        <item x="1232"/>
        <item x="1239"/>
        <item x="1248"/>
        <item x="1257"/>
        <item x="1278"/>
        <item x="1283"/>
        <item x="1290"/>
        <item x="1293"/>
        <item x="1303"/>
        <item x="1317"/>
        <item x="1325"/>
        <item x="1327"/>
        <item x="1338"/>
        <item x="1340"/>
        <item x="1346"/>
        <item x="1351"/>
        <item x="1352"/>
        <item x="1361"/>
        <item x="1364"/>
        <item x="1373"/>
        <item x="1375"/>
        <item x="1383"/>
        <item x="1384"/>
        <item x="1389"/>
        <item x="1421"/>
        <item x="1422"/>
        <item x="1425"/>
        <item x="1429"/>
        <item x="1434"/>
        <item x="1479"/>
        <item x="1493"/>
        <item x="1510"/>
        <item x="1517"/>
        <item x="1524"/>
        <item x="1532"/>
        <item x="1550"/>
        <item x="1552"/>
        <item x="1554"/>
        <item x="1559"/>
        <item x="1560"/>
        <item x="1578"/>
        <item x="1580"/>
        <item x="1587"/>
        <item x="1591"/>
        <item x="1600"/>
        <item x="1604"/>
        <item x="1609"/>
        <item x="1613"/>
        <item x="1620"/>
        <item x="1621"/>
        <item x="1635"/>
        <item x="1643"/>
        <item x="1646"/>
        <item x="1659"/>
        <item x="1661"/>
        <item x="1662"/>
        <item x="8"/>
        <item x="10"/>
        <item x="18"/>
        <item x="25"/>
        <item x="27"/>
        <item x="31"/>
        <item x="38"/>
        <item x="40"/>
        <item x="54"/>
        <item x="64"/>
        <item x="82"/>
        <item x="91"/>
        <item x="94"/>
        <item x="95"/>
        <item x="112"/>
        <item x="113"/>
        <item x="116"/>
        <item x="117"/>
        <item x="119"/>
        <item x="152"/>
        <item x="154"/>
        <item x="192"/>
        <item x="203"/>
        <item x="212"/>
        <item x="218"/>
        <item x="229"/>
        <item x="231"/>
        <item x="237"/>
        <item x="239"/>
        <item x="244"/>
        <item x="265"/>
        <item x="270"/>
        <item x="275"/>
        <item x="276"/>
        <item x="283"/>
        <item x="292"/>
        <item x="303"/>
        <item x="304"/>
        <item x="310"/>
        <item x="328"/>
        <item x="330"/>
        <item x="338"/>
        <item x="344"/>
        <item x="351"/>
        <item x="353"/>
        <item x="354"/>
        <item x="372"/>
        <item x="375"/>
        <item x="407"/>
        <item x="415"/>
        <item x="416"/>
        <item x="424"/>
        <item x="426"/>
        <item x="429"/>
        <item x="442"/>
        <item x="448"/>
        <item x="466"/>
        <item x="469"/>
        <item x="471"/>
        <item x="503"/>
        <item x="514"/>
        <item x="517"/>
        <item x="522"/>
        <item x="556"/>
        <item x="560"/>
        <item x="570"/>
        <item x="574"/>
        <item x="599"/>
        <item x="613"/>
        <item x="615"/>
        <item x="616"/>
        <item x="623"/>
        <item x="624"/>
        <item x="642"/>
        <item x="653"/>
        <item x="672"/>
        <item x="687"/>
        <item x="717"/>
        <item x="720"/>
        <item x="731"/>
        <item x="763"/>
        <item x="766"/>
        <item x="768"/>
        <item x="771"/>
        <item x="773"/>
        <item x="781"/>
        <item x="793"/>
        <item x="799"/>
        <item x="805"/>
        <item x="810"/>
        <item x="822"/>
        <item x="826"/>
        <item x="833"/>
        <item x="840"/>
        <item x="857"/>
        <item x="860"/>
        <item x="869"/>
        <item x="885"/>
        <item x="920"/>
        <item x="924"/>
        <item x="941"/>
        <item x="953"/>
        <item x="964"/>
        <item x="966"/>
        <item x="981"/>
        <item x="986"/>
        <item x="997"/>
        <item x="999"/>
        <item x="1000"/>
        <item x="1006"/>
        <item x="1010"/>
        <item x="1018"/>
        <item x="1021"/>
        <item x="1025"/>
        <item x="1027"/>
        <item x="1042"/>
        <item x="1060"/>
        <item x="1079"/>
        <item x="1090"/>
        <item x="1098"/>
        <item x="1133"/>
        <item x="1134"/>
        <item x="1135"/>
        <item x="1136"/>
        <item x="1137"/>
        <item x="1144"/>
        <item x="1153"/>
        <item x="1154"/>
        <item x="1163"/>
        <item x="1168"/>
        <item x="1170"/>
        <item x="1179"/>
        <item x="1193"/>
        <item x="1200"/>
        <item x="1205"/>
        <item x="1222"/>
        <item x="1269"/>
        <item x="1276"/>
        <item x="1281"/>
        <item x="1294"/>
        <item x="1300"/>
        <item x="1319"/>
        <item x="1331"/>
        <item x="1332"/>
        <item x="1335"/>
        <item x="1337"/>
        <item x="1341"/>
        <item x="1354"/>
        <item x="1358"/>
        <item x="1362"/>
        <item x="1366"/>
        <item x="1379"/>
        <item x="1396"/>
        <item x="1399"/>
        <item x="1411"/>
        <item x="1415"/>
        <item x="1416"/>
        <item x="1419"/>
        <item x="1426"/>
        <item x="1430"/>
        <item x="1433"/>
        <item x="1438"/>
        <item x="1440"/>
        <item x="1441"/>
        <item x="1447"/>
        <item x="1448"/>
        <item x="1456"/>
        <item x="1459"/>
        <item x="1462"/>
        <item x="1466"/>
        <item x="1472"/>
        <item x="1474"/>
        <item x="1476"/>
        <item x="1486"/>
        <item x="1489"/>
        <item x="1496"/>
        <item x="1530"/>
        <item x="1547"/>
        <item x="1551"/>
        <item x="1553"/>
        <item x="1558"/>
        <item x="1569"/>
        <item x="1590"/>
        <item x="1592"/>
        <item x="1602"/>
        <item x="1618"/>
        <item x="1624"/>
        <item x="1628"/>
        <item x="1632"/>
        <item x="1644"/>
        <item x="1651"/>
        <item x="1652"/>
        <item x="1653"/>
        <item x="1672"/>
        <item x="1681"/>
        <item x="1682"/>
        <item x="1684"/>
        <item t="default"/>
      </items>
    </pivotField>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items count="5">
        <item x="1"/>
        <item x="3"/>
        <item x="0"/>
        <item x="2"/>
        <item t="default"/>
      </items>
    </pivotField>
    <pivotField showAll="0"/>
    <pivotField showAll="0"/>
    <pivotField showAll="0">
      <items count="4">
        <item x="2"/>
        <item x="1"/>
        <item x="0"/>
        <item t="default"/>
      </items>
    </pivotField>
    <pivotField showAll="0"/>
    <pivotField showAll="0"/>
    <pivotField showAll="0"/>
    <pivotField showAll="0">
      <items count="5">
        <item x="3"/>
        <item x="0"/>
        <item x="1"/>
        <item x="2"/>
        <item t="default"/>
      </items>
    </pivotField>
    <pivotField showAll="0"/>
    <pivotField showAll="0"/>
    <pivotField showAll="0"/>
    <pivotField showAll="0"/>
    <pivotField showAll="0"/>
    <pivotField showAll="0"/>
    <pivotField showAll="0"/>
    <pivotField showAll="0">
      <items count="9">
        <item x="7"/>
        <item x="0"/>
        <item x="1"/>
        <item x="5"/>
        <item x="3"/>
        <item x="4"/>
        <item x="2"/>
        <item x="6"/>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4C517A-B62A-4D40-AF73-17B22898C2A5}"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9:G44" firstHeaderRow="1" firstDataRow="1" firstDataCol="1"/>
  <pivotFields count="26">
    <pivotField showAll="0">
      <items count="1697">
        <item x="13"/>
        <item x="15"/>
        <item x="19"/>
        <item x="23"/>
        <item x="26"/>
        <item x="30"/>
        <item x="46"/>
        <item x="48"/>
        <item x="50"/>
        <item x="53"/>
        <item x="66"/>
        <item x="73"/>
        <item x="86"/>
        <item x="96"/>
        <item x="101"/>
        <item x="105"/>
        <item x="107"/>
        <item x="129"/>
        <item x="132"/>
        <item x="134"/>
        <item x="135"/>
        <item x="149"/>
        <item x="151"/>
        <item x="153"/>
        <item x="168"/>
        <item x="175"/>
        <item x="188"/>
        <item x="190"/>
        <item x="191"/>
        <item x="198"/>
        <item x="201"/>
        <item x="202"/>
        <item x="206"/>
        <item x="209"/>
        <item x="211"/>
        <item x="213"/>
        <item x="222"/>
        <item x="228"/>
        <item x="242"/>
        <item x="246"/>
        <item x="250"/>
        <item x="258"/>
        <item x="260"/>
        <item x="264"/>
        <item x="267"/>
        <item x="269"/>
        <item x="277"/>
        <item x="280"/>
        <item x="306"/>
        <item x="320"/>
        <item x="323"/>
        <item x="324"/>
        <item x="335"/>
        <item x="348"/>
        <item x="355"/>
        <item x="379"/>
        <item x="383"/>
        <item x="392"/>
        <item x="393"/>
        <item x="395"/>
        <item x="401"/>
        <item x="411"/>
        <item x="413"/>
        <item x="418"/>
        <item x="423"/>
        <item x="436"/>
        <item x="439"/>
        <item x="464"/>
        <item x="465"/>
        <item x="470"/>
        <item x="499"/>
        <item x="504"/>
        <item x="507"/>
        <item x="544"/>
        <item x="548"/>
        <item x="551"/>
        <item x="562"/>
        <item x="571"/>
        <item x="578"/>
        <item x="579"/>
        <item x="583"/>
        <item x="596"/>
        <item x="600"/>
        <item x="603"/>
        <item x="609"/>
        <item x="619"/>
        <item x="625"/>
        <item x="639"/>
        <item x="644"/>
        <item x="651"/>
        <item x="665"/>
        <item x="675"/>
        <item x="681"/>
        <item x="701"/>
        <item x="702"/>
        <item x="726"/>
        <item x="734"/>
        <item x="757"/>
        <item x="758"/>
        <item x="759"/>
        <item x="764"/>
        <item x="776"/>
        <item x="779"/>
        <item x="780"/>
        <item x="792"/>
        <item x="801"/>
        <item x="806"/>
        <item x="808"/>
        <item x="823"/>
        <item x="828"/>
        <item x="831"/>
        <item x="837"/>
        <item x="842"/>
        <item x="847"/>
        <item x="849"/>
        <item x="850"/>
        <item x="853"/>
        <item x="854"/>
        <item x="864"/>
        <item x="866"/>
        <item x="868"/>
        <item x="872"/>
        <item x="873"/>
        <item x="875"/>
        <item x="883"/>
        <item x="893"/>
        <item x="895"/>
        <item x="906"/>
        <item x="910"/>
        <item x="923"/>
        <item x="935"/>
        <item x="950"/>
        <item x="963"/>
        <item x="988"/>
        <item x="993"/>
        <item x="998"/>
        <item x="1003"/>
        <item x="1008"/>
        <item x="1020"/>
        <item x="1024"/>
        <item x="1028"/>
        <item x="1031"/>
        <item x="1035"/>
        <item x="1043"/>
        <item x="1048"/>
        <item x="1051"/>
        <item x="1057"/>
        <item x="1076"/>
        <item x="1092"/>
        <item x="1099"/>
        <item x="1109"/>
        <item x="1112"/>
        <item x="1117"/>
        <item x="1142"/>
        <item x="1143"/>
        <item x="1145"/>
        <item x="1147"/>
        <item x="1159"/>
        <item x="1196"/>
        <item x="1198"/>
        <item x="1215"/>
        <item x="1218"/>
        <item x="1230"/>
        <item x="1240"/>
        <item x="1244"/>
        <item x="1250"/>
        <item x="1260"/>
        <item x="1263"/>
        <item x="1272"/>
        <item x="1273"/>
        <item x="1286"/>
        <item x="1291"/>
        <item x="1298"/>
        <item x="1301"/>
        <item x="1312"/>
        <item x="1316"/>
        <item x="1318"/>
        <item x="1326"/>
        <item x="1359"/>
        <item x="1402"/>
        <item x="1404"/>
        <item x="1435"/>
        <item x="1461"/>
        <item x="1465"/>
        <item x="1477"/>
        <item x="1478"/>
        <item x="1491"/>
        <item x="1494"/>
        <item x="1500"/>
        <item x="1503"/>
        <item x="1508"/>
        <item x="1509"/>
        <item x="1533"/>
        <item x="1537"/>
        <item x="1540"/>
        <item x="1555"/>
        <item x="1572"/>
        <item x="1585"/>
        <item x="1586"/>
        <item x="1598"/>
        <item x="1605"/>
        <item x="1611"/>
        <item x="1612"/>
        <item x="1617"/>
        <item x="1627"/>
        <item x="1630"/>
        <item x="1631"/>
        <item x="1634"/>
        <item x="1639"/>
        <item x="1642"/>
        <item x="1660"/>
        <item x="1663"/>
        <item x="1665"/>
        <item x="1679"/>
        <item x="1688"/>
        <item x="32"/>
        <item x="33"/>
        <item x="34"/>
        <item x="37"/>
        <item x="43"/>
        <item x="55"/>
        <item x="56"/>
        <item x="57"/>
        <item x="74"/>
        <item x="84"/>
        <item x="85"/>
        <item x="102"/>
        <item x="106"/>
        <item x="118"/>
        <item x="124"/>
        <item x="125"/>
        <item x="127"/>
        <item x="131"/>
        <item x="136"/>
        <item x="142"/>
        <item x="146"/>
        <item x="147"/>
        <item x="150"/>
        <item x="177"/>
        <item x="179"/>
        <item x="182"/>
        <item x="196"/>
        <item x="204"/>
        <item x="205"/>
        <item x="224"/>
        <item x="227"/>
        <item x="234"/>
        <item x="236"/>
        <item x="245"/>
        <item x="252"/>
        <item x="271"/>
        <item x="289"/>
        <item x="290"/>
        <item x="301"/>
        <item x="308"/>
        <item x="312"/>
        <item x="319"/>
        <item x="329"/>
        <item x="334"/>
        <item x="340"/>
        <item x="356"/>
        <item x="374"/>
        <item x="377"/>
        <item x="381"/>
        <item x="384"/>
        <item x="389"/>
        <item x="396"/>
        <item x="406"/>
        <item x="412"/>
        <item x="447"/>
        <item x="462"/>
        <item x="468"/>
        <item x="481"/>
        <item x="491"/>
        <item x="492"/>
        <item x="505"/>
        <item x="509"/>
        <item x="533"/>
        <item x="545"/>
        <item x="546"/>
        <item x="558"/>
        <item x="569"/>
        <item x="576"/>
        <item x="592"/>
        <item x="614"/>
        <item x="621"/>
        <item x="631"/>
        <item x="635"/>
        <item x="636"/>
        <item x="637"/>
        <item x="638"/>
        <item x="645"/>
        <item x="664"/>
        <item x="666"/>
        <item x="667"/>
        <item x="696"/>
        <item x="698"/>
        <item x="699"/>
        <item x="713"/>
        <item x="716"/>
        <item x="722"/>
        <item x="723"/>
        <item x="729"/>
        <item x="732"/>
        <item x="735"/>
        <item x="738"/>
        <item x="749"/>
        <item x="753"/>
        <item x="765"/>
        <item x="772"/>
        <item x="807"/>
        <item x="811"/>
        <item x="814"/>
        <item x="817"/>
        <item x="836"/>
        <item x="844"/>
        <item x="846"/>
        <item x="880"/>
        <item x="887"/>
        <item x="891"/>
        <item x="892"/>
        <item x="904"/>
        <item x="905"/>
        <item x="912"/>
        <item x="936"/>
        <item x="942"/>
        <item x="944"/>
        <item x="971"/>
        <item x="992"/>
        <item x="1005"/>
        <item x="1012"/>
        <item x="1013"/>
        <item x="1017"/>
        <item x="1049"/>
        <item x="1053"/>
        <item x="1062"/>
        <item x="1067"/>
        <item x="1068"/>
        <item x="1073"/>
        <item x="1078"/>
        <item x="1084"/>
        <item x="1088"/>
        <item x="1096"/>
        <item x="1120"/>
        <item x="1122"/>
        <item x="1123"/>
        <item x="1125"/>
        <item x="1126"/>
        <item x="1149"/>
        <item x="1155"/>
        <item x="1156"/>
        <item x="1158"/>
        <item x="1162"/>
        <item x="1171"/>
        <item x="1183"/>
        <item x="1185"/>
        <item x="1191"/>
        <item x="1192"/>
        <item x="1194"/>
        <item x="1202"/>
        <item x="1210"/>
        <item x="1212"/>
        <item x="1213"/>
        <item x="1217"/>
        <item x="1219"/>
        <item x="1229"/>
        <item x="1245"/>
        <item x="1253"/>
        <item x="1254"/>
        <item x="1256"/>
        <item x="1259"/>
        <item x="1261"/>
        <item x="1270"/>
        <item x="1271"/>
        <item x="1280"/>
        <item x="1284"/>
        <item x="1287"/>
        <item x="1306"/>
        <item x="1307"/>
        <item x="1308"/>
        <item x="1313"/>
        <item x="1320"/>
        <item x="1322"/>
        <item x="1323"/>
        <item x="1342"/>
        <item x="1343"/>
        <item x="1360"/>
        <item x="1368"/>
        <item x="1369"/>
        <item x="1374"/>
        <item x="1391"/>
        <item x="1397"/>
        <item x="1439"/>
        <item x="1444"/>
        <item x="1445"/>
        <item x="1455"/>
        <item x="1470"/>
        <item x="1504"/>
        <item x="1506"/>
        <item x="1507"/>
        <item x="1520"/>
        <item x="1522"/>
        <item x="1528"/>
        <item x="1534"/>
        <item x="1536"/>
        <item x="1564"/>
        <item x="1565"/>
        <item x="1568"/>
        <item x="1574"/>
        <item x="1576"/>
        <item x="1595"/>
        <item x="1601"/>
        <item x="1606"/>
        <item x="1607"/>
        <item x="1608"/>
        <item x="1610"/>
        <item x="1619"/>
        <item x="1640"/>
        <item x="1650"/>
        <item x="1666"/>
        <item x="1668"/>
        <item x="1669"/>
        <item x="1670"/>
        <item x="1678"/>
        <item x="1692"/>
        <item x="1694"/>
        <item x="2"/>
        <item x="22"/>
        <item x="24"/>
        <item x="45"/>
        <item x="60"/>
        <item x="62"/>
        <item x="75"/>
        <item x="90"/>
        <item x="92"/>
        <item x="97"/>
        <item x="110"/>
        <item x="114"/>
        <item x="121"/>
        <item x="130"/>
        <item x="139"/>
        <item x="140"/>
        <item x="145"/>
        <item x="148"/>
        <item x="156"/>
        <item x="162"/>
        <item x="167"/>
        <item x="173"/>
        <item x="174"/>
        <item x="200"/>
        <item x="210"/>
        <item x="217"/>
        <item x="226"/>
        <item x="257"/>
        <item x="259"/>
        <item x="274"/>
        <item x="278"/>
        <item x="281"/>
        <item x="285"/>
        <item x="294"/>
        <item x="295"/>
        <item x="300"/>
        <item x="305"/>
        <item x="307"/>
        <item x="309"/>
        <item x="332"/>
        <item x="347"/>
        <item x="357"/>
        <item x="358"/>
        <item x="360"/>
        <item x="366"/>
        <item x="368"/>
        <item x="369"/>
        <item x="371"/>
        <item x="438"/>
        <item x="443"/>
        <item x="454"/>
        <item x="459"/>
        <item x="461"/>
        <item x="472"/>
        <item x="474"/>
        <item x="484"/>
        <item x="493"/>
        <item x="500"/>
        <item x="501"/>
        <item x="508"/>
        <item x="512"/>
        <item x="518"/>
        <item x="531"/>
        <item x="532"/>
        <item x="541"/>
        <item x="543"/>
        <item x="557"/>
        <item x="585"/>
        <item x="586"/>
        <item x="591"/>
        <item x="594"/>
        <item x="597"/>
        <item x="604"/>
        <item x="652"/>
        <item x="660"/>
        <item x="662"/>
        <item x="663"/>
        <item x="670"/>
        <item x="676"/>
        <item x="688"/>
        <item x="689"/>
        <item x="690"/>
        <item x="721"/>
        <item x="725"/>
        <item x="737"/>
        <item x="739"/>
        <item x="742"/>
        <item x="746"/>
        <item x="755"/>
        <item x="760"/>
        <item x="761"/>
        <item x="769"/>
        <item x="770"/>
        <item x="775"/>
        <item x="782"/>
        <item x="787"/>
        <item x="789"/>
        <item x="796"/>
        <item x="802"/>
        <item x="804"/>
        <item x="818"/>
        <item x="839"/>
        <item x="841"/>
        <item x="851"/>
        <item x="855"/>
        <item x="861"/>
        <item x="862"/>
        <item x="870"/>
        <item x="884"/>
        <item x="886"/>
        <item x="896"/>
        <item x="897"/>
        <item x="907"/>
        <item x="908"/>
        <item x="913"/>
        <item x="918"/>
        <item x="926"/>
        <item x="927"/>
        <item x="956"/>
        <item x="961"/>
        <item x="970"/>
        <item x="973"/>
        <item x="987"/>
        <item x="989"/>
        <item x="990"/>
        <item x="994"/>
        <item x="1007"/>
        <item x="1011"/>
        <item x="1026"/>
        <item x="1032"/>
        <item x="1033"/>
        <item x="1036"/>
        <item x="1046"/>
        <item x="1047"/>
        <item x="1070"/>
        <item x="1080"/>
        <item x="1094"/>
        <item x="1101"/>
        <item x="1111"/>
        <item x="1113"/>
        <item x="1114"/>
        <item x="1124"/>
        <item x="1140"/>
        <item x="1152"/>
        <item x="1166"/>
        <item x="1175"/>
        <item x="1180"/>
        <item x="1181"/>
        <item x="1184"/>
        <item x="1208"/>
        <item x="1220"/>
        <item x="1233"/>
        <item x="1234"/>
        <item x="1246"/>
        <item x="1255"/>
        <item x="1258"/>
        <item x="1262"/>
        <item x="1268"/>
        <item x="1274"/>
        <item x="1277"/>
        <item x="1289"/>
        <item x="1295"/>
        <item x="1297"/>
        <item x="1299"/>
        <item x="1302"/>
        <item x="1304"/>
        <item x="1305"/>
        <item x="1315"/>
        <item x="1324"/>
        <item x="1329"/>
        <item x="1334"/>
        <item x="1344"/>
        <item x="1347"/>
        <item x="1348"/>
        <item x="1355"/>
        <item x="1357"/>
        <item x="1371"/>
        <item x="1378"/>
        <item x="1382"/>
        <item x="1386"/>
        <item x="1387"/>
        <item x="1390"/>
        <item x="1403"/>
        <item x="1407"/>
        <item x="1408"/>
        <item x="1413"/>
        <item x="1417"/>
        <item x="1420"/>
        <item x="1431"/>
        <item x="1437"/>
        <item x="1443"/>
        <item x="1449"/>
        <item x="1463"/>
        <item x="1475"/>
        <item x="1481"/>
        <item x="1488"/>
        <item x="1490"/>
        <item x="1492"/>
        <item x="1497"/>
        <item x="1498"/>
        <item x="1499"/>
        <item x="1502"/>
        <item x="1505"/>
        <item x="1542"/>
        <item x="1567"/>
        <item x="1570"/>
        <item x="1583"/>
        <item x="1588"/>
        <item x="1596"/>
        <item x="1637"/>
        <item x="1641"/>
        <item x="1647"/>
        <item x="1648"/>
        <item x="1649"/>
        <item x="1655"/>
        <item x="1673"/>
        <item x="1676"/>
        <item x="1685"/>
        <item x="1689"/>
        <item x="1695"/>
        <item x="0"/>
        <item x="4"/>
        <item x="7"/>
        <item x="28"/>
        <item x="49"/>
        <item x="59"/>
        <item x="68"/>
        <item x="78"/>
        <item x="93"/>
        <item x="98"/>
        <item x="99"/>
        <item x="109"/>
        <item x="126"/>
        <item x="141"/>
        <item x="159"/>
        <item x="166"/>
        <item x="183"/>
        <item x="185"/>
        <item x="189"/>
        <item x="194"/>
        <item x="219"/>
        <item x="221"/>
        <item x="240"/>
        <item x="251"/>
        <item x="253"/>
        <item x="261"/>
        <item x="262"/>
        <item x="263"/>
        <item x="279"/>
        <item x="287"/>
        <item x="296"/>
        <item x="297"/>
        <item x="299"/>
        <item x="314"/>
        <item x="315"/>
        <item x="318"/>
        <item x="326"/>
        <item x="341"/>
        <item x="343"/>
        <item x="346"/>
        <item x="349"/>
        <item x="361"/>
        <item x="363"/>
        <item x="370"/>
        <item x="376"/>
        <item x="378"/>
        <item x="385"/>
        <item x="390"/>
        <item x="391"/>
        <item x="400"/>
        <item x="405"/>
        <item x="409"/>
        <item x="421"/>
        <item x="425"/>
        <item x="440"/>
        <item x="445"/>
        <item x="449"/>
        <item x="451"/>
        <item x="458"/>
        <item x="463"/>
        <item x="467"/>
        <item x="476"/>
        <item x="479"/>
        <item x="480"/>
        <item x="483"/>
        <item x="486"/>
        <item x="489"/>
        <item x="494"/>
        <item x="498"/>
        <item x="510"/>
        <item x="513"/>
        <item x="515"/>
        <item x="525"/>
        <item x="527"/>
        <item x="528"/>
        <item x="535"/>
        <item x="540"/>
        <item x="547"/>
        <item x="552"/>
        <item x="559"/>
        <item x="561"/>
        <item x="563"/>
        <item x="565"/>
        <item x="572"/>
        <item x="580"/>
        <item x="581"/>
        <item x="582"/>
        <item x="587"/>
        <item x="593"/>
        <item x="602"/>
        <item x="620"/>
        <item x="630"/>
        <item x="641"/>
        <item x="646"/>
        <item x="657"/>
        <item x="671"/>
        <item x="683"/>
        <item x="684"/>
        <item x="694"/>
        <item x="695"/>
        <item x="704"/>
        <item x="707"/>
        <item x="709"/>
        <item x="714"/>
        <item x="718"/>
        <item x="719"/>
        <item x="724"/>
        <item x="727"/>
        <item x="728"/>
        <item x="745"/>
        <item x="748"/>
        <item x="791"/>
        <item x="794"/>
        <item x="800"/>
        <item x="812"/>
        <item x="820"/>
        <item x="824"/>
        <item x="834"/>
        <item x="838"/>
        <item x="863"/>
        <item x="874"/>
        <item x="877"/>
        <item x="903"/>
        <item x="914"/>
        <item x="921"/>
        <item x="925"/>
        <item x="929"/>
        <item x="931"/>
        <item x="937"/>
        <item x="940"/>
        <item x="943"/>
        <item x="947"/>
        <item x="958"/>
        <item x="962"/>
        <item x="979"/>
        <item x="1001"/>
        <item x="1004"/>
        <item x="1029"/>
        <item x="1040"/>
        <item x="1069"/>
        <item x="1075"/>
        <item x="1082"/>
        <item x="1083"/>
        <item x="1086"/>
        <item x="1100"/>
        <item x="1107"/>
        <item x="1116"/>
        <item x="1121"/>
        <item x="1138"/>
        <item x="1151"/>
        <item x="1157"/>
        <item x="1169"/>
        <item x="1182"/>
        <item x="1186"/>
        <item x="1189"/>
        <item x="1199"/>
        <item x="1209"/>
        <item x="1224"/>
        <item x="1238"/>
        <item x="1251"/>
        <item x="1252"/>
        <item x="1264"/>
        <item x="1267"/>
        <item x="1279"/>
        <item x="1314"/>
        <item x="1328"/>
        <item x="1336"/>
        <item x="1353"/>
        <item x="1356"/>
        <item x="1363"/>
        <item x="1380"/>
        <item x="1381"/>
        <item x="1385"/>
        <item x="1392"/>
        <item x="1393"/>
        <item x="1395"/>
        <item x="1401"/>
        <item x="1405"/>
        <item x="1418"/>
        <item x="1423"/>
        <item x="1432"/>
        <item x="1450"/>
        <item x="1451"/>
        <item x="1452"/>
        <item x="1457"/>
        <item x="1468"/>
        <item x="1471"/>
        <item x="1484"/>
        <item x="1485"/>
        <item x="1487"/>
        <item x="1511"/>
        <item x="1518"/>
        <item x="1519"/>
        <item x="1523"/>
        <item x="1535"/>
        <item x="1538"/>
        <item x="1539"/>
        <item x="1543"/>
        <item x="1549"/>
        <item x="1556"/>
        <item x="1562"/>
        <item x="1563"/>
        <item x="1571"/>
        <item x="1581"/>
        <item x="1582"/>
        <item x="1589"/>
        <item x="1594"/>
        <item x="1599"/>
        <item x="1614"/>
        <item x="1645"/>
        <item x="1657"/>
        <item x="1658"/>
        <item x="1677"/>
        <item x="1686"/>
        <item x="1690"/>
        <item x="3"/>
        <item x="11"/>
        <item x="17"/>
        <item x="29"/>
        <item x="42"/>
        <item x="47"/>
        <item x="70"/>
        <item x="79"/>
        <item x="83"/>
        <item x="87"/>
        <item x="138"/>
        <item x="169"/>
        <item x="181"/>
        <item x="184"/>
        <item x="187"/>
        <item x="197"/>
        <item x="208"/>
        <item x="215"/>
        <item x="220"/>
        <item x="225"/>
        <item x="230"/>
        <item x="235"/>
        <item x="249"/>
        <item x="255"/>
        <item x="256"/>
        <item x="313"/>
        <item x="331"/>
        <item x="337"/>
        <item x="362"/>
        <item x="365"/>
        <item x="373"/>
        <item x="380"/>
        <item x="382"/>
        <item x="387"/>
        <item x="394"/>
        <item x="398"/>
        <item x="402"/>
        <item x="403"/>
        <item x="404"/>
        <item x="419"/>
        <item x="420"/>
        <item x="427"/>
        <item x="430"/>
        <item x="432"/>
        <item x="434"/>
        <item x="444"/>
        <item x="446"/>
        <item x="452"/>
        <item x="453"/>
        <item x="455"/>
        <item x="478"/>
        <item x="485"/>
        <item x="488"/>
        <item x="490"/>
        <item x="516"/>
        <item x="521"/>
        <item x="524"/>
        <item x="529"/>
        <item x="553"/>
        <item x="564"/>
        <item x="568"/>
        <item x="590"/>
        <item x="608"/>
        <item x="612"/>
        <item x="626"/>
        <item x="627"/>
        <item x="628"/>
        <item x="632"/>
        <item x="648"/>
        <item x="650"/>
        <item x="654"/>
        <item x="659"/>
        <item x="669"/>
        <item x="677"/>
        <item x="678"/>
        <item x="685"/>
        <item x="686"/>
        <item x="692"/>
        <item x="700"/>
        <item x="703"/>
        <item x="706"/>
        <item x="708"/>
        <item x="710"/>
        <item x="736"/>
        <item x="740"/>
        <item x="743"/>
        <item x="747"/>
        <item x="751"/>
        <item x="756"/>
        <item x="762"/>
        <item x="767"/>
        <item x="783"/>
        <item x="790"/>
        <item x="797"/>
        <item x="819"/>
        <item x="821"/>
        <item x="827"/>
        <item x="832"/>
        <item x="852"/>
        <item x="879"/>
        <item x="889"/>
        <item x="890"/>
        <item x="899"/>
        <item x="900"/>
        <item x="902"/>
        <item x="916"/>
        <item x="932"/>
        <item x="934"/>
        <item x="939"/>
        <item x="948"/>
        <item x="952"/>
        <item x="954"/>
        <item x="969"/>
        <item x="974"/>
        <item x="980"/>
        <item x="982"/>
        <item x="985"/>
        <item x="991"/>
        <item x="1002"/>
        <item x="1016"/>
        <item x="1030"/>
        <item x="1034"/>
        <item x="1038"/>
        <item x="1054"/>
        <item x="1055"/>
        <item x="1081"/>
        <item x="1087"/>
        <item x="1089"/>
        <item x="1095"/>
        <item x="1102"/>
        <item x="1108"/>
        <item x="1115"/>
        <item x="1127"/>
        <item x="1139"/>
        <item x="1148"/>
        <item x="1150"/>
        <item x="1165"/>
        <item x="1167"/>
        <item x="1174"/>
        <item x="1177"/>
        <item x="1201"/>
        <item x="1207"/>
        <item x="1211"/>
        <item x="1225"/>
        <item x="1226"/>
        <item x="1235"/>
        <item x="1237"/>
        <item x="1242"/>
        <item x="1247"/>
        <item x="1265"/>
        <item x="1266"/>
        <item x="1285"/>
        <item x="1288"/>
        <item x="1296"/>
        <item x="1310"/>
        <item x="1333"/>
        <item x="1345"/>
        <item x="1365"/>
        <item x="1367"/>
        <item x="1376"/>
        <item x="1377"/>
        <item x="1394"/>
        <item x="1406"/>
        <item x="1410"/>
        <item x="1412"/>
        <item x="1424"/>
        <item x="1427"/>
        <item x="1428"/>
        <item x="1442"/>
        <item x="1446"/>
        <item x="1453"/>
        <item x="1454"/>
        <item x="1458"/>
        <item x="1460"/>
        <item x="1469"/>
        <item x="1482"/>
        <item x="1483"/>
        <item x="1501"/>
        <item x="1512"/>
        <item x="1514"/>
        <item x="1515"/>
        <item x="1521"/>
        <item x="1527"/>
        <item x="1529"/>
        <item x="1541"/>
        <item x="1544"/>
        <item x="1545"/>
        <item x="1575"/>
        <item x="1579"/>
        <item x="1584"/>
        <item x="1615"/>
        <item x="1623"/>
        <item x="1625"/>
        <item x="1626"/>
        <item x="1629"/>
        <item x="1633"/>
        <item x="1636"/>
        <item x="1638"/>
        <item x="1656"/>
        <item x="1664"/>
        <item x="1680"/>
        <item x="1683"/>
        <item x="1691"/>
        <item x="1693"/>
        <item x="1"/>
        <item x="5"/>
        <item x="6"/>
        <item x="9"/>
        <item x="12"/>
        <item x="14"/>
        <item x="16"/>
        <item x="20"/>
        <item x="61"/>
        <item x="63"/>
        <item x="65"/>
        <item x="77"/>
        <item x="80"/>
        <item x="81"/>
        <item x="100"/>
        <item x="104"/>
        <item x="115"/>
        <item x="137"/>
        <item x="143"/>
        <item x="155"/>
        <item x="160"/>
        <item x="161"/>
        <item x="164"/>
        <item x="170"/>
        <item x="172"/>
        <item x="178"/>
        <item x="180"/>
        <item x="193"/>
        <item x="199"/>
        <item x="207"/>
        <item x="214"/>
        <item x="238"/>
        <item x="243"/>
        <item x="248"/>
        <item x="254"/>
        <item x="266"/>
        <item x="272"/>
        <item x="273"/>
        <item x="282"/>
        <item x="284"/>
        <item x="291"/>
        <item x="302"/>
        <item x="316"/>
        <item x="317"/>
        <item x="321"/>
        <item x="327"/>
        <item x="333"/>
        <item x="336"/>
        <item x="339"/>
        <item x="345"/>
        <item x="350"/>
        <item x="388"/>
        <item x="397"/>
        <item x="408"/>
        <item x="414"/>
        <item x="422"/>
        <item x="433"/>
        <item x="457"/>
        <item x="473"/>
        <item x="523"/>
        <item x="538"/>
        <item x="539"/>
        <item x="549"/>
        <item x="550"/>
        <item x="555"/>
        <item x="567"/>
        <item x="577"/>
        <item x="584"/>
        <item x="588"/>
        <item x="589"/>
        <item x="606"/>
        <item x="607"/>
        <item x="610"/>
        <item x="611"/>
        <item x="617"/>
        <item x="618"/>
        <item x="622"/>
        <item x="633"/>
        <item x="634"/>
        <item x="643"/>
        <item x="655"/>
        <item x="656"/>
        <item x="658"/>
        <item x="661"/>
        <item x="668"/>
        <item x="673"/>
        <item x="679"/>
        <item x="705"/>
        <item x="711"/>
        <item x="712"/>
        <item x="715"/>
        <item x="730"/>
        <item x="733"/>
        <item x="741"/>
        <item x="744"/>
        <item x="750"/>
        <item x="752"/>
        <item x="754"/>
        <item x="774"/>
        <item x="777"/>
        <item x="778"/>
        <item x="809"/>
        <item x="816"/>
        <item x="830"/>
        <item x="858"/>
        <item x="871"/>
        <item x="878"/>
        <item x="881"/>
        <item x="882"/>
        <item x="888"/>
        <item x="894"/>
        <item x="898"/>
        <item x="901"/>
        <item x="911"/>
        <item x="915"/>
        <item x="917"/>
        <item x="919"/>
        <item x="930"/>
        <item x="946"/>
        <item x="949"/>
        <item x="955"/>
        <item x="957"/>
        <item x="967"/>
        <item x="968"/>
        <item x="977"/>
        <item x="978"/>
        <item x="1009"/>
        <item x="1015"/>
        <item x="1019"/>
        <item x="1022"/>
        <item x="1037"/>
        <item x="1044"/>
        <item x="1045"/>
        <item x="1052"/>
        <item x="1063"/>
        <item x="1064"/>
        <item x="1065"/>
        <item x="1074"/>
        <item x="1085"/>
        <item x="1097"/>
        <item x="1105"/>
        <item x="1106"/>
        <item x="1118"/>
        <item x="1119"/>
        <item x="1128"/>
        <item x="1131"/>
        <item x="1146"/>
        <item x="1172"/>
        <item x="1178"/>
        <item x="1187"/>
        <item x="1190"/>
        <item x="1214"/>
        <item x="1221"/>
        <item x="1223"/>
        <item x="1227"/>
        <item x="1228"/>
        <item x="1236"/>
        <item x="1241"/>
        <item x="1243"/>
        <item x="1249"/>
        <item x="1275"/>
        <item x="1282"/>
        <item x="1292"/>
        <item x="1309"/>
        <item x="1311"/>
        <item x="1321"/>
        <item x="1330"/>
        <item x="1339"/>
        <item x="1349"/>
        <item x="1350"/>
        <item x="1370"/>
        <item x="1372"/>
        <item x="1388"/>
        <item x="1398"/>
        <item x="1400"/>
        <item x="1409"/>
        <item x="1414"/>
        <item x="1436"/>
        <item x="1464"/>
        <item x="1467"/>
        <item x="1473"/>
        <item x="1480"/>
        <item x="1495"/>
        <item x="1513"/>
        <item x="1516"/>
        <item x="1525"/>
        <item x="1526"/>
        <item x="1531"/>
        <item x="1546"/>
        <item x="1548"/>
        <item x="1557"/>
        <item x="1561"/>
        <item x="1566"/>
        <item x="1573"/>
        <item x="1577"/>
        <item x="1593"/>
        <item x="1597"/>
        <item x="1603"/>
        <item x="1616"/>
        <item x="1622"/>
        <item x="1654"/>
        <item x="1667"/>
        <item x="1671"/>
        <item x="1674"/>
        <item x="1675"/>
        <item x="1687"/>
        <item x="21"/>
        <item x="35"/>
        <item x="36"/>
        <item x="39"/>
        <item x="41"/>
        <item x="44"/>
        <item x="51"/>
        <item x="52"/>
        <item x="58"/>
        <item x="67"/>
        <item x="69"/>
        <item x="71"/>
        <item x="72"/>
        <item x="76"/>
        <item x="88"/>
        <item x="89"/>
        <item x="103"/>
        <item x="108"/>
        <item x="111"/>
        <item x="120"/>
        <item x="122"/>
        <item x="123"/>
        <item x="128"/>
        <item x="133"/>
        <item x="144"/>
        <item x="157"/>
        <item x="158"/>
        <item x="163"/>
        <item x="165"/>
        <item x="171"/>
        <item x="176"/>
        <item x="186"/>
        <item x="195"/>
        <item x="216"/>
        <item x="223"/>
        <item x="232"/>
        <item x="233"/>
        <item x="241"/>
        <item x="247"/>
        <item x="268"/>
        <item x="286"/>
        <item x="288"/>
        <item x="293"/>
        <item x="298"/>
        <item x="311"/>
        <item x="322"/>
        <item x="325"/>
        <item x="342"/>
        <item x="352"/>
        <item x="359"/>
        <item x="364"/>
        <item x="367"/>
        <item x="386"/>
        <item x="399"/>
        <item x="410"/>
        <item x="417"/>
        <item x="428"/>
        <item x="431"/>
        <item x="435"/>
        <item x="437"/>
        <item x="441"/>
        <item x="450"/>
        <item x="456"/>
        <item x="460"/>
        <item x="475"/>
        <item x="477"/>
        <item x="482"/>
        <item x="487"/>
        <item x="495"/>
        <item x="496"/>
        <item x="497"/>
        <item x="502"/>
        <item x="506"/>
        <item x="511"/>
        <item x="519"/>
        <item x="520"/>
        <item x="526"/>
        <item x="530"/>
        <item x="534"/>
        <item x="536"/>
        <item x="537"/>
        <item x="542"/>
        <item x="554"/>
        <item x="566"/>
        <item x="573"/>
        <item x="575"/>
        <item x="595"/>
        <item x="598"/>
        <item x="601"/>
        <item x="605"/>
        <item x="629"/>
        <item x="640"/>
        <item x="647"/>
        <item x="649"/>
        <item x="674"/>
        <item x="680"/>
        <item x="682"/>
        <item x="691"/>
        <item x="693"/>
        <item x="697"/>
        <item x="784"/>
        <item x="785"/>
        <item x="786"/>
        <item x="788"/>
        <item x="795"/>
        <item x="798"/>
        <item x="803"/>
        <item x="813"/>
        <item x="815"/>
        <item x="825"/>
        <item x="829"/>
        <item x="835"/>
        <item x="843"/>
        <item x="845"/>
        <item x="848"/>
        <item x="856"/>
        <item x="859"/>
        <item x="865"/>
        <item x="867"/>
        <item x="876"/>
        <item x="909"/>
        <item x="922"/>
        <item x="928"/>
        <item x="933"/>
        <item x="938"/>
        <item x="945"/>
        <item x="951"/>
        <item x="959"/>
        <item x="960"/>
        <item x="965"/>
        <item x="972"/>
        <item x="975"/>
        <item x="976"/>
        <item x="983"/>
        <item x="984"/>
        <item x="995"/>
        <item x="996"/>
        <item x="1014"/>
        <item x="1023"/>
        <item x="1039"/>
        <item x="1041"/>
        <item x="1050"/>
        <item x="1056"/>
        <item x="1058"/>
        <item x="1059"/>
        <item x="1061"/>
        <item x="1066"/>
        <item x="1071"/>
        <item x="1072"/>
        <item x="1077"/>
        <item x="1091"/>
        <item x="1093"/>
        <item x="1103"/>
        <item x="1104"/>
        <item x="1110"/>
        <item x="1129"/>
        <item x="1130"/>
        <item x="1132"/>
        <item x="1141"/>
        <item x="1160"/>
        <item x="1161"/>
        <item x="1164"/>
        <item x="1173"/>
        <item x="1176"/>
        <item x="1188"/>
        <item x="1195"/>
        <item x="1197"/>
        <item x="1203"/>
        <item x="1204"/>
        <item x="1206"/>
        <item x="1216"/>
        <item x="1231"/>
        <item x="1232"/>
        <item x="1239"/>
        <item x="1248"/>
        <item x="1257"/>
        <item x="1278"/>
        <item x="1283"/>
        <item x="1290"/>
        <item x="1293"/>
        <item x="1303"/>
        <item x="1317"/>
        <item x="1325"/>
        <item x="1327"/>
        <item x="1338"/>
        <item x="1340"/>
        <item x="1346"/>
        <item x="1351"/>
        <item x="1352"/>
        <item x="1361"/>
        <item x="1364"/>
        <item x="1373"/>
        <item x="1375"/>
        <item x="1383"/>
        <item x="1384"/>
        <item x="1389"/>
        <item x="1421"/>
        <item x="1422"/>
        <item x="1425"/>
        <item x="1429"/>
        <item x="1434"/>
        <item x="1479"/>
        <item x="1493"/>
        <item x="1510"/>
        <item x="1517"/>
        <item x="1524"/>
        <item x="1532"/>
        <item x="1550"/>
        <item x="1552"/>
        <item x="1554"/>
        <item x="1559"/>
        <item x="1560"/>
        <item x="1578"/>
        <item x="1580"/>
        <item x="1587"/>
        <item x="1591"/>
        <item x="1600"/>
        <item x="1604"/>
        <item x="1609"/>
        <item x="1613"/>
        <item x="1620"/>
        <item x="1621"/>
        <item x="1635"/>
        <item x="1643"/>
        <item x="1646"/>
        <item x="1659"/>
        <item x="1661"/>
        <item x="1662"/>
        <item x="8"/>
        <item x="10"/>
        <item x="18"/>
        <item x="25"/>
        <item x="27"/>
        <item x="31"/>
        <item x="38"/>
        <item x="40"/>
        <item x="54"/>
        <item x="64"/>
        <item x="82"/>
        <item x="91"/>
        <item x="94"/>
        <item x="95"/>
        <item x="112"/>
        <item x="113"/>
        <item x="116"/>
        <item x="117"/>
        <item x="119"/>
        <item x="152"/>
        <item x="154"/>
        <item x="192"/>
        <item x="203"/>
        <item x="212"/>
        <item x="218"/>
        <item x="229"/>
        <item x="231"/>
        <item x="237"/>
        <item x="239"/>
        <item x="244"/>
        <item x="265"/>
        <item x="270"/>
        <item x="275"/>
        <item x="276"/>
        <item x="283"/>
        <item x="292"/>
        <item x="303"/>
        <item x="304"/>
        <item x="310"/>
        <item x="328"/>
        <item x="330"/>
        <item x="338"/>
        <item x="344"/>
        <item x="351"/>
        <item x="353"/>
        <item x="354"/>
        <item x="372"/>
        <item x="375"/>
        <item x="407"/>
        <item x="415"/>
        <item x="416"/>
        <item x="424"/>
        <item x="426"/>
        <item x="429"/>
        <item x="442"/>
        <item x="448"/>
        <item x="466"/>
        <item x="469"/>
        <item x="471"/>
        <item x="503"/>
        <item x="514"/>
        <item x="517"/>
        <item x="522"/>
        <item x="556"/>
        <item x="560"/>
        <item x="570"/>
        <item x="574"/>
        <item x="599"/>
        <item x="613"/>
        <item x="615"/>
        <item x="616"/>
        <item x="623"/>
        <item x="624"/>
        <item x="642"/>
        <item x="653"/>
        <item x="672"/>
        <item x="687"/>
        <item x="717"/>
        <item x="720"/>
        <item x="731"/>
        <item x="763"/>
        <item x="766"/>
        <item x="768"/>
        <item x="771"/>
        <item x="773"/>
        <item x="781"/>
        <item x="793"/>
        <item x="799"/>
        <item x="805"/>
        <item x="810"/>
        <item x="822"/>
        <item x="826"/>
        <item x="833"/>
        <item x="840"/>
        <item x="857"/>
        <item x="860"/>
        <item x="869"/>
        <item x="885"/>
        <item x="920"/>
        <item x="924"/>
        <item x="941"/>
        <item x="953"/>
        <item x="964"/>
        <item x="966"/>
        <item x="981"/>
        <item x="986"/>
        <item x="997"/>
        <item x="999"/>
        <item x="1000"/>
        <item x="1006"/>
        <item x="1010"/>
        <item x="1018"/>
        <item x="1021"/>
        <item x="1025"/>
        <item x="1027"/>
        <item x="1042"/>
        <item x="1060"/>
        <item x="1079"/>
        <item x="1090"/>
        <item x="1098"/>
        <item x="1133"/>
        <item x="1134"/>
        <item x="1135"/>
        <item x="1136"/>
        <item x="1137"/>
        <item x="1144"/>
        <item x="1153"/>
        <item x="1154"/>
        <item x="1163"/>
        <item x="1168"/>
        <item x="1170"/>
        <item x="1179"/>
        <item x="1193"/>
        <item x="1200"/>
        <item x="1205"/>
        <item x="1222"/>
        <item x="1269"/>
        <item x="1276"/>
        <item x="1281"/>
        <item x="1294"/>
        <item x="1300"/>
        <item x="1319"/>
        <item x="1331"/>
        <item x="1332"/>
        <item x="1335"/>
        <item x="1337"/>
        <item x="1341"/>
        <item x="1354"/>
        <item x="1358"/>
        <item x="1362"/>
        <item x="1366"/>
        <item x="1379"/>
        <item x="1396"/>
        <item x="1399"/>
        <item x="1411"/>
        <item x="1415"/>
        <item x="1416"/>
        <item x="1419"/>
        <item x="1426"/>
        <item x="1430"/>
        <item x="1433"/>
        <item x="1438"/>
        <item x="1440"/>
        <item x="1441"/>
        <item x="1447"/>
        <item x="1448"/>
        <item x="1456"/>
        <item x="1459"/>
        <item x="1462"/>
        <item x="1466"/>
        <item x="1472"/>
        <item x="1474"/>
        <item x="1476"/>
        <item x="1486"/>
        <item x="1489"/>
        <item x="1496"/>
        <item x="1530"/>
        <item x="1547"/>
        <item x="1551"/>
        <item x="1553"/>
        <item x="1558"/>
        <item x="1569"/>
        <item x="1590"/>
        <item x="1592"/>
        <item x="1602"/>
        <item x="1618"/>
        <item x="1624"/>
        <item x="1628"/>
        <item x="1632"/>
        <item x="1644"/>
        <item x="1651"/>
        <item x="1652"/>
        <item x="1653"/>
        <item x="1672"/>
        <item x="1681"/>
        <item x="1682"/>
        <item x="1684"/>
        <item t="default"/>
      </items>
    </pivotField>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items count="5">
        <item x="1"/>
        <item x="3"/>
        <item x="0"/>
        <item x="2"/>
        <item t="default"/>
      </items>
    </pivotField>
    <pivotField showAll="0"/>
    <pivotField showAll="0"/>
    <pivotField showAll="0">
      <items count="4">
        <item x="2"/>
        <item x="1"/>
        <item x="0"/>
        <item t="default"/>
      </items>
    </pivotField>
    <pivotField showAll="0"/>
    <pivotField showAll="0">
      <items count="132">
        <item x="110"/>
        <item x="19"/>
        <item x="83"/>
        <item x="32"/>
        <item x="63"/>
        <item x="105"/>
        <item x="61"/>
        <item x="103"/>
        <item x="108"/>
        <item x="59"/>
        <item x="93"/>
        <item x="67"/>
        <item x="46"/>
        <item x="77"/>
        <item x="53"/>
        <item x="35"/>
        <item x="122"/>
        <item x="113"/>
        <item x="79"/>
        <item x="73"/>
        <item x="88"/>
        <item x="37"/>
        <item x="0"/>
        <item x="128"/>
        <item x="36"/>
        <item x="98"/>
        <item x="112"/>
        <item x="80"/>
        <item x="81"/>
        <item x="6"/>
        <item x="1"/>
        <item x="16"/>
        <item x="86"/>
        <item x="13"/>
        <item x="104"/>
        <item x="2"/>
        <item x="20"/>
        <item x="56"/>
        <item x="69"/>
        <item x="3"/>
        <item x="65"/>
        <item x="109"/>
        <item x="4"/>
        <item x="27"/>
        <item x="39"/>
        <item x="72"/>
        <item x="8"/>
        <item x="51"/>
        <item x="106"/>
        <item x="87"/>
        <item x="57"/>
        <item x="119"/>
        <item x="111"/>
        <item x="116"/>
        <item x="34"/>
        <item x="100"/>
        <item x="28"/>
        <item x="5"/>
        <item x="45"/>
        <item x="17"/>
        <item x="121"/>
        <item x="10"/>
        <item x="76"/>
        <item x="95"/>
        <item x="85"/>
        <item x="124"/>
        <item x="22"/>
        <item x="33"/>
        <item x="52"/>
        <item x="68"/>
        <item x="58"/>
        <item x="31"/>
        <item x="114"/>
        <item x="120"/>
        <item x="15"/>
        <item x="92"/>
        <item x="117"/>
        <item x="71"/>
        <item x="78"/>
        <item x="123"/>
        <item x="126"/>
        <item x="84"/>
        <item x="14"/>
        <item x="101"/>
        <item x="48"/>
        <item x="21"/>
        <item x="44"/>
        <item x="118"/>
        <item x="47"/>
        <item x="127"/>
        <item x="30"/>
        <item x="66"/>
        <item x="41"/>
        <item x="7"/>
        <item x="60"/>
        <item x="82"/>
        <item x="50"/>
        <item x="29"/>
        <item x="23"/>
        <item x="96"/>
        <item x="97"/>
        <item x="75"/>
        <item x="125"/>
        <item x="90"/>
        <item x="38"/>
        <item x="43"/>
        <item x="18"/>
        <item x="130"/>
        <item x="89"/>
        <item x="42"/>
        <item x="99"/>
        <item x="9"/>
        <item x="115"/>
        <item x="25"/>
        <item x="12"/>
        <item x="55"/>
        <item x="91"/>
        <item x="74"/>
        <item x="11"/>
        <item x="70"/>
        <item x="54"/>
        <item x="26"/>
        <item x="64"/>
        <item x="24"/>
        <item x="102"/>
        <item x="40"/>
        <item x="107"/>
        <item x="49"/>
        <item x="62"/>
        <item x="129"/>
        <item x="94"/>
        <item t="default"/>
      </items>
    </pivotField>
    <pivotField showAll="0"/>
    <pivotField showAll="0">
      <items count="5">
        <item x="3"/>
        <item x="0"/>
        <item x="1"/>
        <item x="2"/>
        <item t="default"/>
      </items>
    </pivotField>
    <pivotField showAll="0"/>
    <pivotField showAll="0">
      <items count="2">
        <item x="0"/>
        <item t="default"/>
      </items>
    </pivotField>
    <pivotField axis="axisRow" showAll="0">
      <items count="5">
        <item x="2"/>
        <item x="1"/>
        <item x="0"/>
        <item x="3"/>
        <item t="default"/>
      </items>
    </pivotField>
    <pivotField showAll="0"/>
    <pivotField dataField="1" showAll="0"/>
    <pivotField showAll="0"/>
    <pivotField showAll="0"/>
    <pivotField showAll="0">
      <items count="9">
        <item x="7"/>
        <item x="0"/>
        <item x="1"/>
        <item x="5"/>
        <item x="3"/>
        <item x="4"/>
        <item x="2"/>
        <item x="6"/>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3"/>
  </rowFields>
  <rowItems count="5">
    <i>
      <x/>
    </i>
    <i>
      <x v="1"/>
    </i>
    <i>
      <x v="2"/>
    </i>
    <i>
      <x v="3"/>
    </i>
    <i t="grand">
      <x/>
    </i>
  </rowItems>
  <colItems count="1">
    <i/>
  </colItems>
  <dataFields count="1">
    <dataField name="Sum of Sales" fld="15" baseField="13"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0AA284-F3D5-4846-AFBA-2500B78BE97A}" name="PivotTable4"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L1:L5" firstHeaderRow="1" firstDataRow="1" firstDataCol="1"/>
  <pivotFields count="26">
    <pivotField showAll="0"/>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showAll="0"/>
    <pivotField showAll="0"/>
    <pivotField showAll="0">
      <items count="5">
        <item x="3"/>
        <item x="0"/>
        <item x="1"/>
        <item x="2"/>
        <item t="default"/>
      </items>
    </pivotField>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2"/>
  </rowFields>
  <rowItems count="4">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3F8EB8E-C84B-4C58-BBE5-7516A7CFF80C}"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pivotFields count="26">
    <pivotField showAll="0"/>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showAll="0"/>
    <pivotField showAll="0"/>
    <pivotField showAll="0">
      <items count="5">
        <item x="3"/>
        <item x="0"/>
        <item x="1"/>
        <item x="2"/>
        <item t="default"/>
      </items>
    </pivotField>
    <pivotField showAll="0"/>
    <pivotField showAll="0"/>
    <pivotField showAll="0"/>
    <pivotField showAll="0"/>
    <pivotField dataField="1" showAll="0"/>
    <pivotField dataField="1"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Items count="1">
    <i/>
  </rowItems>
  <colFields count="1">
    <field x="-2"/>
  </colFields>
  <colItems count="3">
    <i>
      <x/>
    </i>
    <i i="1">
      <x v="1"/>
    </i>
    <i i="2">
      <x v="2"/>
    </i>
  </colItems>
  <dataFields count="3">
    <dataField name="Sum of Sales" fld="15" baseField="0" baseItem="0"/>
    <dataField name="Sum of Quantity" fld="16" baseField="0" baseItem="0"/>
    <dataField name="Sum of Profi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AEFAF3-8104-4720-928A-8FF34C4A6A4A}"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17:G26" firstHeaderRow="1" firstDataRow="1" firstDataCol="1"/>
  <pivotFields count="26">
    <pivotField dataField="1" showAll="0">
      <items count="1697">
        <item x="13"/>
        <item x="15"/>
        <item x="19"/>
        <item x="23"/>
        <item x="26"/>
        <item x="30"/>
        <item x="46"/>
        <item x="48"/>
        <item x="50"/>
        <item x="53"/>
        <item x="66"/>
        <item x="73"/>
        <item x="86"/>
        <item x="96"/>
        <item x="101"/>
        <item x="105"/>
        <item x="107"/>
        <item x="129"/>
        <item x="132"/>
        <item x="134"/>
        <item x="135"/>
        <item x="149"/>
        <item x="151"/>
        <item x="153"/>
        <item x="168"/>
        <item x="175"/>
        <item x="188"/>
        <item x="190"/>
        <item x="191"/>
        <item x="198"/>
        <item x="201"/>
        <item x="202"/>
        <item x="206"/>
        <item x="209"/>
        <item x="211"/>
        <item x="213"/>
        <item x="222"/>
        <item x="228"/>
        <item x="242"/>
        <item x="246"/>
        <item x="250"/>
        <item x="258"/>
        <item x="260"/>
        <item x="264"/>
        <item x="267"/>
        <item x="269"/>
        <item x="277"/>
        <item x="280"/>
        <item x="306"/>
        <item x="320"/>
        <item x="323"/>
        <item x="324"/>
        <item x="335"/>
        <item x="348"/>
        <item x="355"/>
        <item x="379"/>
        <item x="383"/>
        <item x="392"/>
        <item x="393"/>
        <item x="395"/>
        <item x="401"/>
        <item x="411"/>
        <item x="413"/>
        <item x="418"/>
        <item x="423"/>
        <item x="436"/>
        <item x="439"/>
        <item x="464"/>
        <item x="465"/>
        <item x="470"/>
        <item x="499"/>
        <item x="504"/>
        <item x="507"/>
        <item x="544"/>
        <item x="548"/>
        <item x="551"/>
        <item x="562"/>
        <item x="571"/>
        <item x="578"/>
        <item x="579"/>
        <item x="583"/>
        <item x="596"/>
        <item x="600"/>
        <item x="603"/>
        <item x="609"/>
        <item x="619"/>
        <item x="625"/>
        <item x="639"/>
        <item x="644"/>
        <item x="651"/>
        <item x="665"/>
        <item x="675"/>
        <item x="681"/>
        <item x="701"/>
        <item x="702"/>
        <item x="726"/>
        <item x="734"/>
        <item x="757"/>
        <item x="758"/>
        <item x="759"/>
        <item x="764"/>
        <item x="776"/>
        <item x="779"/>
        <item x="780"/>
        <item x="792"/>
        <item x="801"/>
        <item x="806"/>
        <item x="808"/>
        <item x="823"/>
        <item x="828"/>
        <item x="831"/>
        <item x="837"/>
        <item x="842"/>
        <item x="847"/>
        <item x="849"/>
        <item x="850"/>
        <item x="853"/>
        <item x="854"/>
        <item x="864"/>
        <item x="866"/>
        <item x="868"/>
        <item x="872"/>
        <item x="873"/>
        <item x="875"/>
        <item x="883"/>
        <item x="893"/>
        <item x="895"/>
        <item x="906"/>
        <item x="910"/>
        <item x="923"/>
        <item x="935"/>
        <item x="950"/>
        <item x="963"/>
        <item x="988"/>
        <item x="993"/>
        <item x="998"/>
        <item x="1003"/>
        <item x="1008"/>
        <item x="1020"/>
        <item x="1024"/>
        <item x="1028"/>
        <item x="1031"/>
        <item x="1035"/>
        <item x="1043"/>
        <item x="1048"/>
        <item x="1051"/>
        <item x="1057"/>
        <item x="1076"/>
        <item x="1092"/>
        <item x="1099"/>
        <item x="1109"/>
        <item x="1112"/>
        <item x="1117"/>
        <item x="1142"/>
        <item x="1143"/>
        <item x="1145"/>
        <item x="1147"/>
        <item x="1159"/>
        <item x="1196"/>
        <item x="1198"/>
        <item x="1215"/>
        <item x="1218"/>
        <item x="1230"/>
        <item x="1240"/>
        <item x="1244"/>
        <item x="1250"/>
        <item x="1260"/>
        <item x="1263"/>
        <item x="1272"/>
        <item x="1273"/>
        <item x="1286"/>
        <item x="1291"/>
        <item x="1298"/>
        <item x="1301"/>
        <item x="1312"/>
        <item x="1316"/>
        <item x="1318"/>
        <item x="1326"/>
        <item x="1359"/>
        <item x="1402"/>
        <item x="1404"/>
        <item x="1435"/>
        <item x="1461"/>
        <item x="1465"/>
        <item x="1477"/>
        <item x="1478"/>
        <item x="1491"/>
        <item x="1494"/>
        <item x="1500"/>
        <item x="1503"/>
        <item x="1508"/>
        <item x="1509"/>
        <item x="1533"/>
        <item x="1537"/>
        <item x="1540"/>
        <item x="1555"/>
        <item x="1572"/>
        <item x="1585"/>
        <item x="1586"/>
        <item x="1598"/>
        <item x="1605"/>
        <item x="1611"/>
        <item x="1612"/>
        <item x="1617"/>
        <item x="1627"/>
        <item x="1630"/>
        <item x="1631"/>
        <item x="1634"/>
        <item x="1639"/>
        <item x="1642"/>
        <item x="1660"/>
        <item x="1663"/>
        <item x="1665"/>
        <item x="1679"/>
        <item x="1688"/>
        <item x="32"/>
        <item x="33"/>
        <item x="34"/>
        <item x="37"/>
        <item x="43"/>
        <item x="55"/>
        <item x="56"/>
        <item x="57"/>
        <item x="74"/>
        <item x="84"/>
        <item x="85"/>
        <item x="102"/>
        <item x="106"/>
        <item x="118"/>
        <item x="124"/>
        <item x="125"/>
        <item x="127"/>
        <item x="131"/>
        <item x="136"/>
        <item x="142"/>
        <item x="146"/>
        <item x="147"/>
        <item x="150"/>
        <item x="177"/>
        <item x="179"/>
        <item x="182"/>
        <item x="196"/>
        <item x="204"/>
        <item x="205"/>
        <item x="224"/>
        <item x="227"/>
        <item x="234"/>
        <item x="236"/>
        <item x="245"/>
        <item x="252"/>
        <item x="271"/>
        <item x="289"/>
        <item x="290"/>
        <item x="301"/>
        <item x="308"/>
        <item x="312"/>
        <item x="319"/>
        <item x="329"/>
        <item x="334"/>
        <item x="340"/>
        <item x="356"/>
        <item x="374"/>
        <item x="377"/>
        <item x="381"/>
        <item x="384"/>
        <item x="389"/>
        <item x="396"/>
        <item x="406"/>
        <item x="412"/>
        <item x="447"/>
        <item x="462"/>
        <item x="468"/>
        <item x="481"/>
        <item x="491"/>
        <item x="492"/>
        <item x="505"/>
        <item x="509"/>
        <item x="533"/>
        <item x="545"/>
        <item x="546"/>
        <item x="558"/>
        <item x="569"/>
        <item x="576"/>
        <item x="592"/>
        <item x="614"/>
        <item x="621"/>
        <item x="631"/>
        <item x="635"/>
        <item x="636"/>
        <item x="637"/>
        <item x="638"/>
        <item x="645"/>
        <item x="664"/>
        <item x="666"/>
        <item x="667"/>
        <item x="696"/>
        <item x="698"/>
        <item x="699"/>
        <item x="713"/>
        <item x="716"/>
        <item x="722"/>
        <item x="723"/>
        <item x="729"/>
        <item x="732"/>
        <item x="735"/>
        <item x="738"/>
        <item x="749"/>
        <item x="753"/>
        <item x="765"/>
        <item x="772"/>
        <item x="807"/>
        <item x="811"/>
        <item x="814"/>
        <item x="817"/>
        <item x="836"/>
        <item x="844"/>
        <item x="846"/>
        <item x="880"/>
        <item x="887"/>
        <item x="891"/>
        <item x="892"/>
        <item x="904"/>
        <item x="905"/>
        <item x="912"/>
        <item x="936"/>
        <item x="942"/>
        <item x="944"/>
        <item x="971"/>
        <item x="992"/>
        <item x="1005"/>
        <item x="1012"/>
        <item x="1013"/>
        <item x="1017"/>
        <item x="1049"/>
        <item x="1053"/>
        <item x="1062"/>
        <item x="1067"/>
        <item x="1068"/>
        <item x="1073"/>
        <item x="1078"/>
        <item x="1084"/>
        <item x="1088"/>
        <item x="1096"/>
        <item x="1120"/>
        <item x="1122"/>
        <item x="1123"/>
        <item x="1125"/>
        <item x="1126"/>
        <item x="1149"/>
        <item x="1155"/>
        <item x="1156"/>
        <item x="1158"/>
        <item x="1162"/>
        <item x="1171"/>
        <item x="1183"/>
        <item x="1185"/>
        <item x="1191"/>
        <item x="1192"/>
        <item x="1194"/>
        <item x="1202"/>
        <item x="1210"/>
        <item x="1212"/>
        <item x="1213"/>
        <item x="1217"/>
        <item x="1219"/>
        <item x="1229"/>
        <item x="1245"/>
        <item x="1253"/>
        <item x="1254"/>
        <item x="1256"/>
        <item x="1259"/>
        <item x="1261"/>
        <item x="1270"/>
        <item x="1271"/>
        <item x="1280"/>
        <item x="1284"/>
        <item x="1287"/>
        <item x="1306"/>
        <item x="1307"/>
        <item x="1308"/>
        <item x="1313"/>
        <item x="1320"/>
        <item x="1322"/>
        <item x="1323"/>
        <item x="1342"/>
        <item x="1343"/>
        <item x="1360"/>
        <item x="1368"/>
        <item x="1369"/>
        <item x="1374"/>
        <item x="1391"/>
        <item x="1397"/>
        <item x="1439"/>
        <item x="1444"/>
        <item x="1445"/>
        <item x="1455"/>
        <item x="1470"/>
        <item x="1504"/>
        <item x="1506"/>
        <item x="1507"/>
        <item x="1520"/>
        <item x="1522"/>
        <item x="1528"/>
        <item x="1534"/>
        <item x="1536"/>
        <item x="1564"/>
        <item x="1565"/>
        <item x="1568"/>
        <item x="1574"/>
        <item x="1576"/>
        <item x="1595"/>
        <item x="1601"/>
        <item x="1606"/>
        <item x="1607"/>
        <item x="1608"/>
        <item x="1610"/>
        <item x="1619"/>
        <item x="1640"/>
        <item x="1650"/>
        <item x="1666"/>
        <item x="1668"/>
        <item x="1669"/>
        <item x="1670"/>
        <item x="1678"/>
        <item x="1692"/>
        <item x="1694"/>
        <item x="2"/>
        <item x="22"/>
        <item x="24"/>
        <item x="45"/>
        <item x="60"/>
        <item x="62"/>
        <item x="75"/>
        <item x="90"/>
        <item x="92"/>
        <item x="97"/>
        <item x="110"/>
        <item x="114"/>
        <item x="121"/>
        <item x="130"/>
        <item x="139"/>
        <item x="140"/>
        <item x="145"/>
        <item x="148"/>
        <item x="156"/>
        <item x="162"/>
        <item x="167"/>
        <item x="173"/>
        <item x="174"/>
        <item x="200"/>
        <item x="210"/>
        <item x="217"/>
        <item x="226"/>
        <item x="257"/>
        <item x="259"/>
        <item x="274"/>
        <item x="278"/>
        <item x="281"/>
        <item x="285"/>
        <item x="294"/>
        <item x="295"/>
        <item x="300"/>
        <item x="305"/>
        <item x="307"/>
        <item x="309"/>
        <item x="332"/>
        <item x="347"/>
        <item x="357"/>
        <item x="358"/>
        <item x="360"/>
        <item x="366"/>
        <item x="368"/>
        <item x="369"/>
        <item x="371"/>
        <item x="438"/>
        <item x="443"/>
        <item x="454"/>
        <item x="459"/>
        <item x="461"/>
        <item x="472"/>
        <item x="474"/>
        <item x="484"/>
        <item x="493"/>
        <item x="500"/>
        <item x="501"/>
        <item x="508"/>
        <item x="512"/>
        <item x="518"/>
        <item x="531"/>
        <item x="532"/>
        <item x="541"/>
        <item x="543"/>
        <item x="557"/>
        <item x="585"/>
        <item x="586"/>
        <item x="591"/>
        <item x="594"/>
        <item x="597"/>
        <item x="604"/>
        <item x="652"/>
        <item x="660"/>
        <item x="662"/>
        <item x="663"/>
        <item x="670"/>
        <item x="676"/>
        <item x="688"/>
        <item x="689"/>
        <item x="690"/>
        <item x="721"/>
        <item x="725"/>
        <item x="737"/>
        <item x="739"/>
        <item x="742"/>
        <item x="746"/>
        <item x="755"/>
        <item x="760"/>
        <item x="761"/>
        <item x="769"/>
        <item x="770"/>
        <item x="775"/>
        <item x="782"/>
        <item x="787"/>
        <item x="789"/>
        <item x="796"/>
        <item x="802"/>
        <item x="804"/>
        <item x="818"/>
        <item x="839"/>
        <item x="841"/>
        <item x="851"/>
        <item x="855"/>
        <item x="861"/>
        <item x="862"/>
        <item x="870"/>
        <item x="884"/>
        <item x="886"/>
        <item x="896"/>
        <item x="897"/>
        <item x="907"/>
        <item x="908"/>
        <item x="913"/>
        <item x="918"/>
        <item x="926"/>
        <item x="927"/>
        <item x="956"/>
        <item x="961"/>
        <item x="970"/>
        <item x="973"/>
        <item x="987"/>
        <item x="989"/>
        <item x="990"/>
        <item x="994"/>
        <item x="1007"/>
        <item x="1011"/>
        <item x="1026"/>
        <item x="1032"/>
        <item x="1033"/>
        <item x="1036"/>
        <item x="1046"/>
        <item x="1047"/>
        <item x="1070"/>
        <item x="1080"/>
        <item x="1094"/>
        <item x="1101"/>
        <item x="1111"/>
        <item x="1113"/>
        <item x="1114"/>
        <item x="1124"/>
        <item x="1140"/>
        <item x="1152"/>
        <item x="1166"/>
        <item x="1175"/>
        <item x="1180"/>
        <item x="1181"/>
        <item x="1184"/>
        <item x="1208"/>
        <item x="1220"/>
        <item x="1233"/>
        <item x="1234"/>
        <item x="1246"/>
        <item x="1255"/>
        <item x="1258"/>
        <item x="1262"/>
        <item x="1268"/>
        <item x="1274"/>
        <item x="1277"/>
        <item x="1289"/>
        <item x="1295"/>
        <item x="1297"/>
        <item x="1299"/>
        <item x="1302"/>
        <item x="1304"/>
        <item x="1305"/>
        <item x="1315"/>
        <item x="1324"/>
        <item x="1329"/>
        <item x="1334"/>
        <item x="1344"/>
        <item x="1347"/>
        <item x="1348"/>
        <item x="1355"/>
        <item x="1357"/>
        <item x="1371"/>
        <item x="1378"/>
        <item x="1382"/>
        <item x="1386"/>
        <item x="1387"/>
        <item x="1390"/>
        <item x="1403"/>
        <item x="1407"/>
        <item x="1408"/>
        <item x="1413"/>
        <item x="1417"/>
        <item x="1420"/>
        <item x="1431"/>
        <item x="1437"/>
        <item x="1443"/>
        <item x="1449"/>
        <item x="1463"/>
        <item x="1475"/>
        <item x="1481"/>
        <item x="1488"/>
        <item x="1490"/>
        <item x="1492"/>
        <item x="1497"/>
        <item x="1498"/>
        <item x="1499"/>
        <item x="1502"/>
        <item x="1505"/>
        <item x="1542"/>
        <item x="1567"/>
        <item x="1570"/>
        <item x="1583"/>
        <item x="1588"/>
        <item x="1596"/>
        <item x="1637"/>
        <item x="1641"/>
        <item x="1647"/>
        <item x="1648"/>
        <item x="1649"/>
        <item x="1655"/>
        <item x="1673"/>
        <item x="1676"/>
        <item x="1685"/>
        <item x="1689"/>
        <item x="1695"/>
        <item x="0"/>
        <item x="4"/>
        <item x="7"/>
        <item x="28"/>
        <item x="49"/>
        <item x="59"/>
        <item x="68"/>
        <item x="78"/>
        <item x="93"/>
        <item x="98"/>
        <item x="99"/>
        <item x="109"/>
        <item x="126"/>
        <item x="141"/>
        <item x="159"/>
        <item x="166"/>
        <item x="183"/>
        <item x="185"/>
        <item x="189"/>
        <item x="194"/>
        <item x="219"/>
        <item x="221"/>
        <item x="240"/>
        <item x="251"/>
        <item x="253"/>
        <item x="261"/>
        <item x="262"/>
        <item x="263"/>
        <item x="279"/>
        <item x="287"/>
        <item x="296"/>
        <item x="297"/>
        <item x="299"/>
        <item x="314"/>
        <item x="315"/>
        <item x="318"/>
        <item x="326"/>
        <item x="341"/>
        <item x="343"/>
        <item x="346"/>
        <item x="349"/>
        <item x="361"/>
        <item x="363"/>
        <item x="370"/>
        <item x="376"/>
        <item x="378"/>
        <item x="385"/>
        <item x="390"/>
        <item x="391"/>
        <item x="400"/>
        <item x="405"/>
        <item x="409"/>
        <item x="421"/>
        <item x="425"/>
        <item x="440"/>
        <item x="445"/>
        <item x="449"/>
        <item x="451"/>
        <item x="458"/>
        <item x="463"/>
        <item x="467"/>
        <item x="476"/>
        <item x="479"/>
        <item x="480"/>
        <item x="483"/>
        <item x="486"/>
        <item x="489"/>
        <item x="494"/>
        <item x="498"/>
        <item x="510"/>
        <item x="513"/>
        <item x="515"/>
        <item x="525"/>
        <item x="527"/>
        <item x="528"/>
        <item x="535"/>
        <item x="540"/>
        <item x="547"/>
        <item x="552"/>
        <item x="559"/>
        <item x="561"/>
        <item x="563"/>
        <item x="565"/>
        <item x="572"/>
        <item x="580"/>
        <item x="581"/>
        <item x="582"/>
        <item x="587"/>
        <item x="593"/>
        <item x="602"/>
        <item x="620"/>
        <item x="630"/>
        <item x="641"/>
        <item x="646"/>
        <item x="657"/>
        <item x="671"/>
        <item x="683"/>
        <item x="684"/>
        <item x="694"/>
        <item x="695"/>
        <item x="704"/>
        <item x="707"/>
        <item x="709"/>
        <item x="714"/>
        <item x="718"/>
        <item x="719"/>
        <item x="724"/>
        <item x="727"/>
        <item x="728"/>
        <item x="745"/>
        <item x="748"/>
        <item x="791"/>
        <item x="794"/>
        <item x="800"/>
        <item x="812"/>
        <item x="820"/>
        <item x="824"/>
        <item x="834"/>
        <item x="838"/>
        <item x="863"/>
        <item x="874"/>
        <item x="877"/>
        <item x="903"/>
        <item x="914"/>
        <item x="921"/>
        <item x="925"/>
        <item x="929"/>
        <item x="931"/>
        <item x="937"/>
        <item x="940"/>
        <item x="943"/>
        <item x="947"/>
        <item x="958"/>
        <item x="962"/>
        <item x="979"/>
        <item x="1001"/>
        <item x="1004"/>
        <item x="1029"/>
        <item x="1040"/>
        <item x="1069"/>
        <item x="1075"/>
        <item x="1082"/>
        <item x="1083"/>
        <item x="1086"/>
        <item x="1100"/>
        <item x="1107"/>
        <item x="1116"/>
        <item x="1121"/>
        <item x="1138"/>
        <item x="1151"/>
        <item x="1157"/>
        <item x="1169"/>
        <item x="1182"/>
        <item x="1186"/>
        <item x="1189"/>
        <item x="1199"/>
        <item x="1209"/>
        <item x="1224"/>
        <item x="1238"/>
        <item x="1251"/>
        <item x="1252"/>
        <item x="1264"/>
        <item x="1267"/>
        <item x="1279"/>
        <item x="1314"/>
        <item x="1328"/>
        <item x="1336"/>
        <item x="1353"/>
        <item x="1356"/>
        <item x="1363"/>
        <item x="1380"/>
        <item x="1381"/>
        <item x="1385"/>
        <item x="1392"/>
        <item x="1393"/>
        <item x="1395"/>
        <item x="1401"/>
        <item x="1405"/>
        <item x="1418"/>
        <item x="1423"/>
        <item x="1432"/>
        <item x="1450"/>
        <item x="1451"/>
        <item x="1452"/>
        <item x="1457"/>
        <item x="1468"/>
        <item x="1471"/>
        <item x="1484"/>
        <item x="1485"/>
        <item x="1487"/>
        <item x="1511"/>
        <item x="1518"/>
        <item x="1519"/>
        <item x="1523"/>
        <item x="1535"/>
        <item x="1538"/>
        <item x="1539"/>
        <item x="1543"/>
        <item x="1549"/>
        <item x="1556"/>
        <item x="1562"/>
        <item x="1563"/>
        <item x="1571"/>
        <item x="1581"/>
        <item x="1582"/>
        <item x="1589"/>
        <item x="1594"/>
        <item x="1599"/>
        <item x="1614"/>
        <item x="1645"/>
        <item x="1657"/>
        <item x="1658"/>
        <item x="1677"/>
        <item x="1686"/>
        <item x="1690"/>
        <item x="3"/>
        <item x="11"/>
        <item x="17"/>
        <item x="29"/>
        <item x="42"/>
        <item x="47"/>
        <item x="70"/>
        <item x="79"/>
        <item x="83"/>
        <item x="87"/>
        <item x="138"/>
        <item x="169"/>
        <item x="181"/>
        <item x="184"/>
        <item x="187"/>
        <item x="197"/>
        <item x="208"/>
        <item x="215"/>
        <item x="220"/>
        <item x="225"/>
        <item x="230"/>
        <item x="235"/>
        <item x="249"/>
        <item x="255"/>
        <item x="256"/>
        <item x="313"/>
        <item x="331"/>
        <item x="337"/>
        <item x="362"/>
        <item x="365"/>
        <item x="373"/>
        <item x="380"/>
        <item x="382"/>
        <item x="387"/>
        <item x="394"/>
        <item x="398"/>
        <item x="402"/>
        <item x="403"/>
        <item x="404"/>
        <item x="419"/>
        <item x="420"/>
        <item x="427"/>
        <item x="430"/>
        <item x="432"/>
        <item x="434"/>
        <item x="444"/>
        <item x="446"/>
        <item x="452"/>
        <item x="453"/>
        <item x="455"/>
        <item x="478"/>
        <item x="485"/>
        <item x="488"/>
        <item x="490"/>
        <item x="516"/>
        <item x="521"/>
        <item x="524"/>
        <item x="529"/>
        <item x="553"/>
        <item x="564"/>
        <item x="568"/>
        <item x="590"/>
        <item x="608"/>
        <item x="612"/>
        <item x="626"/>
        <item x="627"/>
        <item x="628"/>
        <item x="632"/>
        <item x="648"/>
        <item x="650"/>
        <item x="654"/>
        <item x="659"/>
        <item x="669"/>
        <item x="677"/>
        <item x="678"/>
        <item x="685"/>
        <item x="686"/>
        <item x="692"/>
        <item x="700"/>
        <item x="703"/>
        <item x="706"/>
        <item x="708"/>
        <item x="710"/>
        <item x="736"/>
        <item x="740"/>
        <item x="743"/>
        <item x="747"/>
        <item x="751"/>
        <item x="756"/>
        <item x="762"/>
        <item x="767"/>
        <item x="783"/>
        <item x="790"/>
        <item x="797"/>
        <item x="819"/>
        <item x="821"/>
        <item x="827"/>
        <item x="832"/>
        <item x="852"/>
        <item x="879"/>
        <item x="889"/>
        <item x="890"/>
        <item x="899"/>
        <item x="900"/>
        <item x="902"/>
        <item x="916"/>
        <item x="932"/>
        <item x="934"/>
        <item x="939"/>
        <item x="948"/>
        <item x="952"/>
        <item x="954"/>
        <item x="969"/>
        <item x="974"/>
        <item x="980"/>
        <item x="982"/>
        <item x="985"/>
        <item x="991"/>
        <item x="1002"/>
        <item x="1016"/>
        <item x="1030"/>
        <item x="1034"/>
        <item x="1038"/>
        <item x="1054"/>
        <item x="1055"/>
        <item x="1081"/>
        <item x="1087"/>
        <item x="1089"/>
        <item x="1095"/>
        <item x="1102"/>
        <item x="1108"/>
        <item x="1115"/>
        <item x="1127"/>
        <item x="1139"/>
        <item x="1148"/>
        <item x="1150"/>
        <item x="1165"/>
        <item x="1167"/>
        <item x="1174"/>
        <item x="1177"/>
        <item x="1201"/>
        <item x="1207"/>
        <item x="1211"/>
        <item x="1225"/>
        <item x="1226"/>
        <item x="1235"/>
        <item x="1237"/>
        <item x="1242"/>
        <item x="1247"/>
        <item x="1265"/>
        <item x="1266"/>
        <item x="1285"/>
        <item x="1288"/>
        <item x="1296"/>
        <item x="1310"/>
        <item x="1333"/>
        <item x="1345"/>
        <item x="1365"/>
        <item x="1367"/>
        <item x="1376"/>
        <item x="1377"/>
        <item x="1394"/>
        <item x="1406"/>
        <item x="1410"/>
        <item x="1412"/>
        <item x="1424"/>
        <item x="1427"/>
        <item x="1428"/>
        <item x="1442"/>
        <item x="1446"/>
        <item x="1453"/>
        <item x="1454"/>
        <item x="1458"/>
        <item x="1460"/>
        <item x="1469"/>
        <item x="1482"/>
        <item x="1483"/>
        <item x="1501"/>
        <item x="1512"/>
        <item x="1514"/>
        <item x="1515"/>
        <item x="1521"/>
        <item x="1527"/>
        <item x="1529"/>
        <item x="1541"/>
        <item x="1544"/>
        <item x="1545"/>
        <item x="1575"/>
        <item x="1579"/>
        <item x="1584"/>
        <item x="1615"/>
        <item x="1623"/>
        <item x="1625"/>
        <item x="1626"/>
        <item x="1629"/>
        <item x="1633"/>
        <item x="1636"/>
        <item x="1638"/>
        <item x="1656"/>
        <item x="1664"/>
        <item x="1680"/>
        <item x="1683"/>
        <item x="1691"/>
        <item x="1693"/>
        <item x="1"/>
        <item x="5"/>
        <item x="6"/>
        <item x="9"/>
        <item x="12"/>
        <item x="14"/>
        <item x="16"/>
        <item x="20"/>
        <item x="61"/>
        <item x="63"/>
        <item x="65"/>
        <item x="77"/>
        <item x="80"/>
        <item x="81"/>
        <item x="100"/>
        <item x="104"/>
        <item x="115"/>
        <item x="137"/>
        <item x="143"/>
        <item x="155"/>
        <item x="160"/>
        <item x="161"/>
        <item x="164"/>
        <item x="170"/>
        <item x="172"/>
        <item x="178"/>
        <item x="180"/>
        <item x="193"/>
        <item x="199"/>
        <item x="207"/>
        <item x="214"/>
        <item x="238"/>
        <item x="243"/>
        <item x="248"/>
        <item x="254"/>
        <item x="266"/>
        <item x="272"/>
        <item x="273"/>
        <item x="282"/>
        <item x="284"/>
        <item x="291"/>
        <item x="302"/>
        <item x="316"/>
        <item x="317"/>
        <item x="321"/>
        <item x="327"/>
        <item x="333"/>
        <item x="336"/>
        <item x="339"/>
        <item x="345"/>
        <item x="350"/>
        <item x="388"/>
        <item x="397"/>
        <item x="408"/>
        <item x="414"/>
        <item x="422"/>
        <item x="433"/>
        <item x="457"/>
        <item x="473"/>
        <item x="523"/>
        <item x="538"/>
        <item x="539"/>
        <item x="549"/>
        <item x="550"/>
        <item x="555"/>
        <item x="567"/>
        <item x="577"/>
        <item x="584"/>
        <item x="588"/>
        <item x="589"/>
        <item x="606"/>
        <item x="607"/>
        <item x="610"/>
        <item x="611"/>
        <item x="617"/>
        <item x="618"/>
        <item x="622"/>
        <item x="633"/>
        <item x="634"/>
        <item x="643"/>
        <item x="655"/>
        <item x="656"/>
        <item x="658"/>
        <item x="661"/>
        <item x="668"/>
        <item x="673"/>
        <item x="679"/>
        <item x="705"/>
        <item x="711"/>
        <item x="712"/>
        <item x="715"/>
        <item x="730"/>
        <item x="733"/>
        <item x="741"/>
        <item x="744"/>
        <item x="750"/>
        <item x="752"/>
        <item x="754"/>
        <item x="774"/>
        <item x="777"/>
        <item x="778"/>
        <item x="809"/>
        <item x="816"/>
        <item x="830"/>
        <item x="858"/>
        <item x="871"/>
        <item x="878"/>
        <item x="881"/>
        <item x="882"/>
        <item x="888"/>
        <item x="894"/>
        <item x="898"/>
        <item x="901"/>
        <item x="911"/>
        <item x="915"/>
        <item x="917"/>
        <item x="919"/>
        <item x="930"/>
        <item x="946"/>
        <item x="949"/>
        <item x="955"/>
        <item x="957"/>
        <item x="967"/>
        <item x="968"/>
        <item x="977"/>
        <item x="978"/>
        <item x="1009"/>
        <item x="1015"/>
        <item x="1019"/>
        <item x="1022"/>
        <item x="1037"/>
        <item x="1044"/>
        <item x="1045"/>
        <item x="1052"/>
        <item x="1063"/>
        <item x="1064"/>
        <item x="1065"/>
        <item x="1074"/>
        <item x="1085"/>
        <item x="1097"/>
        <item x="1105"/>
        <item x="1106"/>
        <item x="1118"/>
        <item x="1119"/>
        <item x="1128"/>
        <item x="1131"/>
        <item x="1146"/>
        <item x="1172"/>
        <item x="1178"/>
        <item x="1187"/>
        <item x="1190"/>
        <item x="1214"/>
        <item x="1221"/>
        <item x="1223"/>
        <item x="1227"/>
        <item x="1228"/>
        <item x="1236"/>
        <item x="1241"/>
        <item x="1243"/>
        <item x="1249"/>
        <item x="1275"/>
        <item x="1282"/>
        <item x="1292"/>
        <item x="1309"/>
        <item x="1311"/>
        <item x="1321"/>
        <item x="1330"/>
        <item x="1339"/>
        <item x="1349"/>
        <item x="1350"/>
        <item x="1370"/>
        <item x="1372"/>
        <item x="1388"/>
        <item x="1398"/>
        <item x="1400"/>
        <item x="1409"/>
        <item x="1414"/>
        <item x="1436"/>
        <item x="1464"/>
        <item x="1467"/>
        <item x="1473"/>
        <item x="1480"/>
        <item x="1495"/>
        <item x="1513"/>
        <item x="1516"/>
        <item x="1525"/>
        <item x="1526"/>
        <item x="1531"/>
        <item x="1546"/>
        <item x="1548"/>
        <item x="1557"/>
        <item x="1561"/>
        <item x="1566"/>
        <item x="1573"/>
        <item x="1577"/>
        <item x="1593"/>
        <item x="1597"/>
        <item x="1603"/>
        <item x="1616"/>
        <item x="1622"/>
        <item x="1654"/>
        <item x="1667"/>
        <item x="1671"/>
        <item x="1674"/>
        <item x="1675"/>
        <item x="1687"/>
        <item x="21"/>
        <item x="35"/>
        <item x="36"/>
        <item x="39"/>
        <item x="41"/>
        <item x="44"/>
        <item x="51"/>
        <item x="52"/>
        <item x="58"/>
        <item x="67"/>
        <item x="69"/>
        <item x="71"/>
        <item x="72"/>
        <item x="76"/>
        <item x="88"/>
        <item x="89"/>
        <item x="103"/>
        <item x="108"/>
        <item x="111"/>
        <item x="120"/>
        <item x="122"/>
        <item x="123"/>
        <item x="128"/>
        <item x="133"/>
        <item x="144"/>
        <item x="157"/>
        <item x="158"/>
        <item x="163"/>
        <item x="165"/>
        <item x="171"/>
        <item x="176"/>
        <item x="186"/>
        <item x="195"/>
        <item x="216"/>
        <item x="223"/>
        <item x="232"/>
        <item x="233"/>
        <item x="241"/>
        <item x="247"/>
        <item x="268"/>
        <item x="286"/>
        <item x="288"/>
        <item x="293"/>
        <item x="298"/>
        <item x="311"/>
        <item x="322"/>
        <item x="325"/>
        <item x="342"/>
        <item x="352"/>
        <item x="359"/>
        <item x="364"/>
        <item x="367"/>
        <item x="386"/>
        <item x="399"/>
        <item x="410"/>
        <item x="417"/>
        <item x="428"/>
        <item x="431"/>
        <item x="435"/>
        <item x="437"/>
        <item x="441"/>
        <item x="450"/>
        <item x="456"/>
        <item x="460"/>
        <item x="475"/>
        <item x="477"/>
        <item x="482"/>
        <item x="487"/>
        <item x="495"/>
        <item x="496"/>
        <item x="497"/>
        <item x="502"/>
        <item x="506"/>
        <item x="511"/>
        <item x="519"/>
        <item x="520"/>
        <item x="526"/>
        <item x="530"/>
        <item x="534"/>
        <item x="536"/>
        <item x="537"/>
        <item x="542"/>
        <item x="554"/>
        <item x="566"/>
        <item x="573"/>
        <item x="575"/>
        <item x="595"/>
        <item x="598"/>
        <item x="601"/>
        <item x="605"/>
        <item x="629"/>
        <item x="640"/>
        <item x="647"/>
        <item x="649"/>
        <item x="674"/>
        <item x="680"/>
        <item x="682"/>
        <item x="691"/>
        <item x="693"/>
        <item x="697"/>
        <item x="784"/>
        <item x="785"/>
        <item x="786"/>
        <item x="788"/>
        <item x="795"/>
        <item x="798"/>
        <item x="803"/>
        <item x="813"/>
        <item x="815"/>
        <item x="825"/>
        <item x="829"/>
        <item x="835"/>
        <item x="843"/>
        <item x="845"/>
        <item x="848"/>
        <item x="856"/>
        <item x="859"/>
        <item x="865"/>
        <item x="867"/>
        <item x="876"/>
        <item x="909"/>
        <item x="922"/>
        <item x="928"/>
        <item x="933"/>
        <item x="938"/>
        <item x="945"/>
        <item x="951"/>
        <item x="959"/>
        <item x="960"/>
        <item x="965"/>
        <item x="972"/>
        <item x="975"/>
        <item x="976"/>
        <item x="983"/>
        <item x="984"/>
        <item x="995"/>
        <item x="996"/>
        <item x="1014"/>
        <item x="1023"/>
        <item x="1039"/>
        <item x="1041"/>
        <item x="1050"/>
        <item x="1056"/>
        <item x="1058"/>
        <item x="1059"/>
        <item x="1061"/>
        <item x="1066"/>
        <item x="1071"/>
        <item x="1072"/>
        <item x="1077"/>
        <item x="1091"/>
        <item x="1093"/>
        <item x="1103"/>
        <item x="1104"/>
        <item x="1110"/>
        <item x="1129"/>
        <item x="1130"/>
        <item x="1132"/>
        <item x="1141"/>
        <item x="1160"/>
        <item x="1161"/>
        <item x="1164"/>
        <item x="1173"/>
        <item x="1176"/>
        <item x="1188"/>
        <item x="1195"/>
        <item x="1197"/>
        <item x="1203"/>
        <item x="1204"/>
        <item x="1206"/>
        <item x="1216"/>
        <item x="1231"/>
        <item x="1232"/>
        <item x="1239"/>
        <item x="1248"/>
        <item x="1257"/>
        <item x="1278"/>
        <item x="1283"/>
        <item x="1290"/>
        <item x="1293"/>
        <item x="1303"/>
        <item x="1317"/>
        <item x="1325"/>
        <item x="1327"/>
        <item x="1338"/>
        <item x="1340"/>
        <item x="1346"/>
        <item x="1351"/>
        <item x="1352"/>
        <item x="1361"/>
        <item x="1364"/>
        <item x="1373"/>
        <item x="1375"/>
        <item x="1383"/>
        <item x="1384"/>
        <item x="1389"/>
        <item x="1421"/>
        <item x="1422"/>
        <item x="1425"/>
        <item x="1429"/>
        <item x="1434"/>
        <item x="1479"/>
        <item x="1493"/>
        <item x="1510"/>
        <item x="1517"/>
        <item x="1524"/>
        <item x="1532"/>
        <item x="1550"/>
        <item x="1552"/>
        <item x="1554"/>
        <item x="1559"/>
        <item x="1560"/>
        <item x="1578"/>
        <item x="1580"/>
        <item x="1587"/>
        <item x="1591"/>
        <item x="1600"/>
        <item x="1604"/>
        <item x="1609"/>
        <item x="1613"/>
        <item x="1620"/>
        <item x="1621"/>
        <item x="1635"/>
        <item x="1643"/>
        <item x="1646"/>
        <item x="1659"/>
        <item x="1661"/>
        <item x="1662"/>
        <item x="8"/>
        <item x="10"/>
        <item x="18"/>
        <item x="25"/>
        <item x="27"/>
        <item x="31"/>
        <item x="38"/>
        <item x="40"/>
        <item x="54"/>
        <item x="64"/>
        <item x="82"/>
        <item x="91"/>
        <item x="94"/>
        <item x="95"/>
        <item x="112"/>
        <item x="113"/>
        <item x="116"/>
        <item x="117"/>
        <item x="119"/>
        <item x="152"/>
        <item x="154"/>
        <item x="192"/>
        <item x="203"/>
        <item x="212"/>
        <item x="218"/>
        <item x="229"/>
        <item x="231"/>
        <item x="237"/>
        <item x="239"/>
        <item x="244"/>
        <item x="265"/>
        <item x="270"/>
        <item x="275"/>
        <item x="276"/>
        <item x="283"/>
        <item x="292"/>
        <item x="303"/>
        <item x="304"/>
        <item x="310"/>
        <item x="328"/>
        <item x="330"/>
        <item x="338"/>
        <item x="344"/>
        <item x="351"/>
        <item x="353"/>
        <item x="354"/>
        <item x="372"/>
        <item x="375"/>
        <item x="407"/>
        <item x="415"/>
        <item x="416"/>
        <item x="424"/>
        <item x="426"/>
        <item x="429"/>
        <item x="442"/>
        <item x="448"/>
        <item x="466"/>
        <item x="469"/>
        <item x="471"/>
        <item x="503"/>
        <item x="514"/>
        <item x="517"/>
        <item x="522"/>
        <item x="556"/>
        <item x="560"/>
        <item x="570"/>
        <item x="574"/>
        <item x="599"/>
        <item x="613"/>
        <item x="615"/>
        <item x="616"/>
        <item x="623"/>
        <item x="624"/>
        <item x="642"/>
        <item x="653"/>
        <item x="672"/>
        <item x="687"/>
        <item x="717"/>
        <item x="720"/>
        <item x="731"/>
        <item x="763"/>
        <item x="766"/>
        <item x="768"/>
        <item x="771"/>
        <item x="773"/>
        <item x="781"/>
        <item x="793"/>
        <item x="799"/>
        <item x="805"/>
        <item x="810"/>
        <item x="822"/>
        <item x="826"/>
        <item x="833"/>
        <item x="840"/>
        <item x="857"/>
        <item x="860"/>
        <item x="869"/>
        <item x="885"/>
        <item x="920"/>
        <item x="924"/>
        <item x="941"/>
        <item x="953"/>
        <item x="964"/>
        <item x="966"/>
        <item x="981"/>
        <item x="986"/>
        <item x="997"/>
        <item x="999"/>
        <item x="1000"/>
        <item x="1006"/>
        <item x="1010"/>
        <item x="1018"/>
        <item x="1021"/>
        <item x="1025"/>
        <item x="1027"/>
        <item x="1042"/>
        <item x="1060"/>
        <item x="1079"/>
        <item x="1090"/>
        <item x="1098"/>
        <item x="1133"/>
        <item x="1134"/>
        <item x="1135"/>
        <item x="1136"/>
        <item x="1137"/>
        <item x="1144"/>
        <item x="1153"/>
        <item x="1154"/>
        <item x="1163"/>
        <item x="1168"/>
        <item x="1170"/>
        <item x="1179"/>
        <item x="1193"/>
        <item x="1200"/>
        <item x="1205"/>
        <item x="1222"/>
        <item x="1269"/>
        <item x="1276"/>
        <item x="1281"/>
        <item x="1294"/>
        <item x="1300"/>
        <item x="1319"/>
        <item x="1331"/>
        <item x="1332"/>
        <item x="1335"/>
        <item x="1337"/>
        <item x="1341"/>
        <item x="1354"/>
        <item x="1358"/>
        <item x="1362"/>
        <item x="1366"/>
        <item x="1379"/>
        <item x="1396"/>
        <item x="1399"/>
        <item x="1411"/>
        <item x="1415"/>
        <item x="1416"/>
        <item x="1419"/>
        <item x="1426"/>
        <item x="1430"/>
        <item x="1433"/>
        <item x="1438"/>
        <item x="1440"/>
        <item x="1441"/>
        <item x="1447"/>
        <item x="1448"/>
        <item x="1456"/>
        <item x="1459"/>
        <item x="1462"/>
        <item x="1466"/>
        <item x="1472"/>
        <item x="1474"/>
        <item x="1476"/>
        <item x="1486"/>
        <item x="1489"/>
        <item x="1496"/>
        <item x="1530"/>
        <item x="1547"/>
        <item x="1551"/>
        <item x="1553"/>
        <item x="1558"/>
        <item x="1569"/>
        <item x="1590"/>
        <item x="1592"/>
        <item x="1602"/>
        <item x="1618"/>
        <item x="1624"/>
        <item x="1628"/>
        <item x="1632"/>
        <item x="1644"/>
        <item x="1651"/>
        <item x="1652"/>
        <item x="1653"/>
        <item x="1672"/>
        <item x="1681"/>
        <item x="1682"/>
        <item x="1684"/>
        <item t="default"/>
      </items>
    </pivotField>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showAll="0">
      <items count="132">
        <item x="110"/>
        <item x="19"/>
        <item x="83"/>
        <item x="32"/>
        <item x="63"/>
        <item x="105"/>
        <item x="61"/>
        <item x="103"/>
        <item x="108"/>
        <item x="59"/>
        <item x="93"/>
        <item x="67"/>
        <item x="46"/>
        <item x="77"/>
        <item x="53"/>
        <item x="35"/>
        <item x="122"/>
        <item x="113"/>
        <item x="79"/>
        <item x="73"/>
        <item x="88"/>
        <item x="37"/>
        <item x="0"/>
        <item x="128"/>
        <item x="36"/>
        <item x="98"/>
        <item x="112"/>
        <item x="80"/>
        <item x="81"/>
        <item x="6"/>
        <item x="1"/>
        <item x="16"/>
        <item x="86"/>
        <item x="13"/>
        <item x="104"/>
        <item x="2"/>
        <item x="20"/>
        <item x="56"/>
        <item x="69"/>
        <item x="3"/>
        <item x="65"/>
        <item x="109"/>
        <item x="4"/>
        <item x="27"/>
        <item x="39"/>
        <item x="72"/>
        <item x="8"/>
        <item x="51"/>
        <item x="106"/>
        <item x="87"/>
        <item x="57"/>
        <item x="119"/>
        <item x="111"/>
        <item x="116"/>
        <item x="34"/>
        <item x="100"/>
        <item x="28"/>
        <item x="5"/>
        <item x="45"/>
        <item x="17"/>
        <item x="121"/>
        <item x="10"/>
        <item x="76"/>
        <item x="95"/>
        <item x="85"/>
        <item x="124"/>
        <item x="22"/>
        <item x="33"/>
        <item x="52"/>
        <item x="68"/>
        <item x="58"/>
        <item x="31"/>
        <item x="114"/>
        <item x="120"/>
        <item x="15"/>
        <item x="92"/>
        <item x="117"/>
        <item x="71"/>
        <item x="78"/>
        <item x="123"/>
        <item x="126"/>
        <item x="84"/>
        <item x="14"/>
        <item x="101"/>
        <item x="48"/>
        <item x="21"/>
        <item x="44"/>
        <item x="118"/>
        <item x="47"/>
        <item x="127"/>
        <item x="30"/>
        <item x="66"/>
        <item x="41"/>
        <item x="7"/>
        <item x="60"/>
        <item x="82"/>
        <item x="50"/>
        <item x="29"/>
        <item x="23"/>
        <item x="96"/>
        <item x="97"/>
        <item x="75"/>
        <item x="125"/>
        <item x="90"/>
        <item x="38"/>
        <item x="43"/>
        <item x="18"/>
        <item x="130"/>
        <item x="89"/>
        <item x="42"/>
        <item x="99"/>
        <item x="9"/>
        <item x="115"/>
        <item x="25"/>
        <item x="12"/>
        <item x="55"/>
        <item x="91"/>
        <item x="74"/>
        <item x="11"/>
        <item x="70"/>
        <item x="54"/>
        <item x="26"/>
        <item x="64"/>
        <item x="24"/>
        <item x="102"/>
        <item x="40"/>
        <item x="107"/>
        <item x="49"/>
        <item x="62"/>
        <item x="129"/>
        <item x="94"/>
        <item t="default"/>
      </items>
    </pivotField>
    <pivotField showAll="0"/>
    <pivotField showAll="0">
      <items count="5">
        <item x="3"/>
        <item x="0"/>
        <item x="1"/>
        <item x="2"/>
        <item t="default"/>
      </items>
    </pivotField>
    <pivotField showAll="0"/>
    <pivotField showAll="0"/>
    <pivotField showAll="0"/>
    <pivotField showAll="0"/>
    <pivotField showAll="0"/>
    <pivotField showAll="0"/>
    <pivotField showAll="0"/>
    <pivotField axis="axisRow" showAll="0">
      <items count="9">
        <item x="7"/>
        <item x="0"/>
        <item x="1"/>
        <item x="5"/>
        <item x="3"/>
        <item x="4"/>
        <item x="2"/>
        <item x="6"/>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8"/>
  </rowFields>
  <rowItems count="9">
    <i>
      <x/>
    </i>
    <i>
      <x v="1"/>
    </i>
    <i>
      <x v="2"/>
    </i>
    <i>
      <x v="3"/>
    </i>
    <i>
      <x v="4"/>
    </i>
    <i>
      <x v="5"/>
    </i>
    <i>
      <x v="6"/>
    </i>
    <i>
      <x v="7"/>
    </i>
    <i t="grand">
      <x/>
    </i>
  </rowItems>
  <colItems count="1">
    <i/>
  </colItems>
  <dataFields count="1">
    <dataField name="Count of Order ID" fld="0" subtotal="count" showDataAs="percentOfTotal" baseField="18"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40462B-4726-46DF-802F-DDAAE3A049CD}"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4:B83" firstHeaderRow="1" firstDataRow="1" firstDataCol="1"/>
  <pivotFields count="26">
    <pivotField showAll="0"/>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showAll="0"/>
    <pivotField axis="axisRow" showAll="0">
      <items count="49">
        <item x="42"/>
        <item x="23"/>
        <item x="3"/>
        <item x="11"/>
        <item x="43"/>
        <item x="37"/>
        <item x="2"/>
        <item x="36"/>
        <item x="38"/>
        <item x="10"/>
        <item x="22"/>
        <item x="46"/>
        <item x="41"/>
        <item x="14"/>
        <item x="25"/>
        <item x="34"/>
        <item x="24"/>
        <item x="9"/>
        <item x="39"/>
        <item x="30"/>
        <item x="26"/>
        <item x="32"/>
        <item x="8"/>
        <item x="45"/>
        <item x="28"/>
        <item x="18"/>
        <item x="5"/>
        <item x="44"/>
        <item x="29"/>
        <item x="20"/>
        <item x="47"/>
        <item x="21"/>
        <item x="1"/>
        <item x="35"/>
        <item x="7"/>
        <item x="27"/>
        <item x="40"/>
        <item x="6"/>
        <item x="13"/>
        <item x="4"/>
        <item x="17"/>
        <item x="19"/>
        <item x="16"/>
        <item x="15"/>
        <item x="12"/>
        <item x="0"/>
        <item x="33"/>
        <item x="31"/>
        <item t="default"/>
      </items>
    </pivotField>
    <pivotField showAll="0">
      <items count="5">
        <item x="3"/>
        <item x="0"/>
        <item x="1"/>
        <item x="2"/>
        <item t="default"/>
      </items>
    </pivotField>
    <pivotField showAll="0"/>
    <pivotField showAll="0"/>
    <pivotField showAll="0"/>
    <pivotField showAll="0"/>
    <pivotField dataField="1" showAll="0"/>
    <pivotField showAll="0"/>
    <pivotField showAll="0"/>
    <pivotField showAll="0"/>
    <pivotField showAll="0">
      <items count="13">
        <item x="7"/>
        <item x="5"/>
        <item x="1"/>
        <item x="6"/>
        <item x="8"/>
        <item x="9"/>
        <item x="3"/>
        <item x="0"/>
        <item x="10"/>
        <item x="11"/>
        <item x="4"/>
        <item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9"/>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Sum of Sales" fld="15" baseField="9"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D81C144-AF87-4B83-BC41-318A40505429}" name="PivotTable2"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7:D11" firstHeaderRow="0" firstDataRow="1" firstDataCol="1"/>
  <pivotFields count="26">
    <pivotField showAll="0"/>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showAll="0"/>
    <pivotField showAll="0"/>
    <pivotField showAll="0"/>
    <pivotField showAll="0">
      <items count="4">
        <item x="2"/>
        <item x="1"/>
        <item x="0"/>
        <item t="default"/>
      </items>
    </pivotField>
    <pivotField showAll="0"/>
    <pivotField showAll="0"/>
    <pivotField showAll="0"/>
    <pivotField showAll="0">
      <items count="5">
        <item x="3"/>
        <item x="0"/>
        <item x="1"/>
        <item x="2"/>
        <item t="default"/>
      </items>
    </pivotField>
    <pivotField showAll="0"/>
    <pivotField showAll="0"/>
    <pivotField showAll="0"/>
    <pivotField showAll="0"/>
    <pivotField dataField="1" showAll="0"/>
    <pivotField dataField="1"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2"/>
  </rowFields>
  <rowItems count="4">
    <i>
      <x v="1"/>
    </i>
    <i>
      <x v="2"/>
    </i>
    <i>
      <x v="3"/>
    </i>
    <i>
      <x v="4"/>
    </i>
  </rowItems>
  <colFields count="1">
    <field x="-2"/>
  </colFields>
  <colItems count="3">
    <i>
      <x/>
    </i>
    <i i="1">
      <x v="1"/>
    </i>
    <i i="2">
      <x v="2"/>
    </i>
  </colItems>
  <dataFields count="3">
    <dataField name="Sum of Sales" fld="15" baseField="0" baseItem="0"/>
    <dataField name="Sum of Quantity" fld="16" baseField="0" baseItem="0"/>
    <dataField name="Sum of Profit" fld="17" baseField="0" baseItem="0"/>
  </dataFields>
  <formats count="2">
    <format dxfId="2">
      <pivotArea field="22" type="button" dataOnly="0" labelOnly="1" outline="0" axis="axisRow" fieldPosition="0"/>
    </format>
    <format dxfId="1">
      <pivotArea dataOnly="0" labelOnly="1" fieldPosition="0">
        <references count="1">
          <reference field="22" count="4">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114A85D-A20A-424F-8195-28A2D66909D8}"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F30:G35" firstHeaderRow="1" firstDataRow="1" firstDataCol="1"/>
  <pivotFields count="26">
    <pivotField dataField="1" showAll="0">
      <items count="1697">
        <item x="13"/>
        <item x="15"/>
        <item x="19"/>
        <item x="23"/>
        <item x="26"/>
        <item x="30"/>
        <item x="46"/>
        <item x="48"/>
        <item x="50"/>
        <item x="53"/>
        <item x="66"/>
        <item x="73"/>
        <item x="86"/>
        <item x="96"/>
        <item x="101"/>
        <item x="105"/>
        <item x="107"/>
        <item x="129"/>
        <item x="132"/>
        <item x="134"/>
        <item x="135"/>
        <item x="149"/>
        <item x="151"/>
        <item x="153"/>
        <item x="168"/>
        <item x="175"/>
        <item x="188"/>
        <item x="190"/>
        <item x="191"/>
        <item x="198"/>
        <item x="201"/>
        <item x="202"/>
        <item x="206"/>
        <item x="209"/>
        <item x="211"/>
        <item x="213"/>
        <item x="222"/>
        <item x="228"/>
        <item x="242"/>
        <item x="246"/>
        <item x="250"/>
        <item x="258"/>
        <item x="260"/>
        <item x="264"/>
        <item x="267"/>
        <item x="269"/>
        <item x="277"/>
        <item x="280"/>
        <item x="306"/>
        <item x="320"/>
        <item x="323"/>
        <item x="324"/>
        <item x="335"/>
        <item x="348"/>
        <item x="355"/>
        <item x="379"/>
        <item x="383"/>
        <item x="392"/>
        <item x="393"/>
        <item x="395"/>
        <item x="401"/>
        <item x="411"/>
        <item x="413"/>
        <item x="418"/>
        <item x="423"/>
        <item x="436"/>
        <item x="439"/>
        <item x="464"/>
        <item x="465"/>
        <item x="470"/>
        <item x="499"/>
        <item x="504"/>
        <item x="507"/>
        <item x="544"/>
        <item x="548"/>
        <item x="551"/>
        <item x="562"/>
        <item x="571"/>
        <item x="578"/>
        <item x="579"/>
        <item x="583"/>
        <item x="596"/>
        <item x="600"/>
        <item x="603"/>
        <item x="609"/>
        <item x="619"/>
        <item x="625"/>
        <item x="639"/>
        <item x="644"/>
        <item x="651"/>
        <item x="665"/>
        <item x="675"/>
        <item x="681"/>
        <item x="701"/>
        <item x="702"/>
        <item x="726"/>
        <item x="734"/>
        <item x="757"/>
        <item x="758"/>
        <item x="759"/>
        <item x="764"/>
        <item x="776"/>
        <item x="779"/>
        <item x="780"/>
        <item x="792"/>
        <item x="801"/>
        <item x="806"/>
        <item x="808"/>
        <item x="823"/>
        <item x="828"/>
        <item x="831"/>
        <item x="837"/>
        <item x="842"/>
        <item x="847"/>
        <item x="849"/>
        <item x="850"/>
        <item x="853"/>
        <item x="854"/>
        <item x="864"/>
        <item x="866"/>
        <item x="868"/>
        <item x="872"/>
        <item x="873"/>
        <item x="875"/>
        <item x="883"/>
        <item x="893"/>
        <item x="895"/>
        <item x="906"/>
        <item x="910"/>
        <item x="923"/>
        <item x="935"/>
        <item x="950"/>
        <item x="963"/>
        <item x="988"/>
        <item x="993"/>
        <item x="998"/>
        <item x="1003"/>
        <item x="1008"/>
        <item x="1020"/>
        <item x="1024"/>
        <item x="1028"/>
        <item x="1031"/>
        <item x="1035"/>
        <item x="1043"/>
        <item x="1048"/>
        <item x="1051"/>
        <item x="1057"/>
        <item x="1076"/>
        <item x="1092"/>
        <item x="1099"/>
        <item x="1109"/>
        <item x="1112"/>
        <item x="1117"/>
        <item x="1142"/>
        <item x="1143"/>
        <item x="1145"/>
        <item x="1147"/>
        <item x="1159"/>
        <item x="1196"/>
        <item x="1198"/>
        <item x="1215"/>
        <item x="1218"/>
        <item x="1230"/>
        <item x="1240"/>
        <item x="1244"/>
        <item x="1250"/>
        <item x="1260"/>
        <item x="1263"/>
        <item x="1272"/>
        <item x="1273"/>
        <item x="1286"/>
        <item x="1291"/>
        <item x="1298"/>
        <item x="1301"/>
        <item x="1312"/>
        <item x="1316"/>
        <item x="1318"/>
        <item x="1326"/>
        <item x="1359"/>
        <item x="1402"/>
        <item x="1404"/>
        <item x="1435"/>
        <item x="1461"/>
        <item x="1465"/>
        <item x="1477"/>
        <item x="1478"/>
        <item x="1491"/>
        <item x="1494"/>
        <item x="1500"/>
        <item x="1503"/>
        <item x="1508"/>
        <item x="1509"/>
        <item x="1533"/>
        <item x="1537"/>
        <item x="1540"/>
        <item x="1555"/>
        <item x="1572"/>
        <item x="1585"/>
        <item x="1586"/>
        <item x="1598"/>
        <item x="1605"/>
        <item x="1611"/>
        <item x="1612"/>
        <item x="1617"/>
        <item x="1627"/>
        <item x="1630"/>
        <item x="1631"/>
        <item x="1634"/>
        <item x="1639"/>
        <item x="1642"/>
        <item x="1660"/>
        <item x="1663"/>
        <item x="1665"/>
        <item x="1679"/>
        <item x="1688"/>
        <item x="32"/>
        <item x="33"/>
        <item x="34"/>
        <item x="37"/>
        <item x="43"/>
        <item x="55"/>
        <item x="56"/>
        <item x="57"/>
        <item x="74"/>
        <item x="84"/>
        <item x="85"/>
        <item x="102"/>
        <item x="106"/>
        <item x="118"/>
        <item x="124"/>
        <item x="125"/>
        <item x="127"/>
        <item x="131"/>
        <item x="136"/>
        <item x="142"/>
        <item x="146"/>
        <item x="147"/>
        <item x="150"/>
        <item x="177"/>
        <item x="179"/>
        <item x="182"/>
        <item x="196"/>
        <item x="204"/>
        <item x="205"/>
        <item x="224"/>
        <item x="227"/>
        <item x="234"/>
        <item x="236"/>
        <item x="245"/>
        <item x="252"/>
        <item x="271"/>
        <item x="289"/>
        <item x="290"/>
        <item x="301"/>
        <item x="308"/>
        <item x="312"/>
        <item x="319"/>
        <item x="329"/>
        <item x="334"/>
        <item x="340"/>
        <item x="356"/>
        <item x="374"/>
        <item x="377"/>
        <item x="381"/>
        <item x="384"/>
        <item x="389"/>
        <item x="396"/>
        <item x="406"/>
        <item x="412"/>
        <item x="447"/>
        <item x="462"/>
        <item x="468"/>
        <item x="481"/>
        <item x="491"/>
        <item x="492"/>
        <item x="505"/>
        <item x="509"/>
        <item x="533"/>
        <item x="545"/>
        <item x="546"/>
        <item x="558"/>
        <item x="569"/>
        <item x="576"/>
        <item x="592"/>
        <item x="614"/>
        <item x="621"/>
        <item x="631"/>
        <item x="635"/>
        <item x="636"/>
        <item x="637"/>
        <item x="638"/>
        <item x="645"/>
        <item x="664"/>
        <item x="666"/>
        <item x="667"/>
        <item x="696"/>
        <item x="698"/>
        <item x="699"/>
        <item x="713"/>
        <item x="716"/>
        <item x="722"/>
        <item x="723"/>
        <item x="729"/>
        <item x="732"/>
        <item x="735"/>
        <item x="738"/>
        <item x="749"/>
        <item x="753"/>
        <item x="765"/>
        <item x="772"/>
        <item x="807"/>
        <item x="811"/>
        <item x="814"/>
        <item x="817"/>
        <item x="836"/>
        <item x="844"/>
        <item x="846"/>
        <item x="880"/>
        <item x="887"/>
        <item x="891"/>
        <item x="892"/>
        <item x="904"/>
        <item x="905"/>
        <item x="912"/>
        <item x="936"/>
        <item x="942"/>
        <item x="944"/>
        <item x="971"/>
        <item x="992"/>
        <item x="1005"/>
        <item x="1012"/>
        <item x="1013"/>
        <item x="1017"/>
        <item x="1049"/>
        <item x="1053"/>
        <item x="1062"/>
        <item x="1067"/>
        <item x="1068"/>
        <item x="1073"/>
        <item x="1078"/>
        <item x="1084"/>
        <item x="1088"/>
        <item x="1096"/>
        <item x="1120"/>
        <item x="1122"/>
        <item x="1123"/>
        <item x="1125"/>
        <item x="1126"/>
        <item x="1149"/>
        <item x="1155"/>
        <item x="1156"/>
        <item x="1158"/>
        <item x="1162"/>
        <item x="1171"/>
        <item x="1183"/>
        <item x="1185"/>
        <item x="1191"/>
        <item x="1192"/>
        <item x="1194"/>
        <item x="1202"/>
        <item x="1210"/>
        <item x="1212"/>
        <item x="1213"/>
        <item x="1217"/>
        <item x="1219"/>
        <item x="1229"/>
        <item x="1245"/>
        <item x="1253"/>
        <item x="1254"/>
        <item x="1256"/>
        <item x="1259"/>
        <item x="1261"/>
        <item x="1270"/>
        <item x="1271"/>
        <item x="1280"/>
        <item x="1284"/>
        <item x="1287"/>
        <item x="1306"/>
        <item x="1307"/>
        <item x="1308"/>
        <item x="1313"/>
        <item x="1320"/>
        <item x="1322"/>
        <item x="1323"/>
        <item x="1342"/>
        <item x="1343"/>
        <item x="1360"/>
        <item x="1368"/>
        <item x="1369"/>
        <item x="1374"/>
        <item x="1391"/>
        <item x="1397"/>
        <item x="1439"/>
        <item x="1444"/>
        <item x="1445"/>
        <item x="1455"/>
        <item x="1470"/>
        <item x="1504"/>
        <item x="1506"/>
        <item x="1507"/>
        <item x="1520"/>
        <item x="1522"/>
        <item x="1528"/>
        <item x="1534"/>
        <item x="1536"/>
        <item x="1564"/>
        <item x="1565"/>
        <item x="1568"/>
        <item x="1574"/>
        <item x="1576"/>
        <item x="1595"/>
        <item x="1601"/>
        <item x="1606"/>
        <item x="1607"/>
        <item x="1608"/>
        <item x="1610"/>
        <item x="1619"/>
        <item x="1640"/>
        <item x="1650"/>
        <item x="1666"/>
        <item x="1668"/>
        <item x="1669"/>
        <item x="1670"/>
        <item x="1678"/>
        <item x="1692"/>
        <item x="1694"/>
        <item x="2"/>
        <item x="22"/>
        <item x="24"/>
        <item x="45"/>
        <item x="60"/>
        <item x="62"/>
        <item x="75"/>
        <item x="90"/>
        <item x="92"/>
        <item x="97"/>
        <item x="110"/>
        <item x="114"/>
        <item x="121"/>
        <item x="130"/>
        <item x="139"/>
        <item x="140"/>
        <item x="145"/>
        <item x="148"/>
        <item x="156"/>
        <item x="162"/>
        <item x="167"/>
        <item x="173"/>
        <item x="174"/>
        <item x="200"/>
        <item x="210"/>
        <item x="217"/>
        <item x="226"/>
        <item x="257"/>
        <item x="259"/>
        <item x="274"/>
        <item x="278"/>
        <item x="281"/>
        <item x="285"/>
        <item x="294"/>
        <item x="295"/>
        <item x="300"/>
        <item x="305"/>
        <item x="307"/>
        <item x="309"/>
        <item x="332"/>
        <item x="347"/>
        <item x="357"/>
        <item x="358"/>
        <item x="360"/>
        <item x="366"/>
        <item x="368"/>
        <item x="369"/>
        <item x="371"/>
        <item x="438"/>
        <item x="443"/>
        <item x="454"/>
        <item x="459"/>
        <item x="461"/>
        <item x="472"/>
        <item x="474"/>
        <item x="484"/>
        <item x="493"/>
        <item x="500"/>
        <item x="501"/>
        <item x="508"/>
        <item x="512"/>
        <item x="518"/>
        <item x="531"/>
        <item x="532"/>
        <item x="541"/>
        <item x="543"/>
        <item x="557"/>
        <item x="585"/>
        <item x="586"/>
        <item x="591"/>
        <item x="594"/>
        <item x="597"/>
        <item x="604"/>
        <item x="652"/>
        <item x="660"/>
        <item x="662"/>
        <item x="663"/>
        <item x="670"/>
        <item x="676"/>
        <item x="688"/>
        <item x="689"/>
        <item x="690"/>
        <item x="721"/>
        <item x="725"/>
        <item x="737"/>
        <item x="739"/>
        <item x="742"/>
        <item x="746"/>
        <item x="755"/>
        <item x="760"/>
        <item x="761"/>
        <item x="769"/>
        <item x="770"/>
        <item x="775"/>
        <item x="782"/>
        <item x="787"/>
        <item x="789"/>
        <item x="796"/>
        <item x="802"/>
        <item x="804"/>
        <item x="818"/>
        <item x="839"/>
        <item x="841"/>
        <item x="851"/>
        <item x="855"/>
        <item x="861"/>
        <item x="862"/>
        <item x="870"/>
        <item x="884"/>
        <item x="886"/>
        <item x="896"/>
        <item x="897"/>
        <item x="907"/>
        <item x="908"/>
        <item x="913"/>
        <item x="918"/>
        <item x="926"/>
        <item x="927"/>
        <item x="956"/>
        <item x="961"/>
        <item x="970"/>
        <item x="973"/>
        <item x="987"/>
        <item x="989"/>
        <item x="990"/>
        <item x="994"/>
        <item x="1007"/>
        <item x="1011"/>
        <item x="1026"/>
        <item x="1032"/>
        <item x="1033"/>
        <item x="1036"/>
        <item x="1046"/>
        <item x="1047"/>
        <item x="1070"/>
        <item x="1080"/>
        <item x="1094"/>
        <item x="1101"/>
        <item x="1111"/>
        <item x="1113"/>
        <item x="1114"/>
        <item x="1124"/>
        <item x="1140"/>
        <item x="1152"/>
        <item x="1166"/>
        <item x="1175"/>
        <item x="1180"/>
        <item x="1181"/>
        <item x="1184"/>
        <item x="1208"/>
        <item x="1220"/>
        <item x="1233"/>
        <item x="1234"/>
        <item x="1246"/>
        <item x="1255"/>
        <item x="1258"/>
        <item x="1262"/>
        <item x="1268"/>
        <item x="1274"/>
        <item x="1277"/>
        <item x="1289"/>
        <item x="1295"/>
        <item x="1297"/>
        <item x="1299"/>
        <item x="1302"/>
        <item x="1304"/>
        <item x="1305"/>
        <item x="1315"/>
        <item x="1324"/>
        <item x="1329"/>
        <item x="1334"/>
        <item x="1344"/>
        <item x="1347"/>
        <item x="1348"/>
        <item x="1355"/>
        <item x="1357"/>
        <item x="1371"/>
        <item x="1378"/>
        <item x="1382"/>
        <item x="1386"/>
        <item x="1387"/>
        <item x="1390"/>
        <item x="1403"/>
        <item x="1407"/>
        <item x="1408"/>
        <item x="1413"/>
        <item x="1417"/>
        <item x="1420"/>
        <item x="1431"/>
        <item x="1437"/>
        <item x="1443"/>
        <item x="1449"/>
        <item x="1463"/>
        <item x="1475"/>
        <item x="1481"/>
        <item x="1488"/>
        <item x="1490"/>
        <item x="1492"/>
        <item x="1497"/>
        <item x="1498"/>
        <item x="1499"/>
        <item x="1502"/>
        <item x="1505"/>
        <item x="1542"/>
        <item x="1567"/>
        <item x="1570"/>
        <item x="1583"/>
        <item x="1588"/>
        <item x="1596"/>
        <item x="1637"/>
        <item x="1641"/>
        <item x="1647"/>
        <item x="1648"/>
        <item x="1649"/>
        <item x="1655"/>
        <item x="1673"/>
        <item x="1676"/>
        <item x="1685"/>
        <item x="1689"/>
        <item x="1695"/>
        <item x="0"/>
        <item x="4"/>
        <item x="7"/>
        <item x="28"/>
        <item x="49"/>
        <item x="59"/>
        <item x="68"/>
        <item x="78"/>
        <item x="93"/>
        <item x="98"/>
        <item x="99"/>
        <item x="109"/>
        <item x="126"/>
        <item x="141"/>
        <item x="159"/>
        <item x="166"/>
        <item x="183"/>
        <item x="185"/>
        <item x="189"/>
        <item x="194"/>
        <item x="219"/>
        <item x="221"/>
        <item x="240"/>
        <item x="251"/>
        <item x="253"/>
        <item x="261"/>
        <item x="262"/>
        <item x="263"/>
        <item x="279"/>
        <item x="287"/>
        <item x="296"/>
        <item x="297"/>
        <item x="299"/>
        <item x="314"/>
        <item x="315"/>
        <item x="318"/>
        <item x="326"/>
        <item x="341"/>
        <item x="343"/>
        <item x="346"/>
        <item x="349"/>
        <item x="361"/>
        <item x="363"/>
        <item x="370"/>
        <item x="376"/>
        <item x="378"/>
        <item x="385"/>
        <item x="390"/>
        <item x="391"/>
        <item x="400"/>
        <item x="405"/>
        <item x="409"/>
        <item x="421"/>
        <item x="425"/>
        <item x="440"/>
        <item x="445"/>
        <item x="449"/>
        <item x="451"/>
        <item x="458"/>
        <item x="463"/>
        <item x="467"/>
        <item x="476"/>
        <item x="479"/>
        <item x="480"/>
        <item x="483"/>
        <item x="486"/>
        <item x="489"/>
        <item x="494"/>
        <item x="498"/>
        <item x="510"/>
        <item x="513"/>
        <item x="515"/>
        <item x="525"/>
        <item x="527"/>
        <item x="528"/>
        <item x="535"/>
        <item x="540"/>
        <item x="547"/>
        <item x="552"/>
        <item x="559"/>
        <item x="561"/>
        <item x="563"/>
        <item x="565"/>
        <item x="572"/>
        <item x="580"/>
        <item x="581"/>
        <item x="582"/>
        <item x="587"/>
        <item x="593"/>
        <item x="602"/>
        <item x="620"/>
        <item x="630"/>
        <item x="641"/>
        <item x="646"/>
        <item x="657"/>
        <item x="671"/>
        <item x="683"/>
        <item x="684"/>
        <item x="694"/>
        <item x="695"/>
        <item x="704"/>
        <item x="707"/>
        <item x="709"/>
        <item x="714"/>
        <item x="718"/>
        <item x="719"/>
        <item x="724"/>
        <item x="727"/>
        <item x="728"/>
        <item x="745"/>
        <item x="748"/>
        <item x="791"/>
        <item x="794"/>
        <item x="800"/>
        <item x="812"/>
        <item x="820"/>
        <item x="824"/>
        <item x="834"/>
        <item x="838"/>
        <item x="863"/>
        <item x="874"/>
        <item x="877"/>
        <item x="903"/>
        <item x="914"/>
        <item x="921"/>
        <item x="925"/>
        <item x="929"/>
        <item x="931"/>
        <item x="937"/>
        <item x="940"/>
        <item x="943"/>
        <item x="947"/>
        <item x="958"/>
        <item x="962"/>
        <item x="979"/>
        <item x="1001"/>
        <item x="1004"/>
        <item x="1029"/>
        <item x="1040"/>
        <item x="1069"/>
        <item x="1075"/>
        <item x="1082"/>
        <item x="1083"/>
        <item x="1086"/>
        <item x="1100"/>
        <item x="1107"/>
        <item x="1116"/>
        <item x="1121"/>
        <item x="1138"/>
        <item x="1151"/>
        <item x="1157"/>
        <item x="1169"/>
        <item x="1182"/>
        <item x="1186"/>
        <item x="1189"/>
        <item x="1199"/>
        <item x="1209"/>
        <item x="1224"/>
        <item x="1238"/>
        <item x="1251"/>
        <item x="1252"/>
        <item x="1264"/>
        <item x="1267"/>
        <item x="1279"/>
        <item x="1314"/>
        <item x="1328"/>
        <item x="1336"/>
        <item x="1353"/>
        <item x="1356"/>
        <item x="1363"/>
        <item x="1380"/>
        <item x="1381"/>
        <item x="1385"/>
        <item x="1392"/>
        <item x="1393"/>
        <item x="1395"/>
        <item x="1401"/>
        <item x="1405"/>
        <item x="1418"/>
        <item x="1423"/>
        <item x="1432"/>
        <item x="1450"/>
        <item x="1451"/>
        <item x="1452"/>
        <item x="1457"/>
        <item x="1468"/>
        <item x="1471"/>
        <item x="1484"/>
        <item x="1485"/>
        <item x="1487"/>
        <item x="1511"/>
        <item x="1518"/>
        <item x="1519"/>
        <item x="1523"/>
        <item x="1535"/>
        <item x="1538"/>
        <item x="1539"/>
        <item x="1543"/>
        <item x="1549"/>
        <item x="1556"/>
        <item x="1562"/>
        <item x="1563"/>
        <item x="1571"/>
        <item x="1581"/>
        <item x="1582"/>
        <item x="1589"/>
        <item x="1594"/>
        <item x="1599"/>
        <item x="1614"/>
        <item x="1645"/>
        <item x="1657"/>
        <item x="1658"/>
        <item x="1677"/>
        <item x="1686"/>
        <item x="1690"/>
        <item x="3"/>
        <item x="11"/>
        <item x="17"/>
        <item x="29"/>
        <item x="42"/>
        <item x="47"/>
        <item x="70"/>
        <item x="79"/>
        <item x="83"/>
        <item x="87"/>
        <item x="138"/>
        <item x="169"/>
        <item x="181"/>
        <item x="184"/>
        <item x="187"/>
        <item x="197"/>
        <item x="208"/>
        <item x="215"/>
        <item x="220"/>
        <item x="225"/>
        <item x="230"/>
        <item x="235"/>
        <item x="249"/>
        <item x="255"/>
        <item x="256"/>
        <item x="313"/>
        <item x="331"/>
        <item x="337"/>
        <item x="362"/>
        <item x="365"/>
        <item x="373"/>
        <item x="380"/>
        <item x="382"/>
        <item x="387"/>
        <item x="394"/>
        <item x="398"/>
        <item x="402"/>
        <item x="403"/>
        <item x="404"/>
        <item x="419"/>
        <item x="420"/>
        <item x="427"/>
        <item x="430"/>
        <item x="432"/>
        <item x="434"/>
        <item x="444"/>
        <item x="446"/>
        <item x="452"/>
        <item x="453"/>
        <item x="455"/>
        <item x="478"/>
        <item x="485"/>
        <item x="488"/>
        <item x="490"/>
        <item x="516"/>
        <item x="521"/>
        <item x="524"/>
        <item x="529"/>
        <item x="553"/>
        <item x="564"/>
        <item x="568"/>
        <item x="590"/>
        <item x="608"/>
        <item x="612"/>
        <item x="626"/>
        <item x="627"/>
        <item x="628"/>
        <item x="632"/>
        <item x="648"/>
        <item x="650"/>
        <item x="654"/>
        <item x="659"/>
        <item x="669"/>
        <item x="677"/>
        <item x="678"/>
        <item x="685"/>
        <item x="686"/>
        <item x="692"/>
        <item x="700"/>
        <item x="703"/>
        <item x="706"/>
        <item x="708"/>
        <item x="710"/>
        <item x="736"/>
        <item x="740"/>
        <item x="743"/>
        <item x="747"/>
        <item x="751"/>
        <item x="756"/>
        <item x="762"/>
        <item x="767"/>
        <item x="783"/>
        <item x="790"/>
        <item x="797"/>
        <item x="819"/>
        <item x="821"/>
        <item x="827"/>
        <item x="832"/>
        <item x="852"/>
        <item x="879"/>
        <item x="889"/>
        <item x="890"/>
        <item x="899"/>
        <item x="900"/>
        <item x="902"/>
        <item x="916"/>
        <item x="932"/>
        <item x="934"/>
        <item x="939"/>
        <item x="948"/>
        <item x="952"/>
        <item x="954"/>
        <item x="969"/>
        <item x="974"/>
        <item x="980"/>
        <item x="982"/>
        <item x="985"/>
        <item x="991"/>
        <item x="1002"/>
        <item x="1016"/>
        <item x="1030"/>
        <item x="1034"/>
        <item x="1038"/>
        <item x="1054"/>
        <item x="1055"/>
        <item x="1081"/>
        <item x="1087"/>
        <item x="1089"/>
        <item x="1095"/>
        <item x="1102"/>
        <item x="1108"/>
        <item x="1115"/>
        <item x="1127"/>
        <item x="1139"/>
        <item x="1148"/>
        <item x="1150"/>
        <item x="1165"/>
        <item x="1167"/>
        <item x="1174"/>
        <item x="1177"/>
        <item x="1201"/>
        <item x="1207"/>
        <item x="1211"/>
        <item x="1225"/>
        <item x="1226"/>
        <item x="1235"/>
        <item x="1237"/>
        <item x="1242"/>
        <item x="1247"/>
        <item x="1265"/>
        <item x="1266"/>
        <item x="1285"/>
        <item x="1288"/>
        <item x="1296"/>
        <item x="1310"/>
        <item x="1333"/>
        <item x="1345"/>
        <item x="1365"/>
        <item x="1367"/>
        <item x="1376"/>
        <item x="1377"/>
        <item x="1394"/>
        <item x="1406"/>
        <item x="1410"/>
        <item x="1412"/>
        <item x="1424"/>
        <item x="1427"/>
        <item x="1428"/>
        <item x="1442"/>
        <item x="1446"/>
        <item x="1453"/>
        <item x="1454"/>
        <item x="1458"/>
        <item x="1460"/>
        <item x="1469"/>
        <item x="1482"/>
        <item x="1483"/>
        <item x="1501"/>
        <item x="1512"/>
        <item x="1514"/>
        <item x="1515"/>
        <item x="1521"/>
        <item x="1527"/>
        <item x="1529"/>
        <item x="1541"/>
        <item x="1544"/>
        <item x="1545"/>
        <item x="1575"/>
        <item x="1579"/>
        <item x="1584"/>
        <item x="1615"/>
        <item x="1623"/>
        <item x="1625"/>
        <item x="1626"/>
        <item x="1629"/>
        <item x="1633"/>
        <item x="1636"/>
        <item x="1638"/>
        <item x="1656"/>
        <item x="1664"/>
        <item x="1680"/>
        <item x="1683"/>
        <item x="1691"/>
        <item x="1693"/>
        <item x="1"/>
        <item x="5"/>
        <item x="6"/>
        <item x="9"/>
        <item x="12"/>
        <item x="14"/>
        <item x="16"/>
        <item x="20"/>
        <item x="61"/>
        <item x="63"/>
        <item x="65"/>
        <item x="77"/>
        <item x="80"/>
        <item x="81"/>
        <item x="100"/>
        <item x="104"/>
        <item x="115"/>
        <item x="137"/>
        <item x="143"/>
        <item x="155"/>
        <item x="160"/>
        <item x="161"/>
        <item x="164"/>
        <item x="170"/>
        <item x="172"/>
        <item x="178"/>
        <item x="180"/>
        <item x="193"/>
        <item x="199"/>
        <item x="207"/>
        <item x="214"/>
        <item x="238"/>
        <item x="243"/>
        <item x="248"/>
        <item x="254"/>
        <item x="266"/>
        <item x="272"/>
        <item x="273"/>
        <item x="282"/>
        <item x="284"/>
        <item x="291"/>
        <item x="302"/>
        <item x="316"/>
        <item x="317"/>
        <item x="321"/>
        <item x="327"/>
        <item x="333"/>
        <item x="336"/>
        <item x="339"/>
        <item x="345"/>
        <item x="350"/>
        <item x="388"/>
        <item x="397"/>
        <item x="408"/>
        <item x="414"/>
        <item x="422"/>
        <item x="433"/>
        <item x="457"/>
        <item x="473"/>
        <item x="523"/>
        <item x="538"/>
        <item x="539"/>
        <item x="549"/>
        <item x="550"/>
        <item x="555"/>
        <item x="567"/>
        <item x="577"/>
        <item x="584"/>
        <item x="588"/>
        <item x="589"/>
        <item x="606"/>
        <item x="607"/>
        <item x="610"/>
        <item x="611"/>
        <item x="617"/>
        <item x="618"/>
        <item x="622"/>
        <item x="633"/>
        <item x="634"/>
        <item x="643"/>
        <item x="655"/>
        <item x="656"/>
        <item x="658"/>
        <item x="661"/>
        <item x="668"/>
        <item x="673"/>
        <item x="679"/>
        <item x="705"/>
        <item x="711"/>
        <item x="712"/>
        <item x="715"/>
        <item x="730"/>
        <item x="733"/>
        <item x="741"/>
        <item x="744"/>
        <item x="750"/>
        <item x="752"/>
        <item x="754"/>
        <item x="774"/>
        <item x="777"/>
        <item x="778"/>
        <item x="809"/>
        <item x="816"/>
        <item x="830"/>
        <item x="858"/>
        <item x="871"/>
        <item x="878"/>
        <item x="881"/>
        <item x="882"/>
        <item x="888"/>
        <item x="894"/>
        <item x="898"/>
        <item x="901"/>
        <item x="911"/>
        <item x="915"/>
        <item x="917"/>
        <item x="919"/>
        <item x="930"/>
        <item x="946"/>
        <item x="949"/>
        <item x="955"/>
        <item x="957"/>
        <item x="967"/>
        <item x="968"/>
        <item x="977"/>
        <item x="978"/>
        <item x="1009"/>
        <item x="1015"/>
        <item x="1019"/>
        <item x="1022"/>
        <item x="1037"/>
        <item x="1044"/>
        <item x="1045"/>
        <item x="1052"/>
        <item x="1063"/>
        <item x="1064"/>
        <item x="1065"/>
        <item x="1074"/>
        <item x="1085"/>
        <item x="1097"/>
        <item x="1105"/>
        <item x="1106"/>
        <item x="1118"/>
        <item x="1119"/>
        <item x="1128"/>
        <item x="1131"/>
        <item x="1146"/>
        <item x="1172"/>
        <item x="1178"/>
        <item x="1187"/>
        <item x="1190"/>
        <item x="1214"/>
        <item x="1221"/>
        <item x="1223"/>
        <item x="1227"/>
        <item x="1228"/>
        <item x="1236"/>
        <item x="1241"/>
        <item x="1243"/>
        <item x="1249"/>
        <item x="1275"/>
        <item x="1282"/>
        <item x="1292"/>
        <item x="1309"/>
        <item x="1311"/>
        <item x="1321"/>
        <item x="1330"/>
        <item x="1339"/>
        <item x="1349"/>
        <item x="1350"/>
        <item x="1370"/>
        <item x="1372"/>
        <item x="1388"/>
        <item x="1398"/>
        <item x="1400"/>
        <item x="1409"/>
        <item x="1414"/>
        <item x="1436"/>
        <item x="1464"/>
        <item x="1467"/>
        <item x="1473"/>
        <item x="1480"/>
        <item x="1495"/>
        <item x="1513"/>
        <item x="1516"/>
        <item x="1525"/>
        <item x="1526"/>
        <item x="1531"/>
        <item x="1546"/>
        <item x="1548"/>
        <item x="1557"/>
        <item x="1561"/>
        <item x="1566"/>
        <item x="1573"/>
        <item x="1577"/>
        <item x="1593"/>
        <item x="1597"/>
        <item x="1603"/>
        <item x="1616"/>
        <item x="1622"/>
        <item x="1654"/>
        <item x="1667"/>
        <item x="1671"/>
        <item x="1674"/>
        <item x="1675"/>
        <item x="1687"/>
        <item x="21"/>
        <item x="35"/>
        <item x="36"/>
        <item x="39"/>
        <item x="41"/>
        <item x="44"/>
        <item x="51"/>
        <item x="52"/>
        <item x="58"/>
        <item x="67"/>
        <item x="69"/>
        <item x="71"/>
        <item x="72"/>
        <item x="76"/>
        <item x="88"/>
        <item x="89"/>
        <item x="103"/>
        <item x="108"/>
        <item x="111"/>
        <item x="120"/>
        <item x="122"/>
        <item x="123"/>
        <item x="128"/>
        <item x="133"/>
        <item x="144"/>
        <item x="157"/>
        <item x="158"/>
        <item x="163"/>
        <item x="165"/>
        <item x="171"/>
        <item x="176"/>
        <item x="186"/>
        <item x="195"/>
        <item x="216"/>
        <item x="223"/>
        <item x="232"/>
        <item x="233"/>
        <item x="241"/>
        <item x="247"/>
        <item x="268"/>
        <item x="286"/>
        <item x="288"/>
        <item x="293"/>
        <item x="298"/>
        <item x="311"/>
        <item x="322"/>
        <item x="325"/>
        <item x="342"/>
        <item x="352"/>
        <item x="359"/>
        <item x="364"/>
        <item x="367"/>
        <item x="386"/>
        <item x="399"/>
        <item x="410"/>
        <item x="417"/>
        <item x="428"/>
        <item x="431"/>
        <item x="435"/>
        <item x="437"/>
        <item x="441"/>
        <item x="450"/>
        <item x="456"/>
        <item x="460"/>
        <item x="475"/>
        <item x="477"/>
        <item x="482"/>
        <item x="487"/>
        <item x="495"/>
        <item x="496"/>
        <item x="497"/>
        <item x="502"/>
        <item x="506"/>
        <item x="511"/>
        <item x="519"/>
        <item x="520"/>
        <item x="526"/>
        <item x="530"/>
        <item x="534"/>
        <item x="536"/>
        <item x="537"/>
        <item x="542"/>
        <item x="554"/>
        <item x="566"/>
        <item x="573"/>
        <item x="575"/>
        <item x="595"/>
        <item x="598"/>
        <item x="601"/>
        <item x="605"/>
        <item x="629"/>
        <item x="640"/>
        <item x="647"/>
        <item x="649"/>
        <item x="674"/>
        <item x="680"/>
        <item x="682"/>
        <item x="691"/>
        <item x="693"/>
        <item x="697"/>
        <item x="784"/>
        <item x="785"/>
        <item x="786"/>
        <item x="788"/>
        <item x="795"/>
        <item x="798"/>
        <item x="803"/>
        <item x="813"/>
        <item x="815"/>
        <item x="825"/>
        <item x="829"/>
        <item x="835"/>
        <item x="843"/>
        <item x="845"/>
        <item x="848"/>
        <item x="856"/>
        <item x="859"/>
        <item x="865"/>
        <item x="867"/>
        <item x="876"/>
        <item x="909"/>
        <item x="922"/>
        <item x="928"/>
        <item x="933"/>
        <item x="938"/>
        <item x="945"/>
        <item x="951"/>
        <item x="959"/>
        <item x="960"/>
        <item x="965"/>
        <item x="972"/>
        <item x="975"/>
        <item x="976"/>
        <item x="983"/>
        <item x="984"/>
        <item x="995"/>
        <item x="996"/>
        <item x="1014"/>
        <item x="1023"/>
        <item x="1039"/>
        <item x="1041"/>
        <item x="1050"/>
        <item x="1056"/>
        <item x="1058"/>
        <item x="1059"/>
        <item x="1061"/>
        <item x="1066"/>
        <item x="1071"/>
        <item x="1072"/>
        <item x="1077"/>
        <item x="1091"/>
        <item x="1093"/>
        <item x="1103"/>
        <item x="1104"/>
        <item x="1110"/>
        <item x="1129"/>
        <item x="1130"/>
        <item x="1132"/>
        <item x="1141"/>
        <item x="1160"/>
        <item x="1161"/>
        <item x="1164"/>
        <item x="1173"/>
        <item x="1176"/>
        <item x="1188"/>
        <item x="1195"/>
        <item x="1197"/>
        <item x="1203"/>
        <item x="1204"/>
        <item x="1206"/>
        <item x="1216"/>
        <item x="1231"/>
        <item x="1232"/>
        <item x="1239"/>
        <item x="1248"/>
        <item x="1257"/>
        <item x="1278"/>
        <item x="1283"/>
        <item x="1290"/>
        <item x="1293"/>
        <item x="1303"/>
        <item x="1317"/>
        <item x="1325"/>
        <item x="1327"/>
        <item x="1338"/>
        <item x="1340"/>
        <item x="1346"/>
        <item x="1351"/>
        <item x="1352"/>
        <item x="1361"/>
        <item x="1364"/>
        <item x="1373"/>
        <item x="1375"/>
        <item x="1383"/>
        <item x="1384"/>
        <item x="1389"/>
        <item x="1421"/>
        <item x="1422"/>
        <item x="1425"/>
        <item x="1429"/>
        <item x="1434"/>
        <item x="1479"/>
        <item x="1493"/>
        <item x="1510"/>
        <item x="1517"/>
        <item x="1524"/>
        <item x="1532"/>
        <item x="1550"/>
        <item x="1552"/>
        <item x="1554"/>
        <item x="1559"/>
        <item x="1560"/>
        <item x="1578"/>
        <item x="1580"/>
        <item x="1587"/>
        <item x="1591"/>
        <item x="1600"/>
        <item x="1604"/>
        <item x="1609"/>
        <item x="1613"/>
        <item x="1620"/>
        <item x="1621"/>
        <item x="1635"/>
        <item x="1643"/>
        <item x="1646"/>
        <item x="1659"/>
        <item x="1661"/>
        <item x="1662"/>
        <item x="8"/>
        <item x="10"/>
        <item x="18"/>
        <item x="25"/>
        <item x="27"/>
        <item x="31"/>
        <item x="38"/>
        <item x="40"/>
        <item x="54"/>
        <item x="64"/>
        <item x="82"/>
        <item x="91"/>
        <item x="94"/>
        <item x="95"/>
        <item x="112"/>
        <item x="113"/>
        <item x="116"/>
        <item x="117"/>
        <item x="119"/>
        <item x="152"/>
        <item x="154"/>
        <item x="192"/>
        <item x="203"/>
        <item x="212"/>
        <item x="218"/>
        <item x="229"/>
        <item x="231"/>
        <item x="237"/>
        <item x="239"/>
        <item x="244"/>
        <item x="265"/>
        <item x="270"/>
        <item x="275"/>
        <item x="276"/>
        <item x="283"/>
        <item x="292"/>
        <item x="303"/>
        <item x="304"/>
        <item x="310"/>
        <item x="328"/>
        <item x="330"/>
        <item x="338"/>
        <item x="344"/>
        <item x="351"/>
        <item x="353"/>
        <item x="354"/>
        <item x="372"/>
        <item x="375"/>
        <item x="407"/>
        <item x="415"/>
        <item x="416"/>
        <item x="424"/>
        <item x="426"/>
        <item x="429"/>
        <item x="442"/>
        <item x="448"/>
        <item x="466"/>
        <item x="469"/>
        <item x="471"/>
        <item x="503"/>
        <item x="514"/>
        <item x="517"/>
        <item x="522"/>
        <item x="556"/>
        <item x="560"/>
        <item x="570"/>
        <item x="574"/>
        <item x="599"/>
        <item x="613"/>
        <item x="615"/>
        <item x="616"/>
        <item x="623"/>
        <item x="624"/>
        <item x="642"/>
        <item x="653"/>
        <item x="672"/>
        <item x="687"/>
        <item x="717"/>
        <item x="720"/>
        <item x="731"/>
        <item x="763"/>
        <item x="766"/>
        <item x="768"/>
        <item x="771"/>
        <item x="773"/>
        <item x="781"/>
        <item x="793"/>
        <item x="799"/>
        <item x="805"/>
        <item x="810"/>
        <item x="822"/>
        <item x="826"/>
        <item x="833"/>
        <item x="840"/>
        <item x="857"/>
        <item x="860"/>
        <item x="869"/>
        <item x="885"/>
        <item x="920"/>
        <item x="924"/>
        <item x="941"/>
        <item x="953"/>
        <item x="964"/>
        <item x="966"/>
        <item x="981"/>
        <item x="986"/>
        <item x="997"/>
        <item x="999"/>
        <item x="1000"/>
        <item x="1006"/>
        <item x="1010"/>
        <item x="1018"/>
        <item x="1021"/>
        <item x="1025"/>
        <item x="1027"/>
        <item x="1042"/>
        <item x="1060"/>
        <item x="1079"/>
        <item x="1090"/>
        <item x="1098"/>
        <item x="1133"/>
        <item x="1134"/>
        <item x="1135"/>
        <item x="1136"/>
        <item x="1137"/>
        <item x="1144"/>
        <item x="1153"/>
        <item x="1154"/>
        <item x="1163"/>
        <item x="1168"/>
        <item x="1170"/>
        <item x="1179"/>
        <item x="1193"/>
        <item x="1200"/>
        <item x="1205"/>
        <item x="1222"/>
        <item x="1269"/>
        <item x="1276"/>
        <item x="1281"/>
        <item x="1294"/>
        <item x="1300"/>
        <item x="1319"/>
        <item x="1331"/>
        <item x="1332"/>
        <item x="1335"/>
        <item x="1337"/>
        <item x="1341"/>
        <item x="1354"/>
        <item x="1358"/>
        <item x="1362"/>
        <item x="1366"/>
        <item x="1379"/>
        <item x="1396"/>
        <item x="1399"/>
        <item x="1411"/>
        <item x="1415"/>
        <item x="1416"/>
        <item x="1419"/>
        <item x="1426"/>
        <item x="1430"/>
        <item x="1433"/>
        <item x="1438"/>
        <item x="1440"/>
        <item x="1441"/>
        <item x="1447"/>
        <item x="1448"/>
        <item x="1456"/>
        <item x="1459"/>
        <item x="1462"/>
        <item x="1466"/>
        <item x="1472"/>
        <item x="1474"/>
        <item x="1476"/>
        <item x="1486"/>
        <item x="1489"/>
        <item x="1496"/>
        <item x="1530"/>
        <item x="1547"/>
        <item x="1551"/>
        <item x="1553"/>
        <item x="1558"/>
        <item x="1569"/>
        <item x="1590"/>
        <item x="1592"/>
        <item x="1602"/>
        <item x="1618"/>
        <item x="1624"/>
        <item x="1628"/>
        <item x="1632"/>
        <item x="1644"/>
        <item x="1651"/>
        <item x="1652"/>
        <item x="1653"/>
        <item x="1672"/>
        <item x="1681"/>
        <item x="1682"/>
        <item x="1684"/>
        <item t="default"/>
      </items>
    </pivotField>
    <pivotField numFmtId="164" showAll="0">
      <items count="1012">
        <item x="378"/>
        <item x="177"/>
        <item x="840"/>
        <item x="947"/>
        <item x="554"/>
        <item x="130"/>
        <item x="956"/>
        <item x="461"/>
        <item x="354"/>
        <item x="304"/>
        <item x="292"/>
        <item x="844"/>
        <item x="320"/>
        <item x="961"/>
        <item x="670"/>
        <item x="145"/>
        <item x="1001"/>
        <item x="629"/>
        <item x="186"/>
        <item x="592"/>
        <item x="722"/>
        <item x="431"/>
        <item x="593"/>
        <item x="473"/>
        <item x="935"/>
        <item x="147"/>
        <item x="616"/>
        <item x="808"/>
        <item x="991"/>
        <item x="395"/>
        <item x="206"/>
        <item x="831"/>
        <item x="325"/>
        <item x="724"/>
        <item x="718"/>
        <item x="865"/>
        <item x="806"/>
        <item x="674"/>
        <item x="347"/>
        <item x="428"/>
        <item x="301"/>
        <item x="602"/>
        <item x="225"/>
        <item x="653"/>
        <item x="523"/>
        <item x="1003"/>
        <item x="610"/>
        <item x="332"/>
        <item x="419"/>
        <item x="230"/>
        <item x="732"/>
        <item x="367"/>
        <item x="913"/>
        <item x="920"/>
        <item x="894"/>
        <item x="545"/>
        <item x="349"/>
        <item x="404"/>
        <item x="3"/>
        <item x="688"/>
        <item x="851"/>
        <item x="407"/>
        <item x="661"/>
        <item x="864"/>
        <item x="651"/>
        <item x="252"/>
        <item x="943"/>
        <item x="480"/>
        <item x="846"/>
        <item x="758"/>
        <item x="103"/>
        <item x="214"/>
        <item x="986"/>
        <item x="369"/>
        <item x="23"/>
        <item x="457"/>
        <item x="47"/>
        <item x="494"/>
        <item x="707"/>
        <item x="612"/>
        <item x="11"/>
        <item x="972"/>
        <item x="703"/>
        <item x="229"/>
        <item x="562"/>
        <item x="128"/>
        <item x="805"/>
        <item x="704"/>
        <item x="809"/>
        <item x="797"/>
        <item x="42"/>
        <item x="525"/>
        <item x="671"/>
        <item x="439"/>
        <item x="237"/>
        <item x="763"/>
        <item x="52"/>
        <item x="585"/>
        <item x="45"/>
        <item x="503"/>
        <item x="950"/>
        <item x="890"/>
        <item x="861"/>
        <item x="49"/>
        <item x="278"/>
        <item x="393"/>
        <item x="596"/>
        <item x="694"/>
        <item x="125"/>
        <item x="219"/>
        <item x="382"/>
        <item x="415"/>
        <item x="15"/>
        <item x="816"/>
        <item x="870"/>
        <item x="470"/>
        <item x="597"/>
        <item x="635"/>
        <item x="193"/>
        <item x="13"/>
        <item x="340"/>
        <item x="705"/>
        <item x="681"/>
        <item x="605"/>
        <item x="201"/>
        <item x="210"/>
        <item x="466"/>
        <item x="1009"/>
        <item x="468"/>
        <item x="296"/>
        <item x="19"/>
        <item x="631"/>
        <item x="934"/>
        <item x="173"/>
        <item x="176"/>
        <item x="449"/>
        <item x="512"/>
        <item x="143"/>
        <item x="790"/>
        <item x="444"/>
        <item x="342"/>
        <item x="736"/>
        <item x="180"/>
        <item x="583"/>
        <item x="500"/>
        <item x="198"/>
        <item x="68"/>
        <item x="658"/>
        <item x="514"/>
        <item x="836"/>
        <item x="634"/>
        <item x="777"/>
        <item x="993"/>
        <item x="81"/>
        <item x="685"/>
        <item x="131"/>
        <item x="285"/>
        <item x="665"/>
        <item x="375"/>
        <item x="499"/>
        <item x="975"/>
        <item x="159"/>
        <item x="849"/>
        <item x="564"/>
        <item x="361"/>
        <item x="346"/>
        <item x="190"/>
        <item x="196"/>
        <item x="921"/>
        <item x="646"/>
        <item x="565"/>
        <item x="199"/>
        <item x="750"/>
        <item x="751"/>
        <item x="379"/>
        <item x="513"/>
        <item x="698"/>
        <item x="560"/>
        <item x="511"/>
        <item x="255"/>
        <item x="71"/>
        <item x="236"/>
        <item x="46"/>
        <item x="793"/>
        <item x="316"/>
        <item x="410"/>
        <item x="538"/>
        <item x="84"/>
        <item x="338"/>
        <item x="697"/>
        <item x="26"/>
        <item x="348"/>
        <item x="675"/>
        <item x="919"/>
        <item x="644"/>
        <item x="742"/>
        <item x="101"/>
        <item x="696"/>
        <item x="639"/>
        <item x="179"/>
        <item x="678"/>
        <item x="490"/>
        <item x="561"/>
        <item x="582"/>
        <item x="77"/>
        <item x="65"/>
        <item x="337"/>
        <item x="842"/>
        <item x="17"/>
        <item x="189"/>
        <item x="787"/>
        <item x="387"/>
        <item x="745"/>
        <item x="29"/>
        <item x="995"/>
        <item x="97"/>
        <item x="30"/>
        <item x="752"/>
        <item x="843"/>
        <item x="726"/>
        <item x="92"/>
        <item x="952"/>
        <item x="976"/>
        <item x="528"/>
        <item x="353"/>
        <item x="243"/>
        <item x="212"/>
        <item x="908"/>
        <item x="295"/>
        <item x="352"/>
        <item x="195"/>
        <item x="533"/>
        <item x="549"/>
        <item x="859"/>
        <item x="170"/>
        <item x="239"/>
        <item x="372"/>
        <item x="417"/>
        <item x="927"/>
        <item x="165"/>
        <item x="306"/>
        <item x="133"/>
        <item x="363"/>
        <item x="832"/>
        <item x="235"/>
        <item x="526"/>
        <item x="33"/>
        <item x="72"/>
        <item x="566"/>
        <item x="20"/>
        <item x="288"/>
        <item x="676"/>
        <item x="265"/>
        <item x="853"/>
        <item x="121"/>
        <item x="120"/>
        <item x="162"/>
        <item x="82"/>
        <item x="759"/>
        <item x="432"/>
        <item x="941"/>
        <item x="517"/>
        <item x="137"/>
        <item x="406"/>
        <item x="9"/>
        <item x="914"/>
        <item x="75"/>
        <item x="515"/>
        <item x="967"/>
        <item x="154"/>
        <item x="309"/>
        <item x="996"/>
        <item x="274"/>
        <item x="821"/>
        <item x="795"/>
        <item x="259"/>
        <item x="234"/>
        <item x="220"/>
        <item x="289"/>
        <item x="633"/>
        <item x="185"/>
        <item x="60"/>
        <item x="192"/>
        <item x="590"/>
        <item x="303"/>
        <item x="111"/>
        <item x="622"/>
        <item x="341"/>
        <item x="155"/>
        <item x="308"/>
        <item x="471"/>
        <item x="600"/>
        <item x="701"/>
        <item x="823"/>
        <item x="858"/>
        <item x="862"/>
        <item x="532"/>
        <item x="938"/>
        <item x="1"/>
        <item x="266"/>
        <item x="37"/>
        <item x="965"/>
        <item x="64"/>
        <item x="508"/>
        <item x="955"/>
        <item x="211"/>
        <item x="509"/>
        <item x="578"/>
        <item x="335"/>
        <item x="218"/>
        <item x="746"/>
        <item x="541"/>
        <item x="284"/>
        <item x="664"/>
        <item x="141"/>
        <item x="822"/>
        <item x="672"/>
        <item x="559"/>
        <item x="520"/>
        <item x="43"/>
        <item x="714"/>
        <item x="78"/>
        <item x="453"/>
        <item x="957"/>
        <item x="568"/>
        <item x="669"/>
        <item x="280"/>
        <item x="182"/>
        <item x="603"/>
        <item x="248"/>
        <item x="871"/>
        <item x="728"/>
        <item x="534"/>
        <item x="402"/>
        <item x="144"/>
        <item x="663"/>
        <item x="132"/>
        <item x="501"/>
        <item x="516"/>
        <item x="969"/>
        <item x="529"/>
        <item x="343"/>
        <item x="580"/>
        <item x="929"/>
        <item x="764"/>
        <item x="988"/>
        <item x="171"/>
        <item x="662"/>
        <item x="785"/>
        <item x="958"/>
        <item x="12"/>
        <item x="469"/>
        <item x="83"/>
        <item x="362"/>
        <item x="34"/>
        <item x="673"/>
        <item x="835"/>
        <item x="715"/>
        <item x="573"/>
        <item x="708"/>
        <item x="194"/>
        <item x="293"/>
        <item x="933"/>
        <item x="389"/>
        <item x="770"/>
        <item x="245"/>
        <item x="98"/>
        <item x="910"/>
        <item x="904"/>
        <item x="459"/>
        <item x="314"/>
        <item x="168"/>
        <item x="686"/>
        <item x="833"/>
        <item x="572"/>
        <item x="587"/>
        <item x="502"/>
        <item x="226"/>
        <item x="167"/>
        <item x="200"/>
        <item x="344"/>
        <item x="153"/>
        <item x="854"/>
        <item x="860"/>
        <item x="55"/>
        <item x="5"/>
        <item x="677"/>
        <item x="305"/>
        <item x="462"/>
        <item x="794"/>
        <item x="458"/>
        <item x="604"/>
        <item x="16"/>
        <item x="543"/>
        <item x="796"/>
        <item x="79"/>
        <item x="478"/>
        <item x="643"/>
        <item x="891"/>
        <item x="877"/>
        <item x="656"/>
        <item x="114"/>
        <item x="257"/>
        <item x="827"/>
        <item x="971"/>
        <item x="358"/>
        <item x="479"/>
        <item x="576"/>
        <item x="518"/>
        <item x="951"/>
        <item x="14"/>
        <item x="169"/>
        <item x="488"/>
        <item x="812"/>
        <item x="1007"/>
        <item x="32"/>
        <item x="740"/>
        <item x="786"/>
        <item x="537"/>
        <item x="825"/>
        <item x="377"/>
        <item x="973"/>
        <item x="754"/>
        <item x="826"/>
        <item x="497"/>
        <item x="869"/>
        <item x="317"/>
        <item x="127"/>
        <item x="847"/>
        <item x="841"/>
        <item x="771"/>
        <item x="123"/>
        <item x="692"/>
        <item x="625"/>
        <item x="102"/>
        <item x="62"/>
        <item x="302"/>
        <item x="247"/>
        <item x="741"/>
        <item x="536"/>
        <item x="454"/>
        <item x="700"/>
        <item x="682"/>
        <item x="209"/>
        <item x="798"/>
        <item x="100"/>
        <item x="420"/>
        <item x="779"/>
        <item x="780"/>
        <item x="264"/>
        <item x="339"/>
        <item x="498"/>
        <item x="937"/>
        <item x="834"/>
        <item x="743"/>
        <item x="1004"/>
        <item x="982"/>
        <item x="765"/>
        <item x="1010"/>
        <item x="505"/>
        <item x="979"/>
        <item x="160"/>
        <item x="356"/>
        <item x="558"/>
        <item x="397"/>
        <item x="883"/>
        <item x="187"/>
        <item x="232"/>
        <item x="228"/>
        <item x="987"/>
        <item x="760"/>
        <item x="720"/>
        <item x="421"/>
        <item x="6"/>
        <item x="483"/>
        <item x="948"/>
        <item x="739"/>
        <item x="990"/>
        <item x="895"/>
        <item x="222"/>
        <item x="487"/>
        <item x="96"/>
        <item x="1005"/>
        <item x="530"/>
        <item x="588"/>
        <item x="291"/>
        <item x="56"/>
        <item x="54"/>
        <item x="140"/>
        <item x="443"/>
        <item x="299"/>
        <item x="1000"/>
        <item x="774"/>
        <item x="577"/>
        <item x="589"/>
        <item x="422"/>
        <item x="203"/>
        <item x="710"/>
        <item x="44"/>
        <item x="238"/>
        <item x="311"/>
        <item x="767"/>
        <item x="875"/>
        <item x="974"/>
        <item x="949"/>
        <item x="725"/>
        <item x="804"/>
        <item x="772"/>
        <item x="888"/>
        <item x="412"/>
        <item x="731"/>
        <item x="326"/>
        <item x="188"/>
        <item x="884"/>
        <item x="702"/>
        <item x="281"/>
        <item x="424"/>
        <item x="294"/>
        <item x="138"/>
        <item x="866"/>
        <item x="599"/>
        <item x="69"/>
        <item x="164"/>
        <item x="124"/>
        <item x="491"/>
        <item x="620"/>
        <item x="408"/>
        <item x="134"/>
        <item x="839"/>
        <item x="903"/>
        <item x="129"/>
        <item x="208"/>
        <item x="571"/>
        <item x="376"/>
        <item x="139"/>
        <item x="149"/>
        <item x="601"/>
        <item x="41"/>
        <item x="271"/>
        <item x="442"/>
        <item x="626"/>
        <item x="557"/>
        <item x="652"/>
        <item x="35"/>
        <item x="709"/>
        <item x="70"/>
        <item x="261"/>
        <item x="135"/>
        <item x="150"/>
        <item x="723"/>
        <item x="621"/>
        <item x="535"/>
        <item x="800"/>
        <item x="107"/>
        <item x="983"/>
        <item x="791"/>
        <item x="273"/>
        <item x="873"/>
        <item x="36"/>
        <item x="197"/>
        <item x="2"/>
        <item x="118"/>
        <item x="912"/>
        <item x="783"/>
        <item x="711"/>
        <item x="837"/>
        <item x="86"/>
        <item x="297"/>
        <item x="606"/>
        <item x="106"/>
        <item x="946"/>
        <item x="104"/>
        <item x="524"/>
        <item x="756"/>
        <item x="638"/>
        <item x="99"/>
        <item x="614"/>
        <item x="224"/>
        <item x="24"/>
        <item x="887"/>
        <item x="166"/>
        <item x="493"/>
        <item x="789"/>
        <item x="727"/>
        <item x="74"/>
        <item x="142"/>
        <item x="21"/>
        <item x="116"/>
        <item x="51"/>
        <item x="594"/>
        <item x="425"/>
        <item x="897"/>
        <item x="409"/>
        <item x="110"/>
        <item x="753"/>
        <item x="57"/>
        <item x="615"/>
        <item x="977"/>
        <item x="446"/>
        <item x="484"/>
        <item x="477"/>
        <item x="350"/>
        <item x="156"/>
        <item x="928"/>
        <item x="437"/>
        <item x="936"/>
        <item x="617"/>
        <item x="680"/>
        <item x="330"/>
        <item x="668"/>
        <item x="574"/>
        <item x="263"/>
        <item x="59"/>
        <item x="87"/>
        <item x="923"/>
        <item x="394"/>
        <item x="1002"/>
        <item x="747"/>
        <item x="450"/>
        <item x="892"/>
        <item x="940"/>
        <item x="322"/>
        <item x="717"/>
        <item x="269"/>
        <item x="838"/>
        <item x="761"/>
        <item x="319"/>
        <item x="399"/>
        <item x="456"/>
        <item x="552"/>
        <item x="175"/>
        <item x="433"/>
        <item x="485"/>
        <item x="916"/>
        <item x="647"/>
        <item x="495"/>
        <item x="475"/>
        <item x="392"/>
        <item x="691"/>
        <item x="249"/>
        <item x="151"/>
        <item x="161"/>
        <item x="607"/>
        <item x="815"/>
        <item x="926"/>
        <item x="366"/>
        <item x="260"/>
        <item x="256"/>
        <item x="905"/>
        <item x="885"/>
        <item x="813"/>
        <item x="380"/>
        <item x="769"/>
        <item x="253"/>
        <item x="163"/>
        <item x="401"/>
        <item x="690"/>
        <item x="828"/>
        <item x="649"/>
        <item x="773"/>
        <item x="321"/>
        <item x="645"/>
        <item x="799"/>
        <item x="451"/>
        <item x="886"/>
        <item x="855"/>
        <item x="66"/>
        <item x="217"/>
        <item x="857"/>
        <item x="93"/>
        <item x="522"/>
        <item x="384"/>
        <item x="819"/>
        <item x="216"/>
        <item x="279"/>
        <item x="85"/>
        <item x="581"/>
        <item x="845"/>
        <item x="788"/>
        <item x="323"/>
        <item x="755"/>
        <item x="762"/>
        <item x="981"/>
        <item x="117"/>
        <item x="396"/>
        <item x="784"/>
        <item x="591"/>
        <item x="901"/>
        <item x="896"/>
        <item x="848"/>
        <item x="642"/>
        <item x="683"/>
        <item x="553"/>
        <item x="876"/>
        <item x="609"/>
        <item x="277"/>
        <item x="738"/>
        <item x="766"/>
        <item x="126"/>
        <item x="654"/>
        <item x="328"/>
        <item x="852"/>
        <item x="429"/>
        <item x="464"/>
        <item x="666"/>
        <item x="441"/>
        <item x="360"/>
        <item x="381"/>
        <item x="400"/>
        <item x="579"/>
        <item x="544"/>
        <item x="414"/>
        <item x="931"/>
        <item x="202"/>
        <item x="551"/>
        <item x="436"/>
        <item x="985"/>
        <item x="874"/>
        <item x="386"/>
        <item x="820"/>
        <item x="184"/>
        <item x="712"/>
        <item x="73"/>
        <item x="679"/>
        <item x="810"/>
        <item x="546"/>
        <item x="942"/>
        <item x="539"/>
        <item x="730"/>
        <item x="624"/>
        <item x="88"/>
        <item x="434"/>
        <item x="632"/>
        <item x="22"/>
        <item x="555"/>
        <item x="868"/>
        <item x="283"/>
        <item x="158"/>
        <item x="416"/>
        <item x="227"/>
        <item x="542"/>
        <item x="452"/>
        <item x="327"/>
        <item x="719"/>
        <item x="119"/>
        <item x="695"/>
        <item x="426"/>
        <item x="627"/>
        <item x="496"/>
        <item x="999"/>
        <item x="329"/>
        <item x="997"/>
        <item x="50"/>
        <item x="39"/>
        <item x="716"/>
        <item x="994"/>
        <item x="61"/>
        <item x="373"/>
        <item x="268"/>
        <item x="729"/>
        <item x="659"/>
        <item x="608"/>
        <item x="448"/>
        <item x="527"/>
        <item x="968"/>
        <item x="925"/>
        <item x="312"/>
        <item x="474"/>
        <item x="290"/>
        <item x="915"/>
        <item x="907"/>
        <item x="148"/>
        <item x="850"/>
        <item x="667"/>
        <item x="984"/>
        <item x="430"/>
        <item x="351"/>
        <item x="174"/>
        <item x="492"/>
        <item x="80"/>
        <item x="966"/>
        <item x="660"/>
        <item x="569"/>
        <item x="970"/>
        <item x="735"/>
        <item x="829"/>
        <item x="191"/>
        <item x="181"/>
        <item x="438"/>
        <item x="778"/>
        <item x="7"/>
        <item x="463"/>
        <item x="628"/>
        <item x="460"/>
        <item x="40"/>
        <item x="684"/>
        <item x="598"/>
        <item x="814"/>
        <item x="152"/>
        <item x="863"/>
        <item x="53"/>
        <item x="115"/>
        <item x="776"/>
        <item x="205"/>
        <item x="856"/>
        <item x="803"/>
        <item x="945"/>
        <item x="824"/>
        <item x="146"/>
        <item x="310"/>
        <item x="427"/>
        <item x="465"/>
        <item x="953"/>
        <item x="333"/>
        <item x="781"/>
        <item x="359"/>
        <item x="556"/>
        <item x="963"/>
        <item x="1008"/>
        <item x="244"/>
        <item x="94"/>
        <item x="563"/>
        <item x="204"/>
        <item x="334"/>
        <item x="959"/>
        <item x="357"/>
        <item x="38"/>
        <item x="521"/>
        <item x="413"/>
        <item x="345"/>
        <item x="8"/>
        <item x="122"/>
        <item x="300"/>
        <item x="640"/>
        <item x="108"/>
        <item x="748"/>
        <item x="906"/>
        <item x="900"/>
        <item x="207"/>
        <item x="221"/>
        <item x="262"/>
        <item x="980"/>
        <item x="757"/>
        <item x="374"/>
        <item x="67"/>
        <item x="286"/>
        <item x="744"/>
        <item x="440"/>
        <item x="807"/>
        <item x="960"/>
        <item x="388"/>
        <item x="10"/>
        <item x="540"/>
        <item x="939"/>
        <item x="298"/>
        <item x="510"/>
        <item x="215"/>
        <item x="507"/>
        <item x="584"/>
        <item x="136"/>
        <item x="250"/>
        <item x="76"/>
        <item x="89"/>
        <item x="365"/>
        <item x="801"/>
        <item x="213"/>
        <item x="802"/>
        <item x="882"/>
        <item x="390"/>
        <item x="246"/>
        <item x="930"/>
        <item x="91"/>
        <item x="307"/>
        <item x="435"/>
        <item x="687"/>
        <item x="775"/>
        <item x="899"/>
        <item x="48"/>
        <item x="403"/>
        <item x="917"/>
        <item x="613"/>
        <item x="371"/>
        <item x="481"/>
        <item x="242"/>
        <item x="109"/>
        <item x="519"/>
        <item x="989"/>
        <item x="962"/>
        <item x="105"/>
        <item x="619"/>
        <item x="734"/>
        <item x="31"/>
        <item x="411"/>
        <item x="768"/>
        <item x="355"/>
        <item x="385"/>
        <item x="370"/>
        <item x="547"/>
        <item x="331"/>
        <item x="172"/>
        <item x="272"/>
        <item x="233"/>
        <item x="611"/>
        <item x="630"/>
        <item x="287"/>
        <item x="706"/>
        <item x="95"/>
        <item x="313"/>
        <item x="276"/>
        <item x="270"/>
        <item x="880"/>
        <item x="655"/>
        <item x="911"/>
        <item x="733"/>
        <item x="324"/>
        <item x="737"/>
        <item x="867"/>
        <item x="637"/>
        <item x="398"/>
        <item x="636"/>
        <item x="792"/>
        <item x="90"/>
        <item x="881"/>
        <item x="964"/>
        <item x="0"/>
        <item x="693"/>
        <item x="567"/>
        <item x="240"/>
        <item x="689"/>
        <item x="472"/>
        <item x="893"/>
        <item x="251"/>
        <item x="231"/>
        <item x="749"/>
        <item x="254"/>
        <item x="650"/>
        <item x="275"/>
        <item x="27"/>
        <item x="486"/>
        <item x="924"/>
        <item x="575"/>
        <item x="455"/>
        <item x="548"/>
        <item x="641"/>
        <item x="998"/>
        <item x="699"/>
        <item x="909"/>
        <item x="383"/>
        <item x="898"/>
        <item x="922"/>
        <item x="918"/>
        <item x="368"/>
        <item x="811"/>
        <item x="391"/>
        <item x="489"/>
        <item x="58"/>
        <item x="713"/>
        <item x="879"/>
        <item x="423"/>
        <item x="889"/>
        <item x="782"/>
        <item x="112"/>
        <item x="648"/>
        <item x="504"/>
        <item x="267"/>
        <item x="183"/>
        <item x="830"/>
        <item x="570"/>
        <item x="467"/>
        <item x="364"/>
        <item x="241"/>
        <item x="872"/>
        <item x="595"/>
        <item x="318"/>
        <item x="445"/>
        <item x="618"/>
        <item x="63"/>
        <item x="482"/>
        <item x="447"/>
        <item x="623"/>
        <item x="586"/>
        <item x="178"/>
        <item x="818"/>
        <item x="954"/>
        <item x="223"/>
        <item x="550"/>
        <item x="932"/>
        <item x="28"/>
        <item x="336"/>
        <item x="531"/>
        <item x="978"/>
        <item x="18"/>
        <item x="315"/>
        <item x="157"/>
        <item x="657"/>
        <item x="506"/>
        <item x="282"/>
        <item x="113"/>
        <item x="25"/>
        <item x="878"/>
        <item x="405"/>
        <item x="4"/>
        <item x="902"/>
        <item x="418"/>
        <item x="944"/>
        <item x="721"/>
        <item x="817"/>
        <item x="258"/>
        <item x="992"/>
        <item x="1006"/>
        <item x="476"/>
        <item t="default"/>
      </items>
    </pivotField>
    <pivotField numFmtId="164" showAll="0">
      <items count="1007">
        <item x="952"/>
        <item x="381"/>
        <item x="938"/>
        <item x="838"/>
        <item x="130"/>
        <item x="470"/>
        <item x="355"/>
        <item x="951"/>
        <item x="304"/>
        <item x="292"/>
        <item x="729"/>
        <item x="843"/>
        <item x="676"/>
        <item x="145"/>
        <item x="319"/>
        <item x="605"/>
        <item x="432"/>
        <item x="188"/>
        <item x="482"/>
        <item x="792"/>
        <item x="606"/>
        <item x="147"/>
        <item x="626"/>
        <item x="982"/>
        <item x="980"/>
        <item x="720"/>
        <item x="989"/>
        <item x="209"/>
        <item x="397"/>
        <item x="825"/>
        <item x="790"/>
        <item x="879"/>
        <item x="326"/>
        <item x="718"/>
        <item x="865"/>
        <item x="800"/>
        <item x="518"/>
        <item x="347"/>
        <item x="679"/>
        <item x="300"/>
        <item x="631"/>
        <item x="662"/>
        <item x="428"/>
        <item x="871"/>
        <item x="228"/>
        <item x="624"/>
        <item x="419"/>
        <item x="334"/>
        <item x="235"/>
        <item x="368"/>
        <item x="733"/>
        <item x="554"/>
        <item x="643"/>
        <item x="405"/>
        <item x="351"/>
        <item x="819"/>
        <item x="829"/>
        <item x="408"/>
        <item x="3"/>
        <item x="984"/>
        <item x="670"/>
        <item x="256"/>
        <item x="661"/>
        <item x="488"/>
        <item x="404"/>
        <item x="845"/>
        <item x="105"/>
        <item x="641"/>
        <item x="23"/>
        <item x="977"/>
        <item x="217"/>
        <item x="502"/>
        <item x="370"/>
        <item x="462"/>
        <item x="48"/>
        <item x="706"/>
        <item x="966"/>
        <item x="391"/>
        <item x="656"/>
        <item x="625"/>
        <item x="11"/>
        <item x="905"/>
        <item x="570"/>
        <item x="665"/>
        <item x="396"/>
        <item x="128"/>
        <item x="645"/>
        <item x="42"/>
        <item x="544"/>
        <item x="327"/>
        <item x="534"/>
        <item x="86"/>
        <item x="441"/>
        <item x="796"/>
        <item x="526"/>
        <item x="162"/>
        <item x="52"/>
        <item x="510"/>
        <item x="46"/>
        <item x="941"/>
        <item x="948"/>
        <item x="889"/>
        <item x="50"/>
        <item x="279"/>
        <item x="395"/>
        <item x="682"/>
        <item x="618"/>
        <item x="221"/>
        <item x="385"/>
        <item x="693"/>
        <item x="125"/>
        <item x="552"/>
        <item x="609"/>
        <item x="479"/>
        <item x="15"/>
        <item x="13"/>
        <item x="747"/>
        <item x="342"/>
        <item x="469"/>
        <item x="196"/>
        <item x="1000"/>
        <item x="213"/>
        <item x="620"/>
        <item x="935"/>
        <item x="19"/>
        <item x="851"/>
        <item x="296"/>
        <item x="179"/>
        <item x="821"/>
        <item x="860"/>
        <item x="449"/>
        <item x="176"/>
        <item x="143"/>
        <item x="663"/>
        <item x="654"/>
        <item x="444"/>
        <item x="517"/>
        <item x="735"/>
        <item x="617"/>
        <item x="182"/>
        <item x="507"/>
        <item x="201"/>
        <item x="343"/>
        <item x="632"/>
        <item x="69"/>
        <item x="667"/>
        <item x="520"/>
        <item x="836"/>
        <item x="1003"/>
        <item x="774"/>
        <item x="986"/>
        <item x="647"/>
        <item x="82"/>
        <item x="131"/>
        <item x="248"/>
        <item x="849"/>
        <item x="377"/>
        <item x="285"/>
        <item x="629"/>
        <item x="677"/>
        <item x="161"/>
        <item x="572"/>
        <item x="968"/>
        <item x="247"/>
        <item x="362"/>
        <item x="192"/>
        <item x="734"/>
        <item x="957"/>
        <item x="199"/>
        <item x="203"/>
        <item x="382"/>
        <item x="569"/>
        <item x="589"/>
        <item x="974"/>
        <item x="744"/>
        <item x="568"/>
        <item x="487"/>
        <item x="258"/>
        <item x="72"/>
        <item x="239"/>
        <item x="47"/>
        <item x="965"/>
        <item x="683"/>
        <item x="313"/>
        <item x="85"/>
        <item x="501"/>
        <item x="339"/>
        <item x="26"/>
        <item x="348"/>
        <item x="962"/>
        <item x="211"/>
        <item x="666"/>
        <item x="883"/>
        <item x="987"/>
        <item x="103"/>
        <item x="738"/>
        <item x="558"/>
        <item x="181"/>
        <item x="785"/>
        <item x="695"/>
        <item x="652"/>
        <item x="498"/>
        <item x="783"/>
        <item x="78"/>
        <item x="65"/>
        <item x="593"/>
        <item x="842"/>
        <item x="379"/>
        <item x="466"/>
        <item x="17"/>
        <item x="835"/>
        <item x="755"/>
        <item x="191"/>
        <item x="99"/>
        <item x="30"/>
        <item x="29"/>
        <item x="748"/>
        <item x="725"/>
        <item x="945"/>
        <item x="983"/>
        <item x="969"/>
        <item x="354"/>
        <item x="245"/>
        <item x="94"/>
        <item x="918"/>
        <item x="295"/>
        <item x="587"/>
        <item x="198"/>
        <item x="557"/>
        <item x="539"/>
        <item x="353"/>
        <item x="861"/>
        <item x="173"/>
        <item x="241"/>
        <item x="758"/>
        <item x="341"/>
        <item x="374"/>
        <item x="915"/>
        <item x="168"/>
        <item x="418"/>
        <item x="232"/>
        <item x="364"/>
        <item x="134"/>
        <item x="727"/>
        <item x="892"/>
        <item x="73"/>
        <item x="33"/>
        <item x="475"/>
        <item x="468"/>
        <item x="687"/>
        <item x="288"/>
        <item x="20"/>
        <item x="852"/>
        <item x="320"/>
        <item x="267"/>
        <item x="574"/>
        <item x="120"/>
        <item x="165"/>
        <item x="121"/>
        <item x="433"/>
        <item x="795"/>
        <item x="83"/>
        <item x="524"/>
        <item x="881"/>
        <item x="138"/>
        <item x="9"/>
        <item x="635"/>
        <item x="194"/>
        <item x="76"/>
        <item x="522"/>
        <item x="893"/>
        <item x="275"/>
        <item x="306"/>
        <item x="811"/>
        <item x="793"/>
        <item x="238"/>
        <item x="261"/>
        <item x="543"/>
        <item x="658"/>
        <item x="289"/>
        <item x="222"/>
        <item x="187"/>
        <item x="349"/>
        <item x="195"/>
        <item x="303"/>
        <item x="60"/>
        <item x="633"/>
        <item x="830"/>
        <item x="112"/>
        <item x="480"/>
        <item x="157"/>
        <item x="614"/>
        <item x="713"/>
        <item x="814"/>
        <item x="700"/>
        <item x="874"/>
        <item x="859"/>
        <item x="863"/>
        <item x="1"/>
        <item x="538"/>
        <item x="37"/>
        <item x="707"/>
        <item x="64"/>
        <item x="231"/>
        <item x="947"/>
        <item x="215"/>
        <item x="516"/>
        <item x="515"/>
        <item x="669"/>
        <item x="220"/>
        <item x="586"/>
        <item x="337"/>
        <item x="550"/>
        <item x="284"/>
        <item x="763"/>
        <item x="813"/>
        <item x="873"/>
        <item x="142"/>
        <item x="681"/>
        <item x="529"/>
        <item x="567"/>
        <item x="770"/>
        <item x="43"/>
        <item x="79"/>
        <item x="903"/>
        <item x="456"/>
        <item x="577"/>
        <item x="184"/>
        <item x="281"/>
        <item x="870"/>
        <item x="728"/>
        <item x="252"/>
        <item x="615"/>
        <item x="541"/>
        <item x="402"/>
        <item x="672"/>
        <item x="508"/>
        <item x="144"/>
        <item x="132"/>
        <item x="535"/>
        <item x="591"/>
        <item x="344"/>
        <item x="917"/>
        <item x="463"/>
        <item x="979"/>
        <item x="671"/>
        <item x="174"/>
        <item x="12"/>
        <item x="702"/>
        <item x="84"/>
        <item x="953"/>
        <item x="34"/>
        <item x="363"/>
        <item x="772"/>
        <item x="846"/>
        <item x="601"/>
        <item x="715"/>
        <item x="868"/>
        <item x="581"/>
        <item x="197"/>
        <item x="921"/>
        <item x="293"/>
        <item x="762"/>
        <item x="246"/>
        <item x="392"/>
        <item x="100"/>
        <item x="467"/>
        <item x="897"/>
        <item x="310"/>
        <item x="901"/>
        <item x="689"/>
        <item x="827"/>
        <item x="170"/>
        <item x="580"/>
        <item x="600"/>
        <item x="509"/>
        <item x="345"/>
        <item x="154"/>
        <item x="204"/>
        <item x="530"/>
        <item x="229"/>
        <item x="826"/>
        <item x="943"/>
        <item x="55"/>
        <item x="513"/>
        <item x="5"/>
        <item x="464"/>
        <item x="616"/>
        <item x="571"/>
        <item x="16"/>
        <item x="472"/>
        <item x="950"/>
        <item x="854"/>
        <item x="613"/>
        <item x="80"/>
        <item x="452"/>
        <item x="890"/>
        <item x="878"/>
        <item x="486"/>
        <item x="664"/>
        <item x="115"/>
        <item x="359"/>
        <item x="525"/>
        <item x="576"/>
        <item x="875"/>
        <item x="14"/>
        <item x="171"/>
        <item x="805"/>
        <item x="495"/>
        <item x="32"/>
        <item x="919"/>
        <item x="916"/>
        <item x="808"/>
        <item x="788"/>
        <item x="546"/>
        <item x="380"/>
        <item x="749"/>
        <item x="505"/>
        <item x="127"/>
        <item x="314"/>
        <item x="139"/>
        <item x="839"/>
        <item x="869"/>
        <item x="764"/>
        <item x="847"/>
        <item x="123"/>
        <item x="350"/>
        <item x="104"/>
        <item x="637"/>
        <item x="250"/>
        <item x="302"/>
        <item x="62"/>
        <item x="639"/>
        <item x="545"/>
        <item x="798"/>
        <item x="212"/>
        <item x="457"/>
        <item x="797"/>
        <item x="102"/>
        <item x="133"/>
        <item x="778"/>
        <item x="420"/>
        <item x="794"/>
        <item x="266"/>
        <item x="777"/>
        <item x="802"/>
        <item x="765"/>
        <item x="506"/>
        <item x="340"/>
        <item x="828"/>
        <item x="739"/>
        <item x="973"/>
        <item x="511"/>
        <item x="1005"/>
        <item x="757"/>
        <item x="996"/>
        <item x="971"/>
        <item x="521"/>
        <item x="704"/>
        <item x="357"/>
        <item x="163"/>
        <item x="596"/>
        <item x="588"/>
        <item x="678"/>
        <item x="566"/>
        <item x="978"/>
        <item x="234"/>
        <item x="189"/>
        <item x="594"/>
        <item x="421"/>
        <item x="523"/>
        <item x="6"/>
        <item x="489"/>
        <item x="149"/>
        <item x="519"/>
        <item x="909"/>
        <item x="224"/>
        <item x="98"/>
        <item x="493"/>
        <item x="833"/>
        <item x="602"/>
        <item x="997"/>
        <item x="688"/>
        <item x="251"/>
        <item x="536"/>
        <item x="56"/>
        <item x="963"/>
        <item x="172"/>
        <item x="54"/>
        <item x="141"/>
        <item x="291"/>
        <item x="298"/>
        <item x="651"/>
        <item x="585"/>
        <item x="769"/>
        <item x="832"/>
        <item x="603"/>
        <item x="422"/>
        <item x="206"/>
        <item x="841"/>
        <item x="946"/>
        <item x="240"/>
        <item x="45"/>
        <item x="911"/>
        <item x="709"/>
        <item x="760"/>
        <item x="940"/>
        <item x="724"/>
        <item x="767"/>
        <item x="937"/>
        <item x="731"/>
        <item x="887"/>
        <item x="190"/>
        <item x="934"/>
        <item x="282"/>
        <item x="424"/>
        <item x="723"/>
        <item x="992"/>
        <item x="294"/>
        <item x="701"/>
        <item x="140"/>
        <item x="430"/>
        <item x="630"/>
        <item x="70"/>
        <item x="124"/>
        <item x="499"/>
        <item x="167"/>
        <item x="711"/>
        <item x="156"/>
        <item x="680"/>
        <item x="410"/>
        <item x="135"/>
        <item x="378"/>
        <item x="129"/>
        <item x="150"/>
        <item x="41"/>
        <item x="964"/>
        <item x="638"/>
        <item x="443"/>
        <item x="35"/>
        <item x="565"/>
        <item x="856"/>
        <item x="71"/>
        <item x="68"/>
        <item x="459"/>
        <item x="329"/>
        <item x="136"/>
        <item x="263"/>
        <item x="151"/>
        <item x="722"/>
        <item x="109"/>
        <item x="542"/>
        <item x="791"/>
        <item x="274"/>
        <item x="958"/>
        <item x="36"/>
        <item x="837"/>
        <item x="200"/>
        <item x="2"/>
        <item x="540"/>
        <item x="740"/>
        <item x="781"/>
        <item x="746"/>
        <item x="906"/>
        <item x="88"/>
        <item x="108"/>
        <item x="936"/>
        <item x="533"/>
        <item x="696"/>
        <item x="751"/>
        <item x="106"/>
        <item x="867"/>
        <item x="455"/>
        <item x="714"/>
        <item x="44"/>
        <item x="24"/>
        <item x="169"/>
        <item x="101"/>
        <item x="227"/>
        <item x="885"/>
        <item x="993"/>
        <item x="75"/>
        <item x="117"/>
        <item x="920"/>
        <item x="21"/>
        <item x="949"/>
        <item x="51"/>
        <item x="425"/>
        <item x="607"/>
        <item x="895"/>
        <item x="745"/>
        <item x="831"/>
        <item x="57"/>
        <item x="411"/>
        <item x="595"/>
        <item x="998"/>
        <item x="490"/>
        <item x="611"/>
        <item x="494"/>
        <item x="214"/>
        <item x="446"/>
        <item x="551"/>
        <item x="461"/>
        <item x="437"/>
        <item x="653"/>
        <item x="158"/>
        <item x="685"/>
        <item x="627"/>
        <item x="583"/>
        <item x="753"/>
        <item x="332"/>
        <item x="675"/>
        <item x="771"/>
        <item x="59"/>
        <item x="265"/>
        <item x="155"/>
        <item x="742"/>
        <item x="450"/>
        <item x="270"/>
        <item x="323"/>
        <item x="942"/>
        <item x="754"/>
        <item x="717"/>
        <item x="460"/>
        <item x="684"/>
        <item x="316"/>
        <item x="400"/>
        <item x="561"/>
        <item x="178"/>
        <item x="434"/>
        <item x="491"/>
        <item x="503"/>
        <item x="908"/>
        <item x="822"/>
        <item x="394"/>
        <item x="691"/>
        <item x="944"/>
        <item x="484"/>
        <item x="164"/>
        <item x="896"/>
        <item x="784"/>
        <item x="253"/>
        <item x="152"/>
        <item x="621"/>
        <item x="367"/>
        <item x="787"/>
        <item x="262"/>
        <item x="259"/>
        <item x="761"/>
        <item x="383"/>
        <item x="257"/>
        <item x="166"/>
        <item x="818"/>
        <item x="690"/>
        <item x="660"/>
        <item x="321"/>
        <item x="655"/>
        <item x="786"/>
        <item x="451"/>
        <item x="659"/>
        <item x="66"/>
        <item x="853"/>
        <item x="453"/>
        <item x="858"/>
        <item x="95"/>
        <item x="866"/>
        <item x="898"/>
        <item x="532"/>
        <item x="809"/>
        <item x="387"/>
        <item x="219"/>
        <item x="726"/>
        <item x="280"/>
        <item x="87"/>
        <item x="592"/>
        <item x="862"/>
        <item x="737"/>
        <item x="844"/>
        <item x="972"/>
        <item x="118"/>
        <item x="324"/>
        <item x="756"/>
        <item x="782"/>
        <item x="750"/>
        <item x="894"/>
        <item x="398"/>
        <item x="604"/>
        <item x="686"/>
        <item x="562"/>
        <item x="876"/>
        <item x="848"/>
        <item x="657"/>
        <item x="278"/>
        <item x="650"/>
        <item x="759"/>
        <item x="623"/>
        <item x="736"/>
        <item x="1004"/>
        <item x="126"/>
        <item x="330"/>
        <item x="471"/>
        <item x="429"/>
        <item x="981"/>
        <item x="527"/>
        <item x="474"/>
        <item x="361"/>
        <item x="673"/>
        <item x="401"/>
        <item x="384"/>
        <item x="416"/>
        <item x="590"/>
        <item x="553"/>
        <item x="560"/>
        <item x="205"/>
        <item x="961"/>
        <item x="976"/>
        <item x="389"/>
        <item x="810"/>
        <item x="186"/>
        <item x="710"/>
        <item x="74"/>
        <item x="882"/>
        <item x="768"/>
        <item x="816"/>
        <item x="555"/>
        <item x="547"/>
        <item x="804"/>
        <item x="930"/>
        <item x="435"/>
        <item x="646"/>
        <item x="268"/>
        <item x="90"/>
        <item x="283"/>
        <item x="22"/>
        <item x="301"/>
        <item x="857"/>
        <item x="160"/>
        <item x="497"/>
        <item x="907"/>
        <item x="322"/>
        <item x="233"/>
        <item x="1002"/>
        <item x="719"/>
        <item x="119"/>
        <item x="823"/>
        <item x="312"/>
        <item x="478"/>
        <item x="328"/>
        <item x="426"/>
        <item x="694"/>
        <item x="640"/>
        <item x="504"/>
        <item x="331"/>
        <item x="412"/>
        <item x="39"/>
        <item x="988"/>
        <item x="61"/>
        <item x="716"/>
        <item x="269"/>
        <item x="995"/>
        <item x="730"/>
        <item x="598"/>
        <item x="375"/>
        <item x="448"/>
        <item x="622"/>
        <item x="914"/>
        <item x="884"/>
        <item x="483"/>
        <item x="308"/>
        <item x="290"/>
        <item x="674"/>
        <item x="975"/>
        <item x="990"/>
        <item x="148"/>
        <item x="900"/>
        <item x="850"/>
        <item x="431"/>
        <item x="352"/>
        <item x="668"/>
        <item x="803"/>
        <item x="177"/>
        <item x="500"/>
        <item x="81"/>
        <item x="578"/>
        <item x="820"/>
        <item x="193"/>
        <item x="183"/>
        <item x="439"/>
        <item x="877"/>
        <item x="7"/>
        <item x="775"/>
        <item x="473"/>
        <item x="610"/>
        <item x="999"/>
        <item x="438"/>
        <item x="40"/>
        <item x="153"/>
        <item x="864"/>
        <item x="53"/>
        <item x="208"/>
        <item x="116"/>
        <item x="773"/>
        <item x="817"/>
        <item x="815"/>
        <item x="834"/>
        <item x="146"/>
        <item x="307"/>
        <item x="766"/>
        <item x="427"/>
        <item x="335"/>
        <item x="372"/>
        <item x="612"/>
        <item x="564"/>
        <item x="922"/>
        <item x="779"/>
        <item x="360"/>
        <item x="271"/>
        <item x="96"/>
        <item x="336"/>
        <item x="954"/>
        <item x="207"/>
        <item x="358"/>
        <item x="642"/>
        <item x="415"/>
        <item x="38"/>
        <item x="531"/>
        <item x="299"/>
        <item x="202"/>
        <item x="812"/>
        <item x="122"/>
        <item x="8"/>
        <item x="110"/>
        <item x="413"/>
        <item x="230"/>
        <item x="899"/>
        <item x="210"/>
        <item x="223"/>
        <item x="264"/>
        <item x="752"/>
        <item x="376"/>
        <item x="409"/>
        <item x="692"/>
        <item x="67"/>
        <item x="286"/>
        <item x="442"/>
        <item x="955"/>
        <item x="390"/>
        <item x="1001"/>
        <item x="10"/>
        <item x="801"/>
        <item x="924"/>
        <item x="929"/>
        <item x="297"/>
        <item x="218"/>
        <item x="549"/>
        <item x="597"/>
        <item x="806"/>
        <item x="512"/>
        <item x="137"/>
        <item x="254"/>
        <item x="608"/>
        <item x="579"/>
        <item x="77"/>
        <item x="91"/>
        <item x="366"/>
        <item x="216"/>
        <item x="799"/>
        <item x="880"/>
        <item x="407"/>
        <item x="465"/>
        <item x="305"/>
        <item x="939"/>
        <item x="563"/>
        <item x="249"/>
        <item x="436"/>
        <item x="697"/>
        <item x="93"/>
        <item x="970"/>
        <item x="403"/>
        <item x="932"/>
        <item x="373"/>
        <item x="318"/>
        <item x="49"/>
        <item x="244"/>
        <item x="111"/>
        <item x="994"/>
        <item x="548"/>
        <item x="528"/>
        <item x="628"/>
        <item x="960"/>
        <item x="107"/>
        <item x="891"/>
        <item x="417"/>
        <item x="31"/>
        <item x="356"/>
        <item x="414"/>
        <item x="388"/>
        <item x="477"/>
        <item x="556"/>
        <item x="371"/>
        <item x="175"/>
        <item x="273"/>
        <item x="927"/>
        <item x="634"/>
        <item x="333"/>
        <item x="237"/>
        <item x="644"/>
        <item x="705"/>
        <item x="287"/>
        <item x="97"/>
        <item x="309"/>
        <item x="514"/>
        <item x="272"/>
        <item x="277"/>
        <item x="904"/>
        <item x="926"/>
        <item x="648"/>
        <item x="325"/>
        <item x="703"/>
        <item x="399"/>
        <item x="956"/>
        <item x="0"/>
        <item x="92"/>
        <item x="619"/>
        <item x="925"/>
        <item x="575"/>
        <item x="242"/>
        <item x="959"/>
        <item x="923"/>
        <item x="481"/>
        <item x="743"/>
        <item x="454"/>
        <item x="255"/>
        <item x="236"/>
        <item x="346"/>
        <item x="708"/>
        <item x="492"/>
        <item x="276"/>
        <item x="776"/>
        <item x="27"/>
        <item x="458"/>
        <item x="913"/>
        <item x="991"/>
        <item x="649"/>
        <item x="967"/>
        <item x="698"/>
        <item x="386"/>
        <item x="910"/>
        <item x="928"/>
        <item x="369"/>
        <item x="912"/>
        <item x="393"/>
        <item x="440"/>
        <item x="496"/>
        <item x="58"/>
        <item x="712"/>
        <item x="423"/>
        <item x="888"/>
        <item x="225"/>
        <item x="113"/>
        <item x="780"/>
        <item x="886"/>
        <item x="185"/>
        <item x="824"/>
        <item x="699"/>
        <item x="741"/>
        <item x="243"/>
        <item x="584"/>
        <item x="476"/>
        <item x="365"/>
        <item x="315"/>
        <item x="855"/>
        <item x="89"/>
        <item x="63"/>
        <item x="573"/>
        <item x="445"/>
        <item x="636"/>
        <item x="447"/>
        <item x="317"/>
        <item x="789"/>
        <item x="599"/>
        <item x="807"/>
        <item x="180"/>
        <item x="559"/>
        <item x="226"/>
        <item x="338"/>
        <item x="28"/>
        <item x="537"/>
        <item x="840"/>
        <item x="311"/>
        <item x="933"/>
        <item x="18"/>
        <item x="872"/>
        <item x="159"/>
        <item x="902"/>
        <item x="582"/>
        <item x="114"/>
        <item x="25"/>
        <item x="406"/>
        <item x="4"/>
        <item x="260"/>
        <item x="931"/>
        <item x="721"/>
        <item x="732"/>
        <item x="985"/>
        <item x="485"/>
        <item t="default"/>
      </items>
    </pivotField>
    <pivotField axis="axisRow" showAll="0">
      <items count="5">
        <item x="1"/>
        <item x="3"/>
        <item x="0"/>
        <item x="2"/>
        <item t="default"/>
      </items>
    </pivotField>
    <pivotField showAll="0"/>
    <pivotField showAll="0"/>
    <pivotField showAll="0">
      <items count="4">
        <item x="2"/>
        <item x="1"/>
        <item x="0"/>
        <item t="default"/>
      </items>
    </pivotField>
    <pivotField showAll="0"/>
    <pivotField showAll="0">
      <items count="132">
        <item x="110"/>
        <item x="19"/>
        <item x="83"/>
        <item x="32"/>
        <item x="63"/>
        <item x="105"/>
        <item x="61"/>
        <item x="103"/>
        <item x="108"/>
        <item x="59"/>
        <item x="93"/>
        <item x="67"/>
        <item x="46"/>
        <item x="77"/>
        <item x="53"/>
        <item x="35"/>
        <item x="122"/>
        <item x="113"/>
        <item x="79"/>
        <item x="73"/>
        <item x="88"/>
        <item x="37"/>
        <item x="0"/>
        <item x="128"/>
        <item x="36"/>
        <item x="98"/>
        <item x="112"/>
        <item x="80"/>
        <item x="81"/>
        <item x="6"/>
        <item x="1"/>
        <item x="16"/>
        <item x="86"/>
        <item x="13"/>
        <item x="104"/>
        <item x="2"/>
        <item x="20"/>
        <item x="56"/>
        <item x="69"/>
        <item x="3"/>
        <item x="65"/>
        <item x="109"/>
        <item x="4"/>
        <item x="27"/>
        <item x="39"/>
        <item x="72"/>
        <item x="8"/>
        <item x="51"/>
        <item x="106"/>
        <item x="87"/>
        <item x="57"/>
        <item x="119"/>
        <item x="111"/>
        <item x="116"/>
        <item x="34"/>
        <item x="100"/>
        <item x="28"/>
        <item x="5"/>
        <item x="45"/>
        <item x="17"/>
        <item x="121"/>
        <item x="10"/>
        <item x="76"/>
        <item x="95"/>
        <item x="85"/>
        <item x="124"/>
        <item x="22"/>
        <item x="33"/>
        <item x="52"/>
        <item x="68"/>
        <item x="58"/>
        <item x="31"/>
        <item x="114"/>
        <item x="120"/>
        <item x="15"/>
        <item x="92"/>
        <item x="117"/>
        <item x="71"/>
        <item x="78"/>
        <item x="123"/>
        <item x="126"/>
        <item x="84"/>
        <item x="14"/>
        <item x="101"/>
        <item x="48"/>
        <item x="21"/>
        <item x="44"/>
        <item x="118"/>
        <item x="47"/>
        <item x="127"/>
        <item x="30"/>
        <item x="66"/>
        <item x="41"/>
        <item x="7"/>
        <item x="60"/>
        <item x="82"/>
        <item x="50"/>
        <item x="29"/>
        <item x="23"/>
        <item x="96"/>
        <item x="97"/>
        <item x="75"/>
        <item x="125"/>
        <item x="90"/>
        <item x="38"/>
        <item x="43"/>
        <item x="18"/>
        <item x="130"/>
        <item x="89"/>
        <item x="42"/>
        <item x="99"/>
        <item x="9"/>
        <item x="115"/>
        <item x="25"/>
        <item x="12"/>
        <item x="55"/>
        <item x="91"/>
        <item x="74"/>
        <item x="11"/>
        <item x="70"/>
        <item x="54"/>
        <item x="26"/>
        <item x="64"/>
        <item x="24"/>
        <item x="102"/>
        <item x="40"/>
        <item x="107"/>
        <item x="49"/>
        <item x="62"/>
        <item x="129"/>
        <item x="94"/>
        <item t="default"/>
      </items>
    </pivotField>
    <pivotField showAll="0"/>
    <pivotField showAll="0">
      <items count="5">
        <item x="3"/>
        <item x="0"/>
        <item x="1"/>
        <item x="2"/>
        <item t="default"/>
      </items>
    </pivotField>
    <pivotField showAll="0"/>
    <pivotField showAll="0"/>
    <pivotField showAll="0"/>
    <pivotField showAll="0"/>
    <pivotField showAll="0"/>
    <pivotField showAll="0"/>
    <pivotField showAll="0"/>
    <pivotField showAll="0">
      <items count="9">
        <item x="7"/>
        <item x="0"/>
        <item x="1"/>
        <item x="5"/>
        <item x="3"/>
        <item x="4"/>
        <item x="2"/>
        <item x="6"/>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5">
    <i>
      <x/>
    </i>
    <i>
      <x v="1"/>
    </i>
    <i>
      <x v="2"/>
    </i>
    <i>
      <x v="3"/>
    </i>
    <i t="grand">
      <x/>
    </i>
  </rowItems>
  <colItems count="1">
    <i/>
  </colItems>
  <dataFields count="1">
    <dataField name="Count of Order ID" fld="0" subtotal="count" showDataAs="percentOfTotal" baseField="18" baseItem="0" numFmtId="9"/>
  </dataFields>
  <chartFormats count="20">
    <chartFormat chart="13" format="15" series="1">
      <pivotArea type="data" outline="0" fieldPosition="0">
        <references count="1">
          <reference field="4294967294" count="1" selected="0">
            <x v="0"/>
          </reference>
        </references>
      </pivotArea>
    </chartFormat>
    <chartFormat chart="13" format="16">
      <pivotArea type="data" outline="0" fieldPosition="0">
        <references count="2">
          <reference field="4294967294" count="1" selected="0">
            <x v="0"/>
          </reference>
          <reference field="3" count="1" selected="0">
            <x v="0"/>
          </reference>
        </references>
      </pivotArea>
    </chartFormat>
    <chartFormat chart="13" format="17">
      <pivotArea type="data" outline="0" fieldPosition="0">
        <references count="2">
          <reference field="4294967294" count="1" selected="0">
            <x v="0"/>
          </reference>
          <reference field="3" count="1" selected="0">
            <x v="1"/>
          </reference>
        </references>
      </pivotArea>
    </chartFormat>
    <chartFormat chart="13" format="18">
      <pivotArea type="data" outline="0" fieldPosition="0">
        <references count="2">
          <reference field="4294967294" count="1" selected="0">
            <x v="0"/>
          </reference>
          <reference field="3" count="1" selected="0">
            <x v="2"/>
          </reference>
        </references>
      </pivotArea>
    </chartFormat>
    <chartFormat chart="13" format="19">
      <pivotArea type="data" outline="0" fieldPosition="0">
        <references count="2">
          <reference field="4294967294" count="1" selected="0">
            <x v="0"/>
          </reference>
          <reference field="3" count="1" selected="0">
            <x v="3"/>
          </reference>
        </references>
      </pivotArea>
    </chartFormat>
    <chartFormat chart="14" format="20" series="1">
      <pivotArea type="data" outline="0" fieldPosition="0">
        <references count="1">
          <reference field="4294967294" count="1" selected="0">
            <x v="0"/>
          </reference>
        </references>
      </pivotArea>
    </chartFormat>
    <chartFormat chart="14" format="21">
      <pivotArea type="data" outline="0" fieldPosition="0">
        <references count="2">
          <reference field="4294967294" count="1" selected="0">
            <x v="0"/>
          </reference>
          <reference field="3" count="1" selected="0">
            <x v="0"/>
          </reference>
        </references>
      </pivotArea>
    </chartFormat>
    <chartFormat chart="14" format="22">
      <pivotArea type="data" outline="0" fieldPosition="0">
        <references count="2">
          <reference field="4294967294" count="1" selected="0">
            <x v="0"/>
          </reference>
          <reference field="3" count="1" selected="0">
            <x v="1"/>
          </reference>
        </references>
      </pivotArea>
    </chartFormat>
    <chartFormat chart="14" format="23">
      <pivotArea type="data" outline="0" fieldPosition="0">
        <references count="2">
          <reference field="4294967294" count="1" selected="0">
            <x v="0"/>
          </reference>
          <reference field="3" count="1" selected="0">
            <x v="2"/>
          </reference>
        </references>
      </pivotArea>
    </chartFormat>
    <chartFormat chart="14" format="24">
      <pivotArea type="data" outline="0" fieldPosition="0">
        <references count="2">
          <reference field="4294967294" count="1" selected="0">
            <x v="0"/>
          </reference>
          <reference field="3" count="1" selected="0">
            <x v="3"/>
          </reference>
        </references>
      </pivotArea>
    </chartFormat>
    <chartFormat chart="8" format="25" series="1">
      <pivotArea type="data" outline="0" fieldPosition="0">
        <references count="1">
          <reference field="4294967294" count="1" selected="0">
            <x v="0"/>
          </reference>
        </references>
      </pivotArea>
    </chartFormat>
    <chartFormat chart="8" format="26">
      <pivotArea type="data" outline="0" fieldPosition="0">
        <references count="2">
          <reference field="4294967294" count="1" selected="0">
            <x v="0"/>
          </reference>
          <reference field="3" count="1" selected="0">
            <x v="0"/>
          </reference>
        </references>
      </pivotArea>
    </chartFormat>
    <chartFormat chart="8" format="27">
      <pivotArea type="data" outline="0" fieldPosition="0">
        <references count="2">
          <reference field="4294967294" count="1" selected="0">
            <x v="0"/>
          </reference>
          <reference field="3" count="1" selected="0">
            <x v="1"/>
          </reference>
        </references>
      </pivotArea>
    </chartFormat>
    <chartFormat chart="8" format="28">
      <pivotArea type="data" outline="0" fieldPosition="0">
        <references count="2">
          <reference field="4294967294" count="1" selected="0">
            <x v="0"/>
          </reference>
          <reference field="3" count="1" selected="0">
            <x v="2"/>
          </reference>
        </references>
      </pivotArea>
    </chartFormat>
    <chartFormat chart="8" format="29">
      <pivotArea type="data" outline="0" fieldPosition="0">
        <references count="2">
          <reference field="4294967294" count="1" selected="0">
            <x v="0"/>
          </reference>
          <reference field="3" count="1" selected="0">
            <x v="3"/>
          </reference>
        </references>
      </pivotArea>
    </chartFormat>
    <chartFormat chart="19" format="35" series="1">
      <pivotArea type="data" outline="0" fieldPosition="0">
        <references count="1">
          <reference field="4294967294" count="1" selected="0">
            <x v="0"/>
          </reference>
        </references>
      </pivotArea>
    </chartFormat>
    <chartFormat chart="19" format="36">
      <pivotArea type="data" outline="0" fieldPosition="0">
        <references count="2">
          <reference field="4294967294" count="1" selected="0">
            <x v="0"/>
          </reference>
          <reference field="3" count="1" selected="0">
            <x v="0"/>
          </reference>
        </references>
      </pivotArea>
    </chartFormat>
    <chartFormat chart="19" format="37">
      <pivotArea type="data" outline="0" fieldPosition="0">
        <references count="2">
          <reference field="4294967294" count="1" selected="0">
            <x v="0"/>
          </reference>
          <reference field="3" count="1" selected="0">
            <x v="1"/>
          </reference>
        </references>
      </pivotArea>
    </chartFormat>
    <chartFormat chart="19" format="38">
      <pivotArea type="data" outline="0" fieldPosition="0">
        <references count="2">
          <reference field="4294967294" count="1" selected="0">
            <x v="0"/>
          </reference>
          <reference field="3" count="1" selected="0">
            <x v="2"/>
          </reference>
        </references>
      </pivotArea>
    </chartFormat>
    <chartFormat chart="19" format="39">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CBF6FC4C-518E-4E88-A095-FA7D663B234A}" sourceName="Years (Order Date)">
  <pivotTables>
    <pivotTable tabId="2" name="PivotTable4"/>
    <pivotTable tabId="2" name="PivotTable1"/>
    <pivotTable tabId="2" name="PivotTable3"/>
    <pivotTable tabId="2" name="PivotTable5"/>
    <pivotTable tabId="2" name="PivotTable6"/>
    <pivotTable tabId="2" name="PivotTable7"/>
    <pivotTable tabId="2" name="PivotTable8"/>
    <pivotTable tabId="2" name="PivotTable9"/>
    <pivotTable tabId="2" name="PivotTable14"/>
  </pivotTables>
  <data>
    <tabular pivotCacheId="525098706">
      <items count="7">
        <i x="1" s="1"/>
        <i x="2" s="1"/>
        <i x="3" s="1"/>
        <i x="4" s="1"/>
        <i x="0" s="1" nd="1"/>
        <i x="6"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B7D5F4E0-C4C9-4E5B-A62E-83062530EBCB}" sourceName="Segment">
  <pivotTables>
    <pivotTable tabId="2" name="PivotTable14"/>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tabular pivotCacheId="525098706">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7941A2-EFE5-48B0-BB84-84E2D4286C60}" sourceName="Region">
  <pivotTables>
    <pivotTable tabId="2" name="PivotTable14"/>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tabular pivotCacheId="525098706">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xr10:uid="{5B5470B8-86CF-4275-BFDF-DE786D373558}" cache="Slicer_Years__Order_Date" caption="Years (Order Date)" columnCount="2" showCaption="0" style="SlicerStyleLight3 2" rowHeight="288000"/>
  <slicer name="Segment" xr10:uid="{F98E4EAB-A92E-4AC9-8B04-35DAB8BAEEA2}" cache="Slicer_Segment" caption="Segment" columnCount="3" showCaption="0" style="SlicerStyleLight3 2" rowHeight="241300"/>
  <slicer name="Region 1" xr10:uid="{D9D64FBE-AF81-4D45-9317-4234A39A1F08}" cache="Slicer_Region" caption="Region" columnCount="4" showCaption="0" style="SlicerStyleLight3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122"/>
  <sheetViews>
    <sheetView zoomScaleNormal="100" workbookViewId="0">
      <pane ySplit="1" topLeftCell="A2" activePane="bottomLeft" state="frozen"/>
      <selection pane="bottomLeft" activeCell="B1" sqref="B1:B1048576"/>
    </sheetView>
  </sheetViews>
  <sheetFormatPr defaultRowHeight="15" x14ac:dyDescent="0.25"/>
  <cols>
    <col min="1" max="1" width="16" customWidth="1"/>
    <col min="2" max="3" width="13" customWidth="1"/>
    <col min="4" max="4" width="14" customWidth="1"/>
    <col min="5" max="5" width="12" customWidth="1"/>
    <col min="6" max="6" width="18" customWidth="1"/>
    <col min="7" max="7" width="12" customWidth="1"/>
    <col min="8" max="8" width="14" customWidth="1"/>
    <col min="9" max="10" width="16" customWidth="1"/>
    <col min="11" max="11" width="9" customWidth="1"/>
    <col min="12" max="12" width="16" customWidth="1"/>
    <col min="13" max="13" width="11" customWidth="1"/>
    <col min="14" max="14" width="13" customWidth="1"/>
    <col min="15" max="15" width="42" customWidth="1"/>
    <col min="16" max="16" width="11" customWidth="1"/>
    <col min="17" max="17" width="10" customWidth="1"/>
    <col min="18" max="18" width="12" customWidth="1"/>
    <col min="19" max="19" width="11" customWidth="1"/>
    <col min="20" max="20" width="7" customWidth="1"/>
  </cols>
  <sheetData>
    <row r="1" spans="1:20"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row>
    <row r="2" spans="1:20" x14ac:dyDescent="0.25">
      <c r="A2" s="2" t="s">
        <v>20</v>
      </c>
      <c r="B2" s="3">
        <v>42974</v>
      </c>
      <c r="C2" s="3">
        <v>42975</v>
      </c>
      <c r="D2" s="2" t="s">
        <v>21</v>
      </c>
      <c r="E2" s="2" t="s">
        <v>22</v>
      </c>
      <c r="F2" s="2" t="s">
        <v>23</v>
      </c>
      <c r="G2" s="2" t="s">
        <v>24</v>
      </c>
      <c r="H2" s="2" t="s">
        <v>25</v>
      </c>
      <c r="I2" s="2" t="s">
        <v>26</v>
      </c>
      <c r="J2" s="2" t="s">
        <v>27</v>
      </c>
      <c r="K2" s="2" t="s">
        <v>28</v>
      </c>
      <c r="L2" s="2" t="s">
        <v>29</v>
      </c>
      <c r="M2" s="2" t="s">
        <v>30</v>
      </c>
      <c r="N2" s="2" t="s">
        <v>31</v>
      </c>
      <c r="O2" s="2" t="s">
        <v>32</v>
      </c>
      <c r="P2" s="4">
        <v>90.167199999999994</v>
      </c>
      <c r="Q2" s="4">
        <v>3</v>
      </c>
      <c r="R2" s="4">
        <v>-17.2728</v>
      </c>
      <c r="S2" s="2" t="s">
        <v>33</v>
      </c>
      <c r="T2" s="2" t="s">
        <v>34</v>
      </c>
    </row>
    <row r="3" spans="1:20" x14ac:dyDescent="0.25">
      <c r="A3" s="2" t="s">
        <v>35</v>
      </c>
      <c r="B3" s="3">
        <v>42086</v>
      </c>
      <c r="C3" s="3">
        <v>42087</v>
      </c>
      <c r="D3" s="2" t="s">
        <v>21</v>
      </c>
      <c r="E3" s="2" t="s">
        <v>36</v>
      </c>
      <c r="F3" s="2" t="s">
        <v>37</v>
      </c>
      <c r="G3" s="2" t="s">
        <v>38</v>
      </c>
      <c r="H3" s="2" t="s">
        <v>25</v>
      </c>
      <c r="I3" s="2" t="s">
        <v>39</v>
      </c>
      <c r="J3" s="2" t="s">
        <v>40</v>
      </c>
      <c r="K3" s="2" t="s">
        <v>28</v>
      </c>
      <c r="L3" s="2" t="s">
        <v>41</v>
      </c>
      <c r="M3" s="2" t="s">
        <v>30</v>
      </c>
      <c r="N3" s="2" t="s">
        <v>42</v>
      </c>
      <c r="O3" s="2" t="s">
        <v>43</v>
      </c>
      <c r="P3" s="4">
        <v>485.79820000000001</v>
      </c>
      <c r="Q3" s="4">
        <v>4</v>
      </c>
      <c r="R3" s="4">
        <v>171.89439999999999</v>
      </c>
      <c r="S3" s="2" t="s">
        <v>33</v>
      </c>
      <c r="T3" s="2" t="s">
        <v>44</v>
      </c>
    </row>
    <row r="4" spans="1:20" x14ac:dyDescent="0.25">
      <c r="A4" s="2" t="s">
        <v>35</v>
      </c>
      <c r="B4" s="3">
        <v>42086</v>
      </c>
      <c r="C4" s="3">
        <v>42087</v>
      </c>
      <c r="D4" s="2" t="s">
        <v>21</v>
      </c>
      <c r="E4" s="2" t="s">
        <v>36</v>
      </c>
      <c r="F4" s="2" t="s">
        <v>37</v>
      </c>
      <c r="G4" s="2" t="s">
        <v>38</v>
      </c>
      <c r="H4" s="2" t="s">
        <v>25</v>
      </c>
      <c r="I4" s="2" t="s">
        <v>39</v>
      </c>
      <c r="J4" s="2" t="s">
        <v>40</v>
      </c>
      <c r="K4" s="2" t="s">
        <v>28</v>
      </c>
      <c r="L4" s="2" t="s">
        <v>29</v>
      </c>
      <c r="M4" s="2" t="s">
        <v>30</v>
      </c>
      <c r="N4" s="2" t="s">
        <v>31</v>
      </c>
      <c r="O4" s="2" t="s">
        <v>32</v>
      </c>
      <c r="P4" s="4">
        <v>31.037400000000002</v>
      </c>
      <c r="Q4" s="4">
        <v>4</v>
      </c>
      <c r="R4" s="4">
        <v>-0.91290000000000004</v>
      </c>
      <c r="S4" s="2" t="s">
        <v>33</v>
      </c>
      <c r="T4" s="2" t="s">
        <v>44</v>
      </c>
    </row>
    <row r="5" spans="1:20" x14ac:dyDescent="0.25">
      <c r="A5" s="2" t="s">
        <v>35</v>
      </c>
      <c r="B5" s="3">
        <v>42086</v>
      </c>
      <c r="C5" s="3">
        <v>42087</v>
      </c>
      <c r="D5" s="2" t="s">
        <v>21</v>
      </c>
      <c r="E5" s="2" t="s">
        <v>36</v>
      </c>
      <c r="F5" s="2" t="s">
        <v>37</v>
      </c>
      <c r="G5" s="2" t="s">
        <v>38</v>
      </c>
      <c r="H5" s="2" t="s">
        <v>25</v>
      </c>
      <c r="I5" s="2" t="s">
        <v>39</v>
      </c>
      <c r="J5" s="2" t="s">
        <v>40</v>
      </c>
      <c r="K5" s="2" t="s">
        <v>28</v>
      </c>
      <c r="L5" s="2" t="s">
        <v>45</v>
      </c>
      <c r="M5" s="2" t="s">
        <v>30</v>
      </c>
      <c r="N5" s="2" t="s">
        <v>31</v>
      </c>
      <c r="O5" s="2" t="s">
        <v>46</v>
      </c>
      <c r="P5" s="4">
        <v>18.791399999999999</v>
      </c>
      <c r="Q5" s="4">
        <v>1</v>
      </c>
      <c r="R5" s="4">
        <v>8.0259999999999998</v>
      </c>
      <c r="S5" s="2" t="s">
        <v>33</v>
      </c>
      <c r="T5" s="2" t="s">
        <v>44</v>
      </c>
    </row>
    <row r="6" spans="1:20" x14ac:dyDescent="0.25">
      <c r="A6" s="2" t="s">
        <v>47</v>
      </c>
      <c r="B6" s="3">
        <v>42452</v>
      </c>
      <c r="C6" s="3">
        <v>42454</v>
      </c>
      <c r="D6" s="2" t="s">
        <v>48</v>
      </c>
      <c r="E6" s="2" t="s">
        <v>49</v>
      </c>
      <c r="F6" s="2" t="s">
        <v>50</v>
      </c>
      <c r="G6" s="2" t="s">
        <v>38</v>
      </c>
      <c r="H6" s="2" t="s">
        <v>25</v>
      </c>
      <c r="I6" s="2" t="s">
        <v>51</v>
      </c>
      <c r="J6" s="2" t="s">
        <v>52</v>
      </c>
      <c r="K6" s="2" t="s">
        <v>28</v>
      </c>
      <c r="L6" s="2" t="s">
        <v>29</v>
      </c>
      <c r="M6" s="2" t="s">
        <v>30</v>
      </c>
      <c r="N6" s="2" t="s">
        <v>31</v>
      </c>
      <c r="O6" s="2" t="s">
        <v>32</v>
      </c>
      <c r="P6" s="4">
        <v>17.0379</v>
      </c>
      <c r="Q6" s="4">
        <v>4</v>
      </c>
      <c r="R6" s="4">
        <v>-1.1757</v>
      </c>
      <c r="S6" s="2" t="s">
        <v>53</v>
      </c>
      <c r="T6" s="2" t="s">
        <v>44</v>
      </c>
    </row>
    <row r="7" spans="1:20" x14ac:dyDescent="0.25">
      <c r="A7" s="2" t="s">
        <v>54</v>
      </c>
      <c r="B7" s="3">
        <v>41724</v>
      </c>
      <c r="C7" s="3">
        <v>41730</v>
      </c>
      <c r="D7" s="2" t="s">
        <v>55</v>
      </c>
      <c r="E7" s="2" t="s">
        <v>56</v>
      </c>
      <c r="F7" s="2" t="s">
        <v>57</v>
      </c>
      <c r="G7" s="2" t="s">
        <v>58</v>
      </c>
      <c r="H7" s="2" t="s">
        <v>25</v>
      </c>
      <c r="I7" s="2" t="s">
        <v>59</v>
      </c>
      <c r="J7" s="2" t="s">
        <v>60</v>
      </c>
      <c r="K7" s="2" t="s">
        <v>61</v>
      </c>
      <c r="L7" s="2" t="s">
        <v>62</v>
      </c>
      <c r="M7" s="2" t="s">
        <v>30</v>
      </c>
      <c r="N7" s="2" t="s">
        <v>63</v>
      </c>
      <c r="O7" s="2" t="s">
        <v>64</v>
      </c>
      <c r="P7" s="4">
        <v>38.425199999999997</v>
      </c>
      <c r="Q7" s="4">
        <v>2</v>
      </c>
      <c r="R7" s="4">
        <v>6.1969000000000003</v>
      </c>
      <c r="S7" s="2" t="s">
        <v>65</v>
      </c>
      <c r="T7" s="2" t="s">
        <v>44</v>
      </c>
    </row>
    <row r="8" spans="1:20" x14ac:dyDescent="0.25">
      <c r="A8" s="2" t="s">
        <v>54</v>
      </c>
      <c r="B8" s="3">
        <v>41724</v>
      </c>
      <c r="C8" s="3">
        <v>41730</v>
      </c>
      <c r="D8" s="2" t="s">
        <v>55</v>
      </c>
      <c r="E8" s="2" t="s">
        <v>56</v>
      </c>
      <c r="F8" s="2" t="s">
        <v>57</v>
      </c>
      <c r="G8" s="2" t="s">
        <v>58</v>
      </c>
      <c r="H8" s="2" t="s">
        <v>25</v>
      </c>
      <c r="I8" s="2" t="s">
        <v>59</v>
      </c>
      <c r="J8" s="2" t="s">
        <v>60</v>
      </c>
      <c r="K8" s="2" t="s">
        <v>61</v>
      </c>
      <c r="L8" s="2" t="s">
        <v>66</v>
      </c>
      <c r="M8" s="2" t="s">
        <v>30</v>
      </c>
      <c r="N8" s="2" t="s">
        <v>31</v>
      </c>
      <c r="O8" s="2" t="s">
        <v>67</v>
      </c>
      <c r="P8" s="4">
        <v>28.574400000000001</v>
      </c>
      <c r="Q8" s="4">
        <v>3</v>
      </c>
      <c r="R8" s="4">
        <v>-1.0880000000000001</v>
      </c>
      <c r="S8" s="2" t="s">
        <v>65</v>
      </c>
      <c r="T8" s="2" t="s">
        <v>44</v>
      </c>
    </row>
    <row r="9" spans="1:20" x14ac:dyDescent="0.25">
      <c r="A9" s="2" t="s">
        <v>68</v>
      </c>
      <c r="B9" s="3">
        <v>43088</v>
      </c>
      <c r="C9" s="3">
        <v>43092</v>
      </c>
      <c r="D9" s="2" t="s">
        <v>55</v>
      </c>
      <c r="E9" s="2" t="s">
        <v>69</v>
      </c>
      <c r="F9" s="2" t="s">
        <v>70</v>
      </c>
      <c r="G9" s="2" t="s">
        <v>58</v>
      </c>
      <c r="H9" s="2" t="s">
        <v>25</v>
      </c>
      <c r="I9" s="2" t="s">
        <v>71</v>
      </c>
      <c r="J9" s="2" t="s">
        <v>72</v>
      </c>
      <c r="K9" s="2" t="s">
        <v>61</v>
      </c>
      <c r="L9" s="2" t="s">
        <v>73</v>
      </c>
      <c r="M9" s="2" t="s">
        <v>30</v>
      </c>
      <c r="N9" s="2" t="s">
        <v>42</v>
      </c>
      <c r="O9" s="2" t="s">
        <v>74</v>
      </c>
      <c r="P9" s="4">
        <v>830.11990000000003</v>
      </c>
      <c r="Q9" s="4">
        <v>4</v>
      </c>
      <c r="R9" s="4">
        <v>-75.209800000000001</v>
      </c>
      <c r="S9" s="2" t="s">
        <v>75</v>
      </c>
      <c r="T9" s="2" t="s">
        <v>76</v>
      </c>
    </row>
    <row r="10" spans="1:20" x14ac:dyDescent="0.25">
      <c r="A10" s="2" t="s">
        <v>77</v>
      </c>
      <c r="B10" s="3">
        <v>42211</v>
      </c>
      <c r="C10" s="3">
        <v>42216</v>
      </c>
      <c r="D10" s="2" t="s">
        <v>55</v>
      </c>
      <c r="E10" s="2" t="s">
        <v>78</v>
      </c>
      <c r="F10" s="2" t="s">
        <v>79</v>
      </c>
      <c r="G10" s="2" t="s">
        <v>38</v>
      </c>
      <c r="H10" s="2" t="s">
        <v>25</v>
      </c>
      <c r="I10" s="2" t="s">
        <v>80</v>
      </c>
      <c r="J10" s="2" t="s">
        <v>81</v>
      </c>
      <c r="K10" s="2" t="s">
        <v>82</v>
      </c>
      <c r="L10" s="2" t="s">
        <v>83</v>
      </c>
      <c r="M10" s="2" t="s">
        <v>30</v>
      </c>
      <c r="N10" s="2" t="s">
        <v>42</v>
      </c>
      <c r="O10" s="2" t="s">
        <v>84</v>
      </c>
      <c r="P10" s="4">
        <v>365.93290000000002</v>
      </c>
      <c r="Q10" s="4">
        <v>2</v>
      </c>
      <c r="R10" s="4">
        <v>6.9703999999999997</v>
      </c>
      <c r="S10" s="2" t="s">
        <v>85</v>
      </c>
      <c r="T10" s="2" t="s">
        <v>86</v>
      </c>
    </row>
    <row r="11" spans="1:20" x14ac:dyDescent="0.25">
      <c r="A11" s="2" t="s">
        <v>87</v>
      </c>
      <c r="B11" s="3">
        <v>42337</v>
      </c>
      <c r="C11" s="3">
        <v>42340</v>
      </c>
      <c r="D11" s="2" t="s">
        <v>55</v>
      </c>
      <c r="E11" s="2" t="s">
        <v>88</v>
      </c>
      <c r="F11" s="2" t="s">
        <v>89</v>
      </c>
      <c r="G11" s="2" t="s">
        <v>38</v>
      </c>
      <c r="H11" s="2" t="s">
        <v>25</v>
      </c>
      <c r="I11" s="2" t="s">
        <v>90</v>
      </c>
      <c r="J11" s="2" t="s">
        <v>91</v>
      </c>
      <c r="K11" s="2" t="s">
        <v>61</v>
      </c>
      <c r="L11" s="2" t="s">
        <v>66</v>
      </c>
      <c r="M11" s="2" t="s">
        <v>30</v>
      </c>
      <c r="N11" s="2" t="s">
        <v>31</v>
      </c>
      <c r="O11" s="2" t="s">
        <v>67</v>
      </c>
      <c r="P11" s="4">
        <v>80.090500000000006</v>
      </c>
      <c r="Q11" s="4">
        <v>1</v>
      </c>
      <c r="R11" s="4">
        <v>37.610300000000002</v>
      </c>
      <c r="S11" s="2" t="s">
        <v>92</v>
      </c>
      <c r="T11" s="2" t="s">
        <v>93</v>
      </c>
    </row>
    <row r="12" spans="1:20" x14ac:dyDescent="0.25">
      <c r="A12" s="2" t="s">
        <v>94</v>
      </c>
      <c r="B12" s="3">
        <v>42777</v>
      </c>
      <c r="C12" s="3">
        <v>42780</v>
      </c>
      <c r="D12" s="2" t="s">
        <v>55</v>
      </c>
      <c r="E12" s="2" t="s">
        <v>95</v>
      </c>
      <c r="F12" s="2" t="s">
        <v>96</v>
      </c>
      <c r="G12" s="2" t="s">
        <v>38</v>
      </c>
      <c r="H12" s="2" t="s">
        <v>25</v>
      </c>
      <c r="I12" s="2" t="s">
        <v>97</v>
      </c>
      <c r="J12" s="2" t="s">
        <v>98</v>
      </c>
      <c r="K12" s="2" t="s">
        <v>82</v>
      </c>
      <c r="L12" s="2" t="s">
        <v>99</v>
      </c>
      <c r="M12" s="2" t="s">
        <v>30</v>
      </c>
      <c r="N12" s="2" t="s">
        <v>42</v>
      </c>
      <c r="O12" s="2" t="s">
        <v>100</v>
      </c>
      <c r="P12" s="4">
        <v>119.3172</v>
      </c>
      <c r="Q12" s="4">
        <v>4</v>
      </c>
      <c r="R12" s="4">
        <v>16.708300000000001</v>
      </c>
      <c r="S12" s="2" t="s">
        <v>92</v>
      </c>
      <c r="T12" s="2" t="s">
        <v>101</v>
      </c>
    </row>
    <row r="13" spans="1:20" x14ac:dyDescent="0.25">
      <c r="A13" s="2" t="s">
        <v>102</v>
      </c>
      <c r="B13" s="3">
        <v>42831</v>
      </c>
      <c r="C13" s="3">
        <v>42838</v>
      </c>
      <c r="D13" s="2" t="s">
        <v>55</v>
      </c>
      <c r="E13" s="2" t="s">
        <v>103</v>
      </c>
      <c r="F13" s="2" t="s">
        <v>104</v>
      </c>
      <c r="G13" s="2" t="s">
        <v>38</v>
      </c>
      <c r="H13" s="2" t="s">
        <v>25</v>
      </c>
      <c r="I13" s="2" t="s">
        <v>105</v>
      </c>
      <c r="J13" s="2" t="s">
        <v>106</v>
      </c>
      <c r="K13" s="2" t="s">
        <v>61</v>
      </c>
      <c r="L13" s="2" t="s">
        <v>73</v>
      </c>
      <c r="M13" s="2" t="s">
        <v>30</v>
      </c>
      <c r="N13" s="2" t="s">
        <v>42</v>
      </c>
      <c r="O13" s="2" t="s">
        <v>74</v>
      </c>
      <c r="P13" s="4">
        <v>784.92200000000003</v>
      </c>
      <c r="Q13" s="4">
        <v>2</v>
      </c>
      <c r="R13" s="4">
        <v>-271.96719999999999</v>
      </c>
      <c r="S13" s="2" t="s">
        <v>107</v>
      </c>
      <c r="T13" s="2" t="s">
        <v>108</v>
      </c>
    </row>
    <row r="14" spans="1:20" x14ac:dyDescent="0.25">
      <c r="A14" s="2" t="s">
        <v>109</v>
      </c>
      <c r="B14" s="3">
        <v>42034</v>
      </c>
      <c r="C14" s="3">
        <v>42036</v>
      </c>
      <c r="D14" s="2" t="s">
        <v>21</v>
      </c>
      <c r="E14" s="2" t="s">
        <v>110</v>
      </c>
      <c r="F14" s="2" t="s">
        <v>111</v>
      </c>
      <c r="G14" s="2" t="s">
        <v>38</v>
      </c>
      <c r="H14" s="2" t="s">
        <v>25</v>
      </c>
      <c r="I14" s="2" t="s">
        <v>97</v>
      </c>
      <c r="J14" s="2" t="s">
        <v>112</v>
      </c>
      <c r="K14" s="2" t="s">
        <v>28</v>
      </c>
      <c r="L14" s="2" t="s">
        <v>113</v>
      </c>
      <c r="M14" s="2" t="s">
        <v>30</v>
      </c>
      <c r="N14" s="2" t="s">
        <v>31</v>
      </c>
      <c r="O14" s="2" t="s">
        <v>114</v>
      </c>
      <c r="P14" s="4">
        <v>31.3416</v>
      </c>
      <c r="Q14" s="4">
        <v>6</v>
      </c>
      <c r="R14" s="4">
        <v>-6.1795</v>
      </c>
      <c r="S14" s="2" t="s">
        <v>53</v>
      </c>
      <c r="T14" s="2" t="s">
        <v>115</v>
      </c>
    </row>
    <row r="15" spans="1:20" x14ac:dyDescent="0.25">
      <c r="A15" s="2" t="s">
        <v>116</v>
      </c>
      <c r="B15" s="3">
        <v>42862</v>
      </c>
      <c r="C15" s="3">
        <v>42862</v>
      </c>
      <c r="D15" s="2" t="s">
        <v>55</v>
      </c>
      <c r="E15" s="2" t="s">
        <v>117</v>
      </c>
      <c r="F15" s="2" t="s">
        <v>118</v>
      </c>
      <c r="G15" s="2" t="s">
        <v>24</v>
      </c>
      <c r="H15" s="2" t="s">
        <v>25</v>
      </c>
      <c r="I15" s="2" t="s">
        <v>119</v>
      </c>
      <c r="J15" s="2" t="s">
        <v>120</v>
      </c>
      <c r="K15" s="2" t="s">
        <v>61</v>
      </c>
      <c r="L15" s="2" t="s">
        <v>41</v>
      </c>
      <c r="M15" s="2" t="s">
        <v>30</v>
      </c>
      <c r="N15" s="2" t="s">
        <v>42</v>
      </c>
      <c r="O15" s="2" t="s">
        <v>43</v>
      </c>
      <c r="P15" s="4">
        <v>415.11059999999998</v>
      </c>
      <c r="Q15" s="4">
        <v>4</v>
      </c>
      <c r="R15" s="4">
        <v>133.12270000000001</v>
      </c>
      <c r="S15" s="2" t="s">
        <v>121</v>
      </c>
      <c r="T15" s="2" t="s">
        <v>122</v>
      </c>
    </row>
    <row r="16" spans="1:20" x14ac:dyDescent="0.25">
      <c r="A16" s="2" t="s">
        <v>123</v>
      </c>
      <c r="B16" s="3">
        <v>41751</v>
      </c>
      <c r="C16" s="3">
        <v>41758</v>
      </c>
      <c r="D16" s="2" t="s">
        <v>55</v>
      </c>
      <c r="E16" s="2" t="s">
        <v>124</v>
      </c>
      <c r="F16" s="2" t="s">
        <v>125</v>
      </c>
      <c r="G16" s="2" t="s">
        <v>38</v>
      </c>
      <c r="H16" s="2" t="s">
        <v>25</v>
      </c>
      <c r="I16" s="2" t="s">
        <v>126</v>
      </c>
      <c r="J16" s="2" t="s">
        <v>127</v>
      </c>
      <c r="K16" s="2" t="s">
        <v>82</v>
      </c>
      <c r="L16" s="2" t="s">
        <v>41</v>
      </c>
      <c r="M16" s="2" t="s">
        <v>30</v>
      </c>
      <c r="N16" s="2" t="s">
        <v>42</v>
      </c>
      <c r="O16" s="2" t="s">
        <v>43</v>
      </c>
      <c r="P16" s="4">
        <v>181.017</v>
      </c>
      <c r="Q16" s="4">
        <v>3</v>
      </c>
      <c r="R16" s="4">
        <v>-59.048000000000002</v>
      </c>
      <c r="S16" s="2" t="s">
        <v>107</v>
      </c>
      <c r="T16" s="2" t="s">
        <v>108</v>
      </c>
    </row>
    <row r="17" spans="1:20" x14ac:dyDescent="0.25">
      <c r="A17" s="2" t="s">
        <v>128</v>
      </c>
      <c r="B17" s="3">
        <v>42157</v>
      </c>
      <c r="C17" s="3">
        <v>42157</v>
      </c>
      <c r="D17" s="2" t="s">
        <v>55</v>
      </c>
      <c r="E17" s="2" t="s">
        <v>129</v>
      </c>
      <c r="F17" s="2" t="s">
        <v>130</v>
      </c>
      <c r="G17" s="2" t="s">
        <v>24</v>
      </c>
      <c r="H17" s="2" t="s">
        <v>25</v>
      </c>
      <c r="I17" s="2" t="s">
        <v>97</v>
      </c>
      <c r="J17" s="2" t="s">
        <v>98</v>
      </c>
      <c r="K17" s="2" t="s">
        <v>82</v>
      </c>
      <c r="L17" s="2" t="s">
        <v>131</v>
      </c>
      <c r="M17" s="2" t="s">
        <v>30</v>
      </c>
      <c r="N17" s="2" t="s">
        <v>31</v>
      </c>
      <c r="O17" s="2" t="s">
        <v>132</v>
      </c>
      <c r="P17" s="4">
        <v>175.41929999999999</v>
      </c>
      <c r="Q17" s="4">
        <v>3</v>
      </c>
      <c r="R17" s="4">
        <v>3.3128000000000002</v>
      </c>
      <c r="S17" s="2" t="s">
        <v>121</v>
      </c>
      <c r="T17" s="2" t="s">
        <v>133</v>
      </c>
    </row>
    <row r="18" spans="1:20" x14ac:dyDescent="0.25">
      <c r="A18" s="2" t="s">
        <v>134</v>
      </c>
      <c r="B18" s="3">
        <v>41814</v>
      </c>
      <c r="C18" s="3">
        <v>41814</v>
      </c>
      <c r="D18" s="2" t="s">
        <v>48</v>
      </c>
      <c r="E18" s="2" t="s">
        <v>135</v>
      </c>
      <c r="F18" s="2" t="s">
        <v>136</v>
      </c>
      <c r="G18" s="2" t="s">
        <v>38</v>
      </c>
      <c r="H18" s="2" t="s">
        <v>25</v>
      </c>
      <c r="I18" s="2" t="s">
        <v>137</v>
      </c>
      <c r="J18" s="2" t="s">
        <v>138</v>
      </c>
      <c r="K18" s="2" t="s">
        <v>82</v>
      </c>
      <c r="L18" s="2" t="s">
        <v>139</v>
      </c>
      <c r="M18" s="2" t="s">
        <v>30</v>
      </c>
      <c r="N18" s="2" t="s">
        <v>42</v>
      </c>
      <c r="O18" s="2" t="s">
        <v>140</v>
      </c>
      <c r="P18" s="4">
        <v>739.93849999999998</v>
      </c>
      <c r="Q18" s="4">
        <v>6</v>
      </c>
      <c r="R18" s="4">
        <v>-147.40620000000001</v>
      </c>
      <c r="S18" s="2" t="s">
        <v>121</v>
      </c>
      <c r="T18" s="2" t="s">
        <v>133</v>
      </c>
    </row>
    <row r="19" spans="1:20" x14ac:dyDescent="0.25">
      <c r="A19" s="2" t="s">
        <v>141</v>
      </c>
      <c r="B19" s="3">
        <v>42248</v>
      </c>
      <c r="C19" s="3">
        <v>42248</v>
      </c>
      <c r="D19" s="2" t="s">
        <v>142</v>
      </c>
      <c r="E19" s="2" t="s">
        <v>143</v>
      </c>
      <c r="F19" s="2" t="s">
        <v>144</v>
      </c>
      <c r="G19" s="2" t="s">
        <v>38</v>
      </c>
      <c r="H19" s="2" t="s">
        <v>25</v>
      </c>
      <c r="I19" s="2" t="s">
        <v>145</v>
      </c>
      <c r="J19" s="2" t="s">
        <v>146</v>
      </c>
      <c r="K19" s="2" t="s">
        <v>147</v>
      </c>
      <c r="L19" s="2" t="s">
        <v>99</v>
      </c>
      <c r="M19" s="2" t="s">
        <v>30</v>
      </c>
      <c r="N19" s="2" t="s">
        <v>42</v>
      </c>
      <c r="O19" s="2" t="s">
        <v>100</v>
      </c>
      <c r="P19" s="4">
        <v>347.00490000000002</v>
      </c>
      <c r="Q19" s="4">
        <v>5</v>
      </c>
      <c r="R19" s="4">
        <v>102.6478</v>
      </c>
      <c r="S19" s="2" t="s">
        <v>121</v>
      </c>
      <c r="T19" s="2" t="s">
        <v>148</v>
      </c>
    </row>
    <row r="20" spans="1:20" x14ac:dyDescent="0.25">
      <c r="A20" s="2" t="s">
        <v>149</v>
      </c>
      <c r="B20" s="3">
        <v>41806</v>
      </c>
      <c r="C20" s="3">
        <v>41813</v>
      </c>
      <c r="D20" s="2" t="s">
        <v>55</v>
      </c>
      <c r="E20" s="2" t="s">
        <v>150</v>
      </c>
      <c r="F20" s="2" t="s">
        <v>151</v>
      </c>
      <c r="G20" s="2" t="s">
        <v>58</v>
      </c>
      <c r="H20" s="2" t="s">
        <v>25</v>
      </c>
      <c r="I20" s="2" t="s">
        <v>152</v>
      </c>
      <c r="J20" s="2" t="s">
        <v>153</v>
      </c>
      <c r="K20" s="2" t="s">
        <v>147</v>
      </c>
      <c r="L20" s="2" t="s">
        <v>154</v>
      </c>
      <c r="M20" s="2" t="s">
        <v>30</v>
      </c>
      <c r="N20" s="2" t="s">
        <v>42</v>
      </c>
      <c r="O20" s="2" t="s">
        <v>155</v>
      </c>
      <c r="P20" s="4">
        <v>359.03379999999999</v>
      </c>
      <c r="Q20" s="4">
        <v>7</v>
      </c>
      <c r="R20" s="4">
        <v>-9.5618999999999996</v>
      </c>
      <c r="S20" s="2" t="s">
        <v>107</v>
      </c>
      <c r="T20" s="2" t="s">
        <v>133</v>
      </c>
    </row>
    <row r="21" spans="1:20" x14ac:dyDescent="0.25">
      <c r="A21" s="2" t="s">
        <v>156</v>
      </c>
      <c r="B21" s="3">
        <v>42219</v>
      </c>
      <c r="C21" s="3">
        <v>42220</v>
      </c>
      <c r="D21" s="2" t="s">
        <v>21</v>
      </c>
      <c r="E21" s="2" t="s">
        <v>157</v>
      </c>
      <c r="F21" s="2" t="s">
        <v>158</v>
      </c>
      <c r="G21" s="2" t="s">
        <v>38</v>
      </c>
      <c r="H21" s="2" t="s">
        <v>25</v>
      </c>
      <c r="I21" s="2" t="s">
        <v>159</v>
      </c>
      <c r="J21" s="2" t="s">
        <v>160</v>
      </c>
      <c r="K21" s="2" t="s">
        <v>61</v>
      </c>
      <c r="L21" s="2" t="s">
        <v>161</v>
      </c>
      <c r="M21" s="2" t="s">
        <v>30</v>
      </c>
      <c r="N21" s="2" t="s">
        <v>162</v>
      </c>
      <c r="O21" s="2" t="s">
        <v>163</v>
      </c>
      <c r="P21" s="4">
        <v>448.17950000000002</v>
      </c>
      <c r="Q21" s="4">
        <v>1</v>
      </c>
      <c r="R21" s="4">
        <v>120.3125</v>
      </c>
      <c r="S21" s="2" t="s">
        <v>33</v>
      </c>
      <c r="T21" s="2" t="s">
        <v>34</v>
      </c>
    </row>
    <row r="22" spans="1:20" x14ac:dyDescent="0.25">
      <c r="A22" s="2" t="s">
        <v>164</v>
      </c>
      <c r="B22" s="3">
        <v>41945</v>
      </c>
      <c r="C22" s="3">
        <v>41949</v>
      </c>
      <c r="D22" s="2" t="s">
        <v>55</v>
      </c>
      <c r="E22" s="2" t="s">
        <v>165</v>
      </c>
      <c r="F22" s="2" t="s">
        <v>166</v>
      </c>
      <c r="G22" s="2" t="s">
        <v>58</v>
      </c>
      <c r="H22" s="2" t="s">
        <v>25</v>
      </c>
      <c r="I22" s="2" t="s">
        <v>167</v>
      </c>
      <c r="J22" s="2" t="s">
        <v>168</v>
      </c>
      <c r="K22" s="2" t="s">
        <v>28</v>
      </c>
      <c r="L22" s="2" t="s">
        <v>169</v>
      </c>
      <c r="M22" s="2" t="s">
        <v>30</v>
      </c>
      <c r="N22" s="2" t="s">
        <v>162</v>
      </c>
      <c r="O22" s="2" t="s">
        <v>170</v>
      </c>
      <c r="P22" s="4">
        <v>394.61939999999998</v>
      </c>
      <c r="Q22" s="4">
        <v>4</v>
      </c>
      <c r="R22" s="4">
        <v>-139.83250000000001</v>
      </c>
      <c r="S22" s="2" t="s">
        <v>75</v>
      </c>
      <c r="T22" s="2" t="s">
        <v>93</v>
      </c>
    </row>
    <row r="23" spans="1:20" x14ac:dyDescent="0.25">
      <c r="A23" s="2" t="s">
        <v>171</v>
      </c>
      <c r="B23" s="3">
        <v>43073</v>
      </c>
      <c r="C23" s="3">
        <v>43079</v>
      </c>
      <c r="D23" s="2" t="s">
        <v>55</v>
      </c>
      <c r="E23" s="2" t="s">
        <v>172</v>
      </c>
      <c r="F23" s="2" t="s">
        <v>173</v>
      </c>
      <c r="G23" s="2" t="s">
        <v>58</v>
      </c>
      <c r="H23" s="2" t="s">
        <v>25</v>
      </c>
      <c r="I23" s="2" t="s">
        <v>97</v>
      </c>
      <c r="J23" s="2" t="s">
        <v>98</v>
      </c>
      <c r="K23" s="2" t="s">
        <v>82</v>
      </c>
      <c r="L23" s="2" t="s">
        <v>174</v>
      </c>
      <c r="M23" s="2" t="s">
        <v>30</v>
      </c>
      <c r="N23" s="2" t="s">
        <v>31</v>
      </c>
      <c r="O23" s="2" t="s">
        <v>175</v>
      </c>
      <c r="P23" s="4">
        <v>118.42740000000001</v>
      </c>
      <c r="Q23" s="4">
        <v>3</v>
      </c>
      <c r="R23" s="4">
        <v>1.6508</v>
      </c>
      <c r="S23" s="2" t="s">
        <v>65</v>
      </c>
      <c r="T23" s="2" t="s">
        <v>76</v>
      </c>
    </row>
    <row r="24" spans="1:20" x14ac:dyDescent="0.25">
      <c r="A24" s="2" t="s">
        <v>176</v>
      </c>
      <c r="B24" s="3">
        <v>41827</v>
      </c>
      <c r="C24" s="3">
        <v>41829</v>
      </c>
      <c r="D24" s="2" t="s">
        <v>55</v>
      </c>
      <c r="E24" s="2" t="s">
        <v>177</v>
      </c>
      <c r="F24" s="2" t="s">
        <v>178</v>
      </c>
      <c r="G24" s="2" t="s">
        <v>24</v>
      </c>
      <c r="H24" s="2" t="s">
        <v>25</v>
      </c>
      <c r="I24" s="2" t="s">
        <v>179</v>
      </c>
      <c r="J24" s="2" t="s">
        <v>180</v>
      </c>
      <c r="K24" s="2" t="s">
        <v>147</v>
      </c>
      <c r="L24" s="2" t="s">
        <v>131</v>
      </c>
      <c r="M24" s="2" t="s">
        <v>30</v>
      </c>
      <c r="N24" s="2" t="s">
        <v>31</v>
      </c>
      <c r="O24" s="2" t="s">
        <v>132</v>
      </c>
      <c r="P24" s="4">
        <v>143.13820000000001</v>
      </c>
      <c r="Q24" s="4">
        <v>4</v>
      </c>
      <c r="R24" s="4">
        <v>79.235399999999998</v>
      </c>
      <c r="S24" s="2" t="s">
        <v>53</v>
      </c>
      <c r="T24" s="2" t="s">
        <v>86</v>
      </c>
    </row>
    <row r="25" spans="1:20" x14ac:dyDescent="0.25">
      <c r="A25" s="2" t="s">
        <v>181</v>
      </c>
      <c r="B25" s="3">
        <v>42011</v>
      </c>
      <c r="C25" s="3">
        <v>42016</v>
      </c>
      <c r="D25" s="2" t="s">
        <v>55</v>
      </c>
      <c r="E25" s="2" t="s">
        <v>182</v>
      </c>
      <c r="F25" s="2" t="s">
        <v>183</v>
      </c>
      <c r="G25" s="2" t="s">
        <v>24</v>
      </c>
      <c r="H25" s="2" t="s">
        <v>25</v>
      </c>
      <c r="I25" s="2" t="s">
        <v>184</v>
      </c>
      <c r="J25" s="2" t="s">
        <v>185</v>
      </c>
      <c r="K25" s="2" t="s">
        <v>147</v>
      </c>
      <c r="L25" s="2" t="s">
        <v>186</v>
      </c>
      <c r="M25" s="2" t="s">
        <v>30</v>
      </c>
      <c r="N25" s="2" t="s">
        <v>31</v>
      </c>
      <c r="O25" s="2" t="s">
        <v>187</v>
      </c>
      <c r="P25" s="4">
        <v>63.254800000000003</v>
      </c>
      <c r="Q25" s="4">
        <v>3</v>
      </c>
      <c r="R25" s="4">
        <v>21.755700000000001</v>
      </c>
      <c r="S25" s="2" t="s">
        <v>85</v>
      </c>
      <c r="T25" s="2" t="s">
        <v>115</v>
      </c>
    </row>
    <row r="26" spans="1:20" x14ac:dyDescent="0.25">
      <c r="A26" s="2" t="s">
        <v>188</v>
      </c>
      <c r="B26" s="3">
        <v>42483</v>
      </c>
      <c r="C26" s="3">
        <v>42488</v>
      </c>
      <c r="D26" s="2" t="s">
        <v>55</v>
      </c>
      <c r="E26" s="2" t="s">
        <v>189</v>
      </c>
      <c r="F26" s="2" t="s">
        <v>190</v>
      </c>
      <c r="G26" s="2" t="s">
        <v>38</v>
      </c>
      <c r="H26" s="2" t="s">
        <v>25</v>
      </c>
      <c r="I26" s="2" t="s">
        <v>191</v>
      </c>
      <c r="J26" s="2" t="s">
        <v>192</v>
      </c>
      <c r="K26" s="2" t="s">
        <v>82</v>
      </c>
      <c r="L26" s="2" t="s">
        <v>193</v>
      </c>
      <c r="M26" s="2" t="s">
        <v>30</v>
      </c>
      <c r="N26" s="2" t="s">
        <v>42</v>
      </c>
      <c r="O26" s="2" t="s">
        <v>194</v>
      </c>
      <c r="P26" s="4">
        <v>264.99610000000001</v>
      </c>
      <c r="Q26" s="4">
        <v>1</v>
      </c>
      <c r="R26" s="4">
        <v>-168.5104</v>
      </c>
      <c r="S26" s="2" t="s">
        <v>85</v>
      </c>
      <c r="T26" s="2" t="s">
        <v>108</v>
      </c>
    </row>
    <row r="27" spans="1:20" x14ac:dyDescent="0.25">
      <c r="A27" s="2" t="s">
        <v>195</v>
      </c>
      <c r="B27" s="3">
        <v>42693</v>
      </c>
      <c r="C27" s="3">
        <v>42698</v>
      </c>
      <c r="D27" s="2" t="s">
        <v>55</v>
      </c>
      <c r="E27" s="2" t="s">
        <v>196</v>
      </c>
      <c r="F27" s="2" t="s">
        <v>197</v>
      </c>
      <c r="G27" s="2" t="s">
        <v>24</v>
      </c>
      <c r="H27" s="2" t="s">
        <v>25</v>
      </c>
      <c r="I27" s="2" t="s">
        <v>198</v>
      </c>
      <c r="J27" s="2" t="s">
        <v>199</v>
      </c>
      <c r="K27" s="2" t="s">
        <v>82</v>
      </c>
      <c r="L27" s="2" t="s">
        <v>200</v>
      </c>
      <c r="M27" s="2" t="s">
        <v>30</v>
      </c>
      <c r="N27" s="2" t="s">
        <v>162</v>
      </c>
      <c r="O27" s="2" t="s">
        <v>201</v>
      </c>
      <c r="P27" s="4">
        <v>620.71789999999999</v>
      </c>
      <c r="Q27" s="4">
        <v>2</v>
      </c>
      <c r="R27" s="4">
        <v>-114.4024</v>
      </c>
      <c r="S27" s="2" t="s">
        <v>85</v>
      </c>
      <c r="T27" s="2" t="s">
        <v>93</v>
      </c>
    </row>
    <row r="28" spans="1:20" x14ac:dyDescent="0.25">
      <c r="A28" s="2" t="s">
        <v>202</v>
      </c>
      <c r="B28" s="3">
        <v>41745</v>
      </c>
      <c r="C28" s="3">
        <v>41745</v>
      </c>
      <c r="D28" s="2" t="s">
        <v>55</v>
      </c>
      <c r="E28" s="2" t="s">
        <v>203</v>
      </c>
      <c r="F28" s="2" t="s">
        <v>204</v>
      </c>
      <c r="G28" s="2" t="s">
        <v>38</v>
      </c>
      <c r="H28" s="2" t="s">
        <v>25</v>
      </c>
      <c r="I28" s="2" t="s">
        <v>205</v>
      </c>
      <c r="J28" s="2" t="s">
        <v>206</v>
      </c>
      <c r="K28" s="2" t="s">
        <v>61</v>
      </c>
      <c r="L28" s="2" t="s">
        <v>207</v>
      </c>
      <c r="M28" s="2" t="s">
        <v>30</v>
      </c>
      <c r="N28" s="2" t="s">
        <v>31</v>
      </c>
      <c r="O28" s="2" t="s">
        <v>208</v>
      </c>
      <c r="P28" s="4">
        <v>43.613700000000001</v>
      </c>
      <c r="Q28" s="4">
        <v>4</v>
      </c>
      <c r="R28" s="4">
        <v>-6.1459000000000001</v>
      </c>
      <c r="S28" s="2" t="s">
        <v>121</v>
      </c>
      <c r="T28" s="2" t="s">
        <v>108</v>
      </c>
    </row>
    <row r="29" spans="1:20" x14ac:dyDescent="0.25">
      <c r="A29" s="2" t="s">
        <v>202</v>
      </c>
      <c r="B29" s="3">
        <v>41745</v>
      </c>
      <c r="C29" s="3">
        <v>41745</v>
      </c>
      <c r="D29" s="2" t="s">
        <v>55</v>
      </c>
      <c r="E29" s="2" t="s">
        <v>203</v>
      </c>
      <c r="F29" s="2" t="s">
        <v>204</v>
      </c>
      <c r="G29" s="2" t="s">
        <v>38</v>
      </c>
      <c r="H29" s="2" t="s">
        <v>25</v>
      </c>
      <c r="I29" s="2" t="s">
        <v>205</v>
      </c>
      <c r="J29" s="2" t="s">
        <v>206</v>
      </c>
      <c r="K29" s="2" t="s">
        <v>61</v>
      </c>
      <c r="L29" s="2" t="s">
        <v>131</v>
      </c>
      <c r="M29" s="2" t="s">
        <v>30</v>
      </c>
      <c r="N29" s="2" t="s">
        <v>31</v>
      </c>
      <c r="O29" s="2" t="s">
        <v>132</v>
      </c>
      <c r="P29" s="4">
        <v>245.44579999999999</v>
      </c>
      <c r="Q29" s="4">
        <v>3</v>
      </c>
      <c r="R29" s="4">
        <v>-88.373099999999994</v>
      </c>
      <c r="S29" s="2" t="s">
        <v>121</v>
      </c>
      <c r="T29" s="2" t="s">
        <v>108</v>
      </c>
    </row>
    <row r="30" spans="1:20" x14ac:dyDescent="0.25">
      <c r="A30" s="2" t="s">
        <v>202</v>
      </c>
      <c r="B30" s="3">
        <v>41745</v>
      </c>
      <c r="C30" s="3">
        <v>41745</v>
      </c>
      <c r="D30" s="2" t="s">
        <v>55</v>
      </c>
      <c r="E30" s="2" t="s">
        <v>203</v>
      </c>
      <c r="F30" s="2" t="s">
        <v>204</v>
      </c>
      <c r="G30" s="2" t="s">
        <v>38</v>
      </c>
      <c r="H30" s="2" t="s">
        <v>25</v>
      </c>
      <c r="I30" s="2" t="s">
        <v>205</v>
      </c>
      <c r="J30" s="2" t="s">
        <v>206</v>
      </c>
      <c r="K30" s="2" t="s">
        <v>61</v>
      </c>
      <c r="L30" s="2" t="s">
        <v>113</v>
      </c>
      <c r="M30" s="2" t="s">
        <v>30</v>
      </c>
      <c r="N30" s="2" t="s">
        <v>31</v>
      </c>
      <c r="O30" s="2" t="s">
        <v>114</v>
      </c>
      <c r="P30" s="4">
        <v>55.694299999999998</v>
      </c>
      <c r="Q30" s="4">
        <v>10</v>
      </c>
      <c r="R30" s="4">
        <v>15.891</v>
      </c>
      <c r="S30" s="2" t="s">
        <v>121</v>
      </c>
      <c r="T30" s="2" t="s">
        <v>108</v>
      </c>
    </row>
    <row r="31" spans="1:20" x14ac:dyDescent="0.25">
      <c r="A31" s="2" t="s">
        <v>209</v>
      </c>
      <c r="B31" s="3">
        <v>42475</v>
      </c>
      <c r="C31" s="3">
        <v>42476</v>
      </c>
      <c r="D31" s="2" t="s">
        <v>21</v>
      </c>
      <c r="E31" s="2" t="s">
        <v>210</v>
      </c>
      <c r="F31" s="2" t="s">
        <v>211</v>
      </c>
      <c r="G31" s="2" t="s">
        <v>24</v>
      </c>
      <c r="H31" s="2" t="s">
        <v>25</v>
      </c>
      <c r="I31" s="2" t="s">
        <v>212</v>
      </c>
      <c r="J31" s="2" t="s">
        <v>185</v>
      </c>
      <c r="K31" s="2" t="s">
        <v>147</v>
      </c>
      <c r="L31" s="2" t="s">
        <v>113</v>
      </c>
      <c r="M31" s="2" t="s">
        <v>30</v>
      </c>
      <c r="N31" s="2" t="s">
        <v>31</v>
      </c>
      <c r="O31" s="2" t="s">
        <v>114</v>
      </c>
      <c r="P31" s="4">
        <v>39.153199999999998</v>
      </c>
      <c r="Q31" s="4">
        <v>2</v>
      </c>
      <c r="R31" s="4">
        <v>0.6089</v>
      </c>
      <c r="S31" s="2" t="s">
        <v>33</v>
      </c>
      <c r="T31" s="2" t="s">
        <v>108</v>
      </c>
    </row>
    <row r="32" spans="1:20" x14ac:dyDescent="0.25">
      <c r="A32" s="2" t="s">
        <v>213</v>
      </c>
      <c r="B32" s="3">
        <v>43084</v>
      </c>
      <c r="C32" s="3">
        <v>43090</v>
      </c>
      <c r="D32" s="2" t="s">
        <v>55</v>
      </c>
      <c r="E32" s="2" t="s">
        <v>214</v>
      </c>
      <c r="F32" s="2" t="s">
        <v>215</v>
      </c>
      <c r="G32" s="2" t="s">
        <v>24</v>
      </c>
      <c r="H32" s="2" t="s">
        <v>25</v>
      </c>
      <c r="I32" s="2" t="s">
        <v>216</v>
      </c>
      <c r="J32" s="2" t="s">
        <v>217</v>
      </c>
      <c r="K32" s="2" t="s">
        <v>82</v>
      </c>
      <c r="L32" s="2" t="s">
        <v>218</v>
      </c>
      <c r="M32" s="2" t="s">
        <v>30</v>
      </c>
      <c r="N32" s="2" t="s">
        <v>31</v>
      </c>
      <c r="O32" s="2" t="s">
        <v>219</v>
      </c>
      <c r="P32" s="4">
        <v>183.98169999999999</v>
      </c>
      <c r="Q32" s="4">
        <v>5</v>
      </c>
      <c r="R32" s="4">
        <v>-18.1311</v>
      </c>
      <c r="S32" s="2" t="s">
        <v>65</v>
      </c>
      <c r="T32" s="2" t="s">
        <v>76</v>
      </c>
    </row>
    <row r="33" spans="1:20" x14ac:dyDescent="0.25">
      <c r="A33" s="2" t="s">
        <v>220</v>
      </c>
      <c r="B33" s="3">
        <v>41919</v>
      </c>
      <c r="C33" s="3">
        <v>41920</v>
      </c>
      <c r="D33" s="2" t="s">
        <v>48</v>
      </c>
      <c r="E33" s="2" t="s">
        <v>221</v>
      </c>
      <c r="F33" s="2" t="s">
        <v>222</v>
      </c>
      <c r="G33" s="2" t="s">
        <v>38</v>
      </c>
      <c r="H33" s="2" t="s">
        <v>25</v>
      </c>
      <c r="I33" s="2" t="s">
        <v>223</v>
      </c>
      <c r="J33" s="2" t="s">
        <v>81</v>
      </c>
      <c r="K33" s="2" t="s">
        <v>82</v>
      </c>
      <c r="L33" s="2" t="s">
        <v>29</v>
      </c>
      <c r="M33" s="2" t="s">
        <v>30</v>
      </c>
      <c r="N33" s="2" t="s">
        <v>31</v>
      </c>
      <c r="O33" s="2" t="s">
        <v>32</v>
      </c>
      <c r="P33" s="4">
        <v>240.1018</v>
      </c>
      <c r="Q33" s="4">
        <v>7</v>
      </c>
      <c r="R33" s="4">
        <v>134.3844</v>
      </c>
      <c r="S33" s="2" t="s">
        <v>33</v>
      </c>
      <c r="T33" s="2" t="s">
        <v>224</v>
      </c>
    </row>
    <row r="34" spans="1:20" x14ac:dyDescent="0.25">
      <c r="A34" s="2" t="s">
        <v>225</v>
      </c>
      <c r="B34" s="3">
        <v>42991</v>
      </c>
      <c r="C34" s="3">
        <v>42997</v>
      </c>
      <c r="D34" s="2" t="s">
        <v>55</v>
      </c>
      <c r="E34" s="2" t="s">
        <v>226</v>
      </c>
      <c r="F34" s="2" t="s">
        <v>227</v>
      </c>
      <c r="G34" s="2" t="s">
        <v>58</v>
      </c>
      <c r="H34" s="2" t="s">
        <v>25</v>
      </c>
      <c r="I34" s="2" t="s">
        <v>223</v>
      </c>
      <c r="J34" s="2" t="s">
        <v>81</v>
      </c>
      <c r="K34" s="2" t="s">
        <v>82</v>
      </c>
      <c r="L34" s="2" t="s">
        <v>228</v>
      </c>
      <c r="M34" s="2" t="s">
        <v>30</v>
      </c>
      <c r="N34" s="2" t="s">
        <v>42</v>
      </c>
      <c r="O34" s="2" t="s">
        <v>229</v>
      </c>
      <c r="P34" s="4">
        <v>159.1113</v>
      </c>
      <c r="Q34" s="4">
        <v>2</v>
      </c>
      <c r="R34" s="4">
        <v>86.203900000000004</v>
      </c>
      <c r="S34" s="2" t="s">
        <v>65</v>
      </c>
      <c r="T34" s="2" t="s">
        <v>148</v>
      </c>
    </row>
    <row r="35" spans="1:20" x14ac:dyDescent="0.25">
      <c r="A35" s="2" t="s">
        <v>230</v>
      </c>
      <c r="B35" s="3">
        <v>43068</v>
      </c>
      <c r="C35" s="3">
        <v>43071</v>
      </c>
      <c r="D35" s="2" t="s">
        <v>21</v>
      </c>
      <c r="E35" s="2" t="s">
        <v>231</v>
      </c>
      <c r="F35" s="2" t="s">
        <v>232</v>
      </c>
      <c r="G35" s="2" t="s">
        <v>58</v>
      </c>
      <c r="H35" s="2" t="s">
        <v>25</v>
      </c>
      <c r="I35" s="2" t="s">
        <v>233</v>
      </c>
      <c r="J35" s="2" t="s">
        <v>234</v>
      </c>
      <c r="K35" s="2" t="s">
        <v>82</v>
      </c>
      <c r="L35" s="2" t="s">
        <v>235</v>
      </c>
      <c r="M35" s="2" t="s">
        <v>30</v>
      </c>
      <c r="N35" s="2" t="s">
        <v>31</v>
      </c>
      <c r="O35" s="2" t="s">
        <v>236</v>
      </c>
      <c r="P35" s="4">
        <v>136.68219999999999</v>
      </c>
      <c r="Q35" s="4">
        <v>3</v>
      </c>
      <c r="R35" s="4">
        <v>4.4200999999999997</v>
      </c>
      <c r="S35" s="2" t="s">
        <v>92</v>
      </c>
      <c r="T35" s="2" t="s">
        <v>93</v>
      </c>
    </row>
    <row r="36" spans="1:20" x14ac:dyDescent="0.25">
      <c r="A36" s="2" t="s">
        <v>237</v>
      </c>
      <c r="B36" s="3">
        <v>41951</v>
      </c>
      <c r="C36" s="3">
        <v>41958</v>
      </c>
      <c r="D36" s="2" t="s">
        <v>55</v>
      </c>
      <c r="E36" s="2" t="s">
        <v>238</v>
      </c>
      <c r="F36" s="2" t="s">
        <v>239</v>
      </c>
      <c r="G36" s="2" t="s">
        <v>58</v>
      </c>
      <c r="H36" s="2" t="s">
        <v>25</v>
      </c>
      <c r="I36" s="2" t="s">
        <v>59</v>
      </c>
      <c r="J36" s="2" t="s">
        <v>60</v>
      </c>
      <c r="K36" s="2" t="s">
        <v>61</v>
      </c>
      <c r="L36" s="2" t="s">
        <v>99</v>
      </c>
      <c r="M36" s="2" t="s">
        <v>30</v>
      </c>
      <c r="N36" s="2" t="s">
        <v>42</v>
      </c>
      <c r="O36" s="2" t="s">
        <v>100</v>
      </c>
      <c r="P36" s="4">
        <v>149.66929999999999</v>
      </c>
      <c r="Q36" s="4">
        <v>4</v>
      </c>
      <c r="R36" s="4">
        <v>37.200000000000003</v>
      </c>
      <c r="S36" s="2" t="s">
        <v>107</v>
      </c>
      <c r="T36" s="2" t="s">
        <v>93</v>
      </c>
    </row>
    <row r="37" spans="1:20" x14ac:dyDescent="0.25">
      <c r="A37" s="2" t="s">
        <v>240</v>
      </c>
      <c r="B37" s="3">
        <v>41956</v>
      </c>
      <c r="C37" s="3">
        <v>41956</v>
      </c>
      <c r="D37" s="2" t="s">
        <v>21</v>
      </c>
      <c r="E37" s="2" t="s">
        <v>241</v>
      </c>
      <c r="F37" s="2" t="s">
        <v>242</v>
      </c>
      <c r="G37" s="2" t="s">
        <v>38</v>
      </c>
      <c r="H37" s="2" t="s">
        <v>25</v>
      </c>
      <c r="I37" s="2" t="s">
        <v>243</v>
      </c>
      <c r="J37" s="2" t="s">
        <v>244</v>
      </c>
      <c r="K37" s="2" t="s">
        <v>61</v>
      </c>
      <c r="L37" s="2" t="s">
        <v>113</v>
      </c>
      <c r="M37" s="2" t="s">
        <v>30</v>
      </c>
      <c r="N37" s="2" t="s">
        <v>31</v>
      </c>
      <c r="O37" s="2" t="s">
        <v>114</v>
      </c>
      <c r="P37" s="4">
        <v>43.630400000000002</v>
      </c>
      <c r="Q37" s="4">
        <v>2</v>
      </c>
      <c r="R37" s="4">
        <v>-5.3951000000000002</v>
      </c>
      <c r="S37" s="2" t="s">
        <v>121</v>
      </c>
      <c r="T37" s="2" t="s">
        <v>93</v>
      </c>
    </row>
    <row r="38" spans="1:20" x14ac:dyDescent="0.25">
      <c r="A38" s="2" t="s">
        <v>240</v>
      </c>
      <c r="B38" s="3">
        <v>41956</v>
      </c>
      <c r="C38" s="3">
        <v>41956</v>
      </c>
      <c r="D38" s="2" t="s">
        <v>21</v>
      </c>
      <c r="E38" s="2" t="s">
        <v>241</v>
      </c>
      <c r="F38" s="2" t="s">
        <v>242</v>
      </c>
      <c r="G38" s="2" t="s">
        <v>38</v>
      </c>
      <c r="H38" s="2" t="s">
        <v>25</v>
      </c>
      <c r="I38" s="2" t="s">
        <v>243</v>
      </c>
      <c r="J38" s="2" t="s">
        <v>244</v>
      </c>
      <c r="K38" s="2" t="s">
        <v>61</v>
      </c>
      <c r="L38" s="2" t="s">
        <v>245</v>
      </c>
      <c r="M38" s="2" t="s">
        <v>30</v>
      </c>
      <c r="N38" s="2" t="s">
        <v>42</v>
      </c>
      <c r="O38" s="2" t="s">
        <v>246</v>
      </c>
      <c r="P38" s="4">
        <v>740.56399999999996</v>
      </c>
      <c r="Q38" s="4">
        <v>1</v>
      </c>
      <c r="R38" s="4">
        <v>332.6979</v>
      </c>
      <c r="S38" s="2" t="s">
        <v>121</v>
      </c>
      <c r="T38" s="2" t="s">
        <v>93</v>
      </c>
    </row>
    <row r="39" spans="1:20" x14ac:dyDescent="0.25">
      <c r="A39" s="2" t="s">
        <v>247</v>
      </c>
      <c r="B39" s="3">
        <v>42923</v>
      </c>
      <c r="C39" s="3">
        <v>42925</v>
      </c>
      <c r="D39" s="2" t="s">
        <v>21</v>
      </c>
      <c r="E39" s="2" t="s">
        <v>248</v>
      </c>
      <c r="F39" s="2" t="s">
        <v>249</v>
      </c>
      <c r="G39" s="2" t="s">
        <v>58</v>
      </c>
      <c r="H39" s="2" t="s">
        <v>25</v>
      </c>
      <c r="I39" s="2" t="s">
        <v>250</v>
      </c>
      <c r="J39" s="2" t="s">
        <v>251</v>
      </c>
      <c r="K39" s="2" t="s">
        <v>147</v>
      </c>
      <c r="L39" s="2" t="s">
        <v>45</v>
      </c>
      <c r="M39" s="2" t="s">
        <v>30</v>
      </c>
      <c r="N39" s="2" t="s">
        <v>31</v>
      </c>
      <c r="O39" s="2" t="s">
        <v>46</v>
      </c>
      <c r="P39" s="4">
        <v>859.28959999999995</v>
      </c>
      <c r="Q39" s="4">
        <v>3</v>
      </c>
      <c r="R39" s="4">
        <v>68.949399999999997</v>
      </c>
      <c r="S39" s="2" t="s">
        <v>53</v>
      </c>
      <c r="T39" s="2" t="s">
        <v>86</v>
      </c>
    </row>
    <row r="40" spans="1:20" x14ac:dyDescent="0.25">
      <c r="A40" s="2" t="s">
        <v>247</v>
      </c>
      <c r="B40" s="3">
        <v>42923</v>
      </c>
      <c r="C40" s="3">
        <v>42925</v>
      </c>
      <c r="D40" s="2" t="s">
        <v>21</v>
      </c>
      <c r="E40" s="2" t="s">
        <v>248</v>
      </c>
      <c r="F40" s="2" t="s">
        <v>249</v>
      </c>
      <c r="G40" s="2" t="s">
        <v>58</v>
      </c>
      <c r="H40" s="2" t="s">
        <v>25</v>
      </c>
      <c r="I40" s="2" t="s">
        <v>250</v>
      </c>
      <c r="J40" s="2" t="s">
        <v>251</v>
      </c>
      <c r="K40" s="2" t="s">
        <v>147</v>
      </c>
      <c r="L40" s="2" t="s">
        <v>235</v>
      </c>
      <c r="M40" s="2" t="s">
        <v>30</v>
      </c>
      <c r="N40" s="2" t="s">
        <v>31</v>
      </c>
      <c r="O40" s="2" t="s">
        <v>236</v>
      </c>
      <c r="P40" s="4">
        <v>69.425399999999996</v>
      </c>
      <c r="Q40" s="4">
        <v>5</v>
      </c>
      <c r="R40" s="4">
        <v>36.921700000000001</v>
      </c>
      <c r="S40" s="2" t="s">
        <v>53</v>
      </c>
      <c r="T40" s="2" t="s">
        <v>86</v>
      </c>
    </row>
    <row r="41" spans="1:20" x14ac:dyDescent="0.25">
      <c r="A41" s="2" t="s">
        <v>247</v>
      </c>
      <c r="B41" s="3">
        <v>42923</v>
      </c>
      <c r="C41" s="3">
        <v>42925</v>
      </c>
      <c r="D41" s="2" t="s">
        <v>21</v>
      </c>
      <c r="E41" s="2" t="s">
        <v>248</v>
      </c>
      <c r="F41" s="2" t="s">
        <v>249</v>
      </c>
      <c r="G41" s="2" t="s">
        <v>58</v>
      </c>
      <c r="H41" s="2" t="s">
        <v>25</v>
      </c>
      <c r="I41" s="2" t="s">
        <v>250</v>
      </c>
      <c r="J41" s="2" t="s">
        <v>251</v>
      </c>
      <c r="K41" s="2" t="s">
        <v>147</v>
      </c>
      <c r="L41" s="2" t="s">
        <v>252</v>
      </c>
      <c r="M41" s="2" t="s">
        <v>30</v>
      </c>
      <c r="N41" s="2" t="s">
        <v>31</v>
      </c>
      <c r="O41" s="2" t="s">
        <v>253</v>
      </c>
      <c r="P41" s="4">
        <v>20.010300000000001</v>
      </c>
      <c r="Q41" s="4">
        <v>4</v>
      </c>
      <c r="R41" s="4">
        <v>10.147600000000001</v>
      </c>
      <c r="S41" s="2" t="s">
        <v>53</v>
      </c>
      <c r="T41" s="2" t="s">
        <v>86</v>
      </c>
    </row>
    <row r="42" spans="1:20" x14ac:dyDescent="0.25">
      <c r="A42" s="2" t="s">
        <v>247</v>
      </c>
      <c r="B42" s="3">
        <v>42923</v>
      </c>
      <c r="C42" s="3">
        <v>42925</v>
      </c>
      <c r="D42" s="2" t="s">
        <v>21</v>
      </c>
      <c r="E42" s="2" t="s">
        <v>248</v>
      </c>
      <c r="F42" s="2" t="s">
        <v>249</v>
      </c>
      <c r="G42" s="2" t="s">
        <v>58</v>
      </c>
      <c r="H42" s="2" t="s">
        <v>25</v>
      </c>
      <c r="I42" s="2" t="s">
        <v>250</v>
      </c>
      <c r="J42" s="2" t="s">
        <v>251</v>
      </c>
      <c r="K42" s="2" t="s">
        <v>147</v>
      </c>
      <c r="L42" s="2" t="s">
        <v>254</v>
      </c>
      <c r="M42" s="2" t="s">
        <v>30</v>
      </c>
      <c r="N42" s="2" t="s">
        <v>162</v>
      </c>
      <c r="O42" s="2" t="s">
        <v>255</v>
      </c>
      <c r="P42" s="4">
        <v>595.16930000000002</v>
      </c>
      <c r="Q42" s="4">
        <v>2</v>
      </c>
      <c r="R42" s="4">
        <v>-15.8058</v>
      </c>
      <c r="S42" s="2" t="s">
        <v>53</v>
      </c>
      <c r="T42" s="2" t="s">
        <v>86</v>
      </c>
    </row>
    <row r="43" spans="1:20" x14ac:dyDescent="0.25">
      <c r="A43" s="2" t="s">
        <v>256</v>
      </c>
      <c r="B43" s="3">
        <v>42253</v>
      </c>
      <c r="C43" s="3">
        <v>42255</v>
      </c>
      <c r="D43" s="2" t="s">
        <v>55</v>
      </c>
      <c r="E43" s="2" t="s">
        <v>257</v>
      </c>
      <c r="F43" s="2" t="s">
        <v>258</v>
      </c>
      <c r="G43" s="2" t="s">
        <v>58</v>
      </c>
      <c r="H43" s="2" t="s">
        <v>25</v>
      </c>
      <c r="I43" s="2" t="s">
        <v>259</v>
      </c>
      <c r="J43" s="2" t="s">
        <v>260</v>
      </c>
      <c r="K43" s="2" t="s">
        <v>147</v>
      </c>
      <c r="L43" s="2" t="s">
        <v>161</v>
      </c>
      <c r="M43" s="2" t="s">
        <v>30</v>
      </c>
      <c r="N43" s="2" t="s">
        <v>162</v>
      </c>
      <c r="O43" s="2" t="s">
        <v>163</v>
      </c>
      <c r="P43" s="4">
        <v>177.4624</v>
      </c>
      <c r="Q43" s="4">
        <v>6</v>
      </c>
      <c r="R43" s="4">
        <v>64.691400000000002</v>
      </c>
      <c r="S43" s="2" t="s">
        <v>53</v>
      </c>
      <c r="T43" s="2" t="s">
        <v>148</v>
      </c>
    </row>
    <row r="44" spans="1:20" x14ac:dyDescent="0.25">
      <c r="A44" s="2" t="s">
        <v>261</v>
      </c>
      <c r="B44" s="3">
        <v>42008</v>
      </c>
      <c r="C44" s="3">
        <v>42010</v>
      </c>
      <c r="D44" s="2" t="s">
        <v>55</v>
      </c>
      <c r="E44" s="2" t="s">
        <v>262</v>
      </c>
      <c r="F44" s="2" t="s">
        <v>263</v>
      </c>
      <c r="G44" s="2" t="s">
        <v>58</v>
      </c>
      <c r="H44" s="2" t="s">
        <v>25</v>
      </c>
      <c r="I44" s="2" t="s">
        <v>137</v>
      </c>
      <c r="J44" s="2" t="s">
        <v>138</v>
      </c>
      <c r="K44" s="2" t="s">
        <v>82</v>
      </c>
      <c r="L44" s="2" t="s">
        <v>66</v>
      </c>
      <c r="M44" s="2" t="s">
        <v>30</v>
      </c>
      <c r="N44" s="2" t="s">
        <v>31</v>
      </c>
      <c r="O44" s="2" t="s">
        <v>67</v>
      </c>
      <c r="P44" s="4">
        <v>17.770700000000001</v>
      </c>
      <c r="Q44" s="4">
        <v>5</v>
      </c>
      <c r="R44" s="4">
        <v>6.6284000000000001</v>
      </c>
      <c r="S44" s="2" t="s">
        <v>53</v>
      </c>
      <c r="T44" s="2" t="s">
        <v>115</v>
      </c>
    </row>
    <row r="45" spans="1:20" x14ac:dyDescent="0.25">
      <c r="A45" s="2" t="s">
        <v>264</v>
      </c>
      <c r="B45" s="3">
        <v>42162</v>
      </c>
      <c r="C45" s="3">
        <v>42162</v>
      </c>
      <c r="D45" s="2" t="s">
        <v>142</v>
      </c>
      <c r="E45" s="2" t="s">
        <v>265</v>
      </c>
      <c r="F45" s="2" t="s">
        <v>266</v>
      </c>
      <c r="G45" s="2" t="s">
        <v>24</v>
      </c>
      <c r="H45" s="2" t="s">
        <v>25</v>
      </c>
      <c r="I45" s="2" t="s">
        <v>51</v>
      </c>
      <c r="J45" s="2" t="s">
        <v>52</v>
      </c>
      <c r="K45" s="2" t="s">
        <v>28</v>
      </c>
      <c r="L45" s="2" t="s">
        <v>193</v>
      </c>
      <c r="M45" s="2" t="s">
        <v>30</v>
      </c>
      <c r="N45" s="2" t="s">
        <v>42</v>
      </c>
      <c r="O45" s="2" t="s">
        <v>194</v>
      </c>
      <c r="P45" s="4">
        <v>1091.3311000000001</v>
      </c>
      <c r="Q45" s="4">
        <v>4</v>
      </c>
      <c r="R45" s="4">
        <v>365.53550000000001</v>
      </c>
      <c r="S45" s="2" t="s">
        <v>121</v>
      </c>
      <c r="T45" s="2" t="s">
        <v>133</v>
      </c>
    </row>
    <row r="46" spans="1:20" x14ac:dyDescent="0.25">
      <c r="A46" s="2" t="s">
        <v>264</v>
      </c>
      <c r="B46" s="3">
        <v>42162</v>
      </c>
      <c r="C46" s="3">
        <v>42162</v>
      </c>
      <c r="D46" s="2" t="s">
        <v>142</v>
      </c>
      <c r="E46" s="2" t="s">
        <v>265</v>
      </c>
      <c r="F46" s="2" t="s">
        <v>266</v>
      </c>
      <c r="G46" s="2" t="s">
        <v>24</v>
      </c>
      <c r="H46" s="2" t="s">
        <v>25</v>
      </c>
      <c r="I46" s="2" t="s">
        <v>51</v>
      </c>
      <c r="J46" s="2" t="s">
        <v>52</v>
      </c>
      <c r="K46" s="2" t="s">
        <v>28</v>
      </c>
      <c r="L46" s="2" t="s">
        <v>66</v>
      </c>
      <c r="M46" s="2" t="s">
        <v>30</v>
      </c>
      <c r="N46" s="2" t="s">
        <v>31</v>
      </c>
      <c r="O46" s="2" t="s">
        <v>67</v>
      </c>
      <c r="P46" s="4">
        <v>39.747199999999999</v>
      </c>
      <c r="Q46" s="4">
        <v>2</v>
      </c>
      <c r="R46" s="4">
        <v>16.121500000000001</v>
      </c>
      <c r="S46" s="2" t="s">
        <v>121</v>
      </c>
      <c r="T46" s="2" t="s">
        <v>133</v>
      </c>
    </row>
    <row r="47" spans="1:20" x14ac:dyDescent="0.25">
      <c r="A47" s="2" t="s">
        <v>264</v>
      </c>
      <c r="B47" s="3">
        <v>42162</v>
      </c>
      <c r="C47" s="3">
        <v>42162</v>
      </c>
      <c r="D47" s="2" t="s">
        <v>142</v>
      </c>
      <c r="E47" s="2" t="s">
        <v>265</v>
      </c>
      <c r="F47" s="2" t="s">
        <v>266</v>
      </c>
      <c r="G47" s="2" t="s">
        <v>24</v>
      </c>
      <c r="H47" s="2" t="s">
        <v>25</v>
      </c>
      <c r="I47" s="2" t="s">
        <v>51</v>
      </c>
      <c r="J47" s="2" t="s">
        <v>52</v>
      </c>
      <c r="K47" s="2" t="s">
        <v>28</v>
      </c>
      <c r="L47" s="2" t="s">
        <v>207</v>
      </c>
      <c r="M47" s="2" t="s">
        <v>30</v>
      </c>
      <c r="N47" s="2" t="s">
        <v>31</v>
      </c>
      <c r="O47" s="2" t="s">
        <v>208</v>
      </c>
      <c r="P47" s="4">
        <v>40.002200000000002</v>
      </c>
      <c r="Q47" s="4">
        <v>6</v>
      </c>
      <c r="R47" s="4">
        <v>12.136200000000001</v>
      </c>
      <c r="S47" s="2" t="s">
        <v>121</v>
      </c>
      <c r="T47" s="2" t="s">
        <v>133</v>
      </c>
    </row>
    <row r="48" spans="1:20" x14ac:dyDescent="0.25">
      <c r="A48" s="2" t="s">
        <v>267</v>
      </c>
      <c r="B48" s="3">
        <v>42427</v>
      </c>
      <c r="C48" s="3">
        <v>42427</v>
      </c>
      <c r="D48" s="2" t="s">
        <v>142</v>
      </c>
      <c r="E48" s="2" t="s">
        <v>268</v>
      </c>
      <c r="F48" s="2" t="s">
        <v>269</v>
      </c>
      <c r="G48" s="2" t="s">
        <v>58</v>
      </c>
      <c r="H48" s="2" t="s">
        <v>25</v>
      </c>
      <c r="I48" s="2" t="s">
        <v>270</v>
      </c>
      <c r="J48" s="2" t="s">
        <v>72</v>
      </c>
      <c r="K48" s="2" t="s">
        <v>61</v>
      </c>
      <c r="L48" s="2" t="s">
        <v>235</v>
      </c>
      <c r="M48" s="2" t="s">
        <v>30</v>
      </c>
      <c r="N48" s="2" t="s">
        <v>31</v>
      </c>
      <c r="O48" s="2" t="s">
        <v>236</v>
      </c>
      <c r="P48" s="4">
        <v>38.910699999999999</v>
      </c>
      <c r="Q48" s="4">
        <v>11</v>
      </c>
      <c r="R48" s="4">
        <v>-5.7161999999999997</v>
      </c>
      <c r="S48" s="2" t="s">
        <v>121</v>
      </c>
      <c r="T48" s="2" t="s">
        <v>101</v>
      </c>
    </row>
    <row r="49" spans="1:20" x14ac:dyDescent="0.25">
      <c r="A49" s="2" t="s">
        <v>271</v>
      </c>
      <c r="B49" s="3">
        <v>42450</v>
      </c>
      <c r="C49" s="3">
        <v>42451</v>
      </c>
      <c r="D49" s="2" t="s">
        <v>48</v>
      </c>
      <c r="E49" s="2" t="s">
        <v>272</v>
      </c>
      <c r="F49" s="2" t="s">
        <v>273</v>
      </c>
      <c r="G49" s="2" t="s">
        <v>38</v>
      </c>
      <c r="H49" s="2" t="s">
        <v>25</v>
      </c>
      <c r="I49" s="2" t="s">
        <v>274</v>
      </c>
      <c r="J49" s="2" t="s">
        <v>146</v>
      </c>
      <c r="K49" s="2" t="s">
        <v>147</v>
      </c>
      <c r="L49" s="2" t="s">
        <v>245</v>
      </c>
      <c r="M49" s="2" t="s">
        <v>30</v>
      </c>
      <c r="N49" s="2" t="s">
        <v>42</v>
      </c>
      <c r="O49" s="2" t="s">
        <v>246</v>
      </c>
      <c r="P49" s="4">
        <v>851.43330000000003</v>
      </c>
      <c r="Q49" s="4">
        <v>3</v>
      </c>
      <c r="R49" s="4">
        <v>37.409100000000002</v>
      </c>
      <c r="S49" s="2" t="s">
        <v>33</v>
      </c>
      <c r="T49" s="2" t="s">
        <v>44</v>
      </c>
    </row>
    <row r="50" spans="1:20" x14ac:dyDescent="0.25">
      <c r="A50" s="2" t="s">
        <v>275</v>
      </c>
      <c r="B50" s="3">
        <v>42088</v>
      </c>
      <c r="C50" s="3">
        <v>42090</v>
      </c>
      <c r="D50" s="2" t="s">
        <v>48</v>
      </c>
      <c r="E50" s="2" t="s">
        <v>276</v>
      </c>
      <c r="F50" s="2" t="s">
        <v>277</v>
      </c>
      <c r="G50" s="2" t="s">
        <v>58</v>
      </c>
      <c r="H50" s="2" t="s">
        <v>25</v>
      </c>
      <c r="I50" s="2" t="s">
        <v>278</v>
      </c>
      <c r="J50" s="2" t="s">
        <v>279</v>
      </c>
      <c r="K50" s="2" t="s">
        <v>28</v>
      </c>
      <c r="L50" s="2" t="s">
        <v>174</v>
      </c>
      <c r="M50" s="2" t="s">
        <v>30</v>
      </c>
      <c r="N50" s="2" t="s">
        <v>31</v>
      </c>
      <c r="O50" s="2" t="s">
        <v>175</v>
      </c>
      <c r="P50" s="4">
        <v>40.720799999999997</v>
      </c>
      <c r="Q50" s="4">
        <v>5</v>
      </c>
      <c r="R50" s="4">
        <v>4.2659000000000002</v>
      </c>
      <c r="S50" s="2" t="s">
        <v>53</v>
      </c>
      <c r="T50" s="2" t="s">
        <v>44</v>
      </c>
    </row>
    <row r="51" spans="1:20" x14ac:dyDescent="0.25">
      <c r="A51" s="2" t="s">
        <v>280</v>
      </c>
      <c r="B51" s="3">
        <v>42826</v>
      </c>
      <c r="C51" s="3">
        <v>42829</v>
      </c>
      <c r="D51" s="2" t="s">
        <v>55</v>
      </c>
      <c r="E51" s="2" t="s">
        <v>281</v>
      </c>
      <c r="F51" s="2" t="s">
        <v>282</v>
      </c>
      <c r="G51" s="2" t="s">
        <v>58</v>
      </c>
      <c r="H51" s="2" t="s">
        <v>25</v>
      </c>
      <c r="I51" s="2" t="s">
        <v>243</v>
      </c>
      <c r="J51" s="2" t="s">
        <v>244</v>
      </c>
      <c r="K51" s="2" t="s">
        <v>61</v>
      </c>
      <c r="L51" s="2" t="s">
        <v>283</v>
      </c>
      <c r="M51" s="2" t="s">
        <v>30</v>
      </c>
      <c r="N51" s="2" t="s">
        <v>162</v>
      </c>
      <c r="O51" s="2" t="s">
        <v>284</v>
      </c>
      <c r="P51" s="4">
        <v>851.75250000000005</v>
      </c>
      <c r="Q51" s="4">
        <v>2</v>
      </c>
      <c r="R51" s="4">
        <v>151.77969999999999</v>
      </c>
      <c r="S51" s="2" t="s">
        <v>92</v>
      </c>
      <c r="T51" s="2" t="s">
        <v>108</v>
      </c>
    </row>
    <row r="52" spans="1:20" x14ac:dyDescent="0.25">
      <c r="A52" s="2" t="s">
        <v>285</v>
      </c>
      <c r="B52" s="3">
        <v>42727</v>
      </c>
      <c r="C52" s="3">
        <v>42728</v>
      </c>
      <c r="D52" s="2" t="s">
        <v>48</v>
      </c>
      <c r="E52" s="2" t="s">
        <v>286</v>
      </c>
      <c r="F52" s="2" t="s">
        <v>287</v>
      </c>
      <c r="G52" s="2" t="s">
        <v>58</v>
      </c>
      <c r="H52" s="2" t="s">
        <v>25</v>
      </c>
      <c r="I52" s="2" t="s">
        <v>288</v>
      </c>
      <c r="J52" s="2" t="s">
        <v>289</v>
      </c>
      <c r="K52" s="2" t="s">
        <v>82</v>
      </c>
      <c r="L52" s="2" t="s">
        <v>228</v>
      </c>
      <c r="M52" s="2" t="s">
        <v>30</v>
      </c>
      <c r="N52" s="2" t="s">
        <v>42</v>
      </c>
      <c r="O52" s="2" t="s">
        <v>229</v>
      </c>
      <c r="P52" s="4">
        <v>252.98699999999999</v>
      </c>
      <c r="Q52" s="4">
        <v>5</v>
      </c>
      <c r="R52" s="4">
        <v>68.997</v>
      </c>
      <c r="S52" s="2" t="s">
        <v>33</v>
      </c>
      <c r="T52" s="2" t="s">
        <v>76</v>
      </c>
    </row>
    <row r="53" spans="1:20" x14ac:dyDescent="0.25">
      <c r="A53" s="2" t="s">
        <v>285</v>
      </c>
      <c r="B53" s="3">
        <v>42727</v>
      </c>
      <c r="C53" s="3">
        <v>42728</v>
      </c>
      <c r="D53" s="2" t="s">
        <v>48</v>
      </c>
      <c r="E53" s="2" t="s">
        <v>286</v>
      </c>
      <c r="F53" s="2" t="s">
        <v>287</v>
      </c>
      <c r="G53" s="2" t="s">
        <v>58</v>
      </c>
      <c r="H53" s="2" t="s">
        <v>25</v>
      </c>
      <c r="I53" s="2" t="s">
        <v>288</v>
      </c>
      <c r="J53" s="2" t="s">
        <v>289</v>
      </c>
      <c r="K53" s="2" t="s">
        <v>82</v>
      </c>
      <c r="L53" s="2" t="s">
        <v>218</v>
      </c>
      <c r="M53" s="2" t="s">
        <v>30</v>
      </c>
      <c r="N53" s="2" t="s">
        <v>31</v>
      </c>
      <c r="O53" s="2" t="s">
        <v>219</v>
      </c>
      <c r="P53" s="4">
        <v>57.712499999999999</v>
      </c>
      <c r="Q53" s="4">
        <v>4</v>
      </c>
      <c r="R53" s="4">
        <v>38.718200000000003</v>
      </c>
      <c r="S53" s="2" t="s">
        <v>33</v>
      </c>
      <c r="T53" s="2" t="s">
        <v>76</v>
      </c>
    </row>
    <row r="54" spans="1:20" x14ac:dyDescent="0.25">
      <c r="A54" s="2" t="s">
        <v>285</v>
      </c>
      <c r="B54" s="3">
        <v>42727</v>
      </c>
      <c r="C54" s="3">
        <v>42728</v>
      </c>
      <c r="D54" s="2" t="s">
        <v>48</v>
      </c>
      <c r="E54" s="2" t="s">
        <v>286</v>
      </c>
      <c r="F54" s="2" t="s">
        <v>287</v>
      </c>
      <c r="G54" s="2" t="s">
        <v>58</v>
      </c>
      <c r="H54" s="2" t="s">
        <v>25</v>
      </c>
      <c r="I54" s="2" t="s">
        <v>288</v>
      </c>
      <c r="J54" s="2" t="s">
        <v>289</v>
      </c>
      <c r="K54" s="2" t="s">
        <v>82</v>
      </c>
      <c r="L54" s="2" t="s">
        <v>45</v>
      </c>
      <c r="M54" s="2" t="s">
        <v>30</v>
      </c>
      <c r="N54" s="2" t="s">
        <v>31</v>
      </c>
      <c r="O54" s="2" t="s">
        <v>46</v>
      </c>
      <c r="P54" s="4">
        <v>55.5702</v>
      </c>
      <c r="Q54" s="4">
        <v>1</v>
      </c>
      <c r="R54" s="4">
        <v>22.435600000000001</v>
      </c>
      <c r="S54" s="2" t="s">
        <v>33</v>
      </c>
      <c r="T54" s="2" t="s">
        <v>76</v>
      </c>
    </row>
    <row r="55" spans="1:20" x14ac:dyDescent="0.25">
      <c r="A55" s="2" t="s">
        <v>290</v>
      </c>
      <c r="B55" s="3">
        <v>42781</v>
      </c>
      <c r="C55" s="3">
        <v>42786</v>
      </c>
      <c r="D55" s="2" t="s">
        <v>55</v>
      </c>
      <c r="E55" s="2" t="s">
        <v>291</v>
      </c>
      <c r="F55" s="2" t="s">
        <v>292</v>
      </c>
      <c r="G55" s="2" t="s">
        <v>38</v>
      </c>
      <c r="H55" s="2" t="s">
        <v>25</v>
      </c>
      <c r="I55" s="2" t="s">
        <v>293</v>
      </c>
      <c r="J55" s="2" t="s">
        <v>260</v>
      </c>
      <c r="K55" s="2" t="s">
        <v>147</v>
      </c>
      <c r="L55" s="2" t="s">
        <v>29</v>
      </c>
      <c r="M55" s="2" t="s">
        <v>30</v>
      </c>
      <c r="N55" s="2" t="s">
        <v>31</v>
      </c>
      <c r="O55" s="2" t="s">
        <v>32</v>
      </c>
      <c r="P55" s="4">
        <v>169.0609</v>
      </c>
      <c r="Q55" s="4">
        <v>2</v>
      </c>
      <c r="R55" s="4">
        <v>94.099500000000006</v>
      </c>
      <c r="S55" s="2" t="s">
        <v>85</v>
      </c>
      <c r="T55" s="2" t="s">
        <v>101</v>
      </c>
    </row>
    <row r="56" spans="1:20" x14ac:dyDescent="0.25">
      <c r="A56" s="2" t="s">
        <v>294</v>
      </c>
      <c r="B56" s="3">
        <v>42420</v>
      </c>
      <c r="C56" s="3">
        <v>42422</v>
      </c>
      <c r="D56" s="2" t="s">
        <v>48</v>
      </c>
      <c r="E56" s="2" t="s">
        <v>295</v>
      </c>
      <c r="F56" s="2" t="s">
        <v>296</v>
      </c>
      <c r="G56" s="2" t="s">
        <v>38</v>
      </c>
      <c r="H56" s="2" t="s">
        <v>25</v>
      </c>
      <c r="I56" s="2" t="s">
        <v>297</v>
      </c>
      <c r="J56" s="2" t="s">
        <v>234</v>
      </c>
      <c r="K56" s="2" t="s">
        <v>82</v>
      </c>
      <c r="L56" s="2" t="s">
        <v>235</v>
      </c>
      <c r="M56" s="2" t="s">
        <v>30</v>
      </c>
      <c r="N56" s="2" t="s">
        <v>31</v>
      </c>
      <c r="O56" s="2" t="s">
        <v>236</v>
      </c>
      <c r="P56" s="4">
        <v>92.009200000000007</v>
      </c>
      <c r="Q56" s="4">
        <v>4</v>
      </c>
      <c r="R56" s="4">
        <v>13.725899999999999</v>
      </c>
      <c r="S56" s="2" t="s">
        <v>53</v>
      </c>
      <c r="T56" s="2" t="s">
        <v>101</v>
      </c>
    </row>
    <row r="57" spans="1:20" x14ac:dyDescent="0.25">
      <c r="A57" s="2" t="s">
        <v>298</v>
      </c>
      <c r="B57" s="3">
        <v>41769</v>
      </c>
      <c r="C57" s="3">
        <v>41769</v>
      </c>
      <c r="D57" s="2" t="s">
        <v>142</v>
      </c>
      <c r="E57" s="2" t="s">
        <v>299</v>
      </c>
      <c r="F57" s="2" t="s">
        <v>300</v>
      </c>
      <c r="G57" s="2" t="s">
        <v>38</v>
      </c>
      <c r="H57" s="2" t="s">
        <v>25</v>
      </c>
      <c r="I57" s="2" t="s">
        <v>152</v>
      </c>
      <c r="J57" s="2" t="s">
        <v>153</v>
      </c>
      <c r="K57" s="2" t="s">
        <v>147</v>
      </c>
      <c r="L57" s="2" t="s">
        <v>301</v>
      </c>
      <c r="M57" s="2" t="s">
        <v>30</v>
      </c>
      <c r="N57" s="2" t="s">
        <v>162</v>
      </c>
      <c r="O57" s="2" t="s">
        <v>302</v>
      </c>
      <c r="P57" s="4">
        <v>946.47209999999995</v>
      </c>
      <c r="Q57" s="4">
        <v>7</v>
      </c>
      <c r="R57" s="4">
        <v>-79.045400000000001</v>
      </c>
      <c r="S57" s="2" t="s">
        <v>121</v>
      </c>
      <c r="T57" s="2" t="s">
        <v>122</v>
      </c>
    </row>
    <row r="58" spans="1:20" x14ac:dyDescent="0.25">
      <c r="A58" s="2" t="s">
        <v>303</v>
      </c>
      <c r="B58" s="3">
        <v>42120</v>
      </c>
      <c r="C58" s="3">
        <v>42123</v>
      </c>
      <c r="D58" s="2" t="s">
        <v>21</v>
      </c>
      <c r="E58" s="2" t="s">
        <v>304</v>
      </c>
      <c r="F58" s="2" t="s">
        <v>305</v>
      </c>
      <c r="G58" s="2" t="s">
        <v>58</v>
      </c>
      <c r="H58" s="2" t="s">
        <v>25</v>
      </c>
      <c r="I58" s="2" t="s">
        <v>137</v>
      </c>
      <c r="J58" s="2" t="s">
        <v>138</v>
      </c>
      <c r="K58" s="2" t="s">
        <v>82</v>
      </c>
      <c r="L58" s="2" t="s">
        <v>29</v>
      </c>
      <c r="M58" s="2" t="s">
        <v>30</v>
      </c>
      <c r="N58" s="2" t="s">
        <v>31</v>
      </c>
      <c r="O58" s="2" t="s">
        <v>32</v>
      </c>
      <c r="P58" s="4">
        <v>149.36859999999999</v>
      </c>
      <c r="Q58" s="4">
        <v>5</v>
      </c>
      <c r="R58" s="4">
        <v>-30.436800000000002</v>
      </c>
      <c r="S58" s="2" t="s">
        <v>92</v>
      </c>
      <c r="T58" s="2" t="s">
        <v>108</v>
      </c>
    </row>
    <row r="59" spans="1:20" x14ac:dyDescent="0.25">
      <c r="A59" s="2" t="s">
        <v>306</v>
      </c>
      <c r="B59" s="3">
        <v>42475</v>
      </c>
      <c r="C59" s="3">
        <v>42475</v>
      </c>
      <c r="D59" s="2" t="s">
        <v>142</v>
      </c>
      <c r="E59" s="2" t="s">
        <v>307</v>
      </c>
      <c r="F59" s="2" t="s">
        <v>308</v>
      </c>
      <c r="G59" s="2" t="s">
        <v>38</v>
      </c>
      <c r="H59" s="2" t="s">
        <v>25</v>
      </c>
      <c r="I59" s="2" t="s">
        <v>309</v>
      </c>
      <c r="J59" s="2" t="s">
        <v>310</v>
      </c>
      <c r="K59" s="2" t="s">
        <v>28</v>
      </c>
      <c r="L59" s="2" t="s">
        <v>311</v>
      </c>
      <c r="M59" s="2" t="s">
        <v>30</v>
      </c>
      <c r="N59" s="2" t="s">
        <v>63</v>
      </c>
      <c r="O59" s="2" t="s">
        <v>312</v>
      </c>
      <c r="P59" s="4">
        <v>71.814300000000003</v>
      </c>
      <c r="Q59" s="4">
        <v>3</v>
      </c>
      <c r="R59" s="4">
        <v>-21.824200000000001</v>
      </c>
      <c r="S59" s="2" t="s">
        <v>121</v>
      </c>
      <c r="T59" s="2" t="s">
        <v>108</v>
      </c>
    </row>
    <row r="60" spans="1:20" x14ac:dyDescent="0.25">
      <c r="A60" s="2" t="s">
        <v>306</v>
      </c>
      <c r="B60" s="3">
        <v>42475</v>
      </c>
      <c r="C60" s="3">
        <v>42475</v>
      </c>
      <c r="D60" s="2" t="s">
        <v>142</v>
      </c>
      <c r="E60" s="2" t="s">
        <v>307</v>
      </c>
      <c r="F60" s="2" t="s">
        <v>308</v>
      </c>
      <c r="G60" s="2" t="s">
        <v>38</v>
      </c>
      <c r="H60" s="2" t="s">
        <v>25</v>
      </c>
      <c r="I60" s="2" t="s">
        <v>309</v>
      </c>
      <c r="J60" s="2" t="s">
        <v>310</v>
      </c>
      <c r="K60" s="2" t="s">
        <v>28</v>
      </c>
      <c r="L60" s="2" t="s">
        <v>99</v>
      </c>
      <c r="M60" s="2" t="s">
        <v>30</v>
      </c>
      <c r="N60" s="2" t="s">
        <v>42</v>
      </c>
      <c r="O60" s="2" t="s">
        <v>100</v>
      </c>
      <c r="P60" s="4">
        <v>2662.4767999999999</v>
      </c>
      <c r="Q60" s="4">
        <v>1</v>
      </c>
      <c r="R60" s="4">
        <v>-82.333299999999994</v>
      </c>
      <c r="S60" s="2" t="s">
        <v>121</v>
      </c>
      <c r="T60" s="2" t="s">
        <v>108</v>
      </c>
    </row>
    <row r="61" spans="1:20" x14ac:dyDescent="0.25">
      <c r="A61" s="2" t="s">
        <v>313</v>
      </c>
      <c r="B61" s="3">
        <v>42374</v>
      </c>
      <c r="C61" s="3">
        <v>42378</v>
      </c>
      <c r="D61" s="2" t="s">
        <v>21</v>
      </c>
      <c r="E61" s="2" t="s">
        <v>314</v>
      </c>
      <c r="F61" s="2" t="s">
        <v>315</v>
      </c>
      <c r="G61" s="2" t="s">
        <v>58</v>
      </c>
      <c r="H61" s="2" t="s">
        <v>25</v>
      </c>
      <c r="I61" s="2" t="s">
        <v>212</v>
      </c>
      <c r="J61" s="2" t="s">
        <v>185</v>
      </c>
      <c r="K61" s="2" t="s">
        <v>147</v>
      </c>
      <c r="L61" s="2" t="s">
        <v>62</v>
      </c>
      <c r="M61" s="2" t="s">
        <v>30</v>
      </c>
      <c r="N61" s="2" t="s">
        <v>63</v>
      </c>
      <c r="O61" s="2" t="s">
        <v>64</v>
      </c>
      <c r="P61" s="4">
        <v>337.54070000000002</v>
      </c>
      <c r="Q61" s="4">
        <v>2</v>
      </c>
      <c r="R61" s="4">
        <v>-46.290799999999997</v>
      </c>
      <c r="S61" s="2" t="s">
        <v>75</v>
      </c>
      <c r="T61" s="2" t="s">
        <v>115</v>
      </c>
    </row>
    <row r="62" spans="1:20" x14ac:dyDescent="0.25">
      <c r="A62" s="2" t="s">
        <v>313</v>
      </c>
      <c r="B62" s="3">
        <v>42374</v>
      </c>
      <c r="C62" s="3">
        <v>42378</v>
      </c>
      <c r="D62" s="2" t="s">
        <v>21</v>
      </c>
      <c r="E62" s="2" t="s">
        <v>314</v>
      </c>
      <c r="F62" s="2" t="s">
        <v>315</v>
      </c>
      <c r="G62" s="2" t="s">
        <v>58</v>
      </c>
      <c r="H62" s="2" t="s">
        <v>25</v>
      </c>
      <c r="I62" s="2" t="s">
        <v>212</v>
      </c>
      <c r="J62" s="2" t="s">
        <v>185</v>
      </c>
      <c r="K62" s="2" t="s">
        <v>147</v>
      </c>
      <c r="L62" s="2" t="s">
        <v>316</v>
      </c>
      <c r="M62" s="2" t="s">
        <v>30</v>
      </c>
      <c r="N62" s="2" t="s">
        <v>42</v>
      </c>
      <c r="O62" s="2" t="s">
        <v>317</v>
      </c>
      <c r="P62" s="4">
        <v>201.18350000000001</v>
      </c>
      <c r="Q62" s="4">
        <v>5</v>
      </c>
      <c r="R62" s="4">
        <v>146.06720000000001</v>
      </c>
      <c r="S62" s="2" t="s">
        <v>75</v>
      </c>
      <c r="T62" s="2" t="s">
        <v>115</v>
      </c>
    </row>
    <row r="63" spans="1:20" x14ac:dyDescent="0.25">
      <c r="A63" s="2" t="s">
        <v>313</v>
      </c>
      <c r="B63" s="3">
        <v>42374</v>
      </c>
      <c r="C63" s="3">
        <v>42378</v>
      </c>
      <c r="D63" s="2" t="s">
        <v>21</v>
      </c>
      <c r="E63" s="2" t="s">
        <v>314</v>
      </c>
      <c r="F63" s="2" t="s">
        <v>315</v>
      </c>
      <c r="G63" s="2" t="s">
        <v>58</v>
      </c>
      <c r="H63" s="2" t="s">
        <v>25</v>
      </c>
      <c r="I63" s="2" t="s">
        <v>212</v>
      </c>
      <c r="J63" s="2" t="s">
        <v>185</v>
      </c>
      <c r="K63" s="2" t="s">
        <v>147</v>
      </c>
      <c r="L63" s="2" t="s">
        <v>207</v>
      </c>
      <c r="M63" s="2" t="s">
        <v>30</v>
      </c>
      <c r="N63" s="2" t="s">
        <v>31</v>
      </c>
      <c r="O63" s="2" t="s">
        <v>208</v>
      </c>
      <c r="P63" s="4">
        <v>398.6737</v>
      </c>
      <c r="Q63" s="4">
        <v>6</v>
      </c>
      <c r="R63" s="4">
        <v>155.7338</v>
      </c>
      <c r="S63" s="2" t="s">
        <v>75</v>
      </c>
      <c r="T63" s="2" t="s">
        <v>115</v>
      </c>
    </row>
    <row r="64" spans="1:20" x14ac:dyDescent="0.25">
      <c r="A64" s="2" t="s">
        <v>318</v>
      </c>
      <c r="B64" s="3">
        <v>41780</v>
      </c>
      <c r="C64" s="3">
        <v>41784</v>
      </c>
      <c r="D64" s="2" t="s">
        <v>21</v>
      </c>
      <c r="E64" s="2" t="s">
        <v>319</v>
      </c>
      <c r="F64" s="2" t="s">
        <v>320</v>
      </c>
      <c r="G64" s="2" t="s">
        <v>58</v>
      </c>
      <c r="H64" s="2" t="s">
        <v>25</v>
      </c>
      <c r="I64" s="2" t="s">
        <v>321</v>
      </c>
      <c r="J64" s="2" t="s">
        <v>322</v>
      </c>
      <c r="K64" s="2" t="s">
        <v>28</v>
      </c>
      <c r="L64" s="2" t="s">
        <v>323</v>
      </c>
      <c r="M64" s="2" t="s">
        <v>30</v>
      </c>
      <c r="N64" s="2" t="s">
        <v>31</v>
      </c>
      <c r="O64" s="2" t="s">
        <v>324</v>
      </c>
      <c r="P64" s="4">
        <v>5.5736999999999997</v>
      </c>
      <c r="Q64" s="4">
        <v>4</v>
      </c>
      <c r="R64" s="4">
        <v>4.82E-2</v>
      </c>
      <c r="S64" s="2" t="s">
        <v>75</v>
      </c>
      <c r="T64" s="2" t="s">
        <v>122</v>
      </c>
    </row>
    <row r="65" spans="1:20" x14ac:dyDescent="0.25">
      <c r="A65" s="2" t="s">
        <v>325</v>
      </c>
      <c r="B65" s="3">
        <v>41906</v>
      </c>
      <c r="C65" s="3">
        <v>41909</v>
      </c>
      <c r="D65" s="2" t="s">
        <v>55</v>
      </c>
      <c r="E65" s="2" t="s">
        <v>326</v>
      </c>
      <c r="F65" s="2" t="s">
        <v>327</v>
      </c>
      <c r="G65" s="2" t="s">
        <v>58</v>
      </c>
      <c r="H65" s="2" t="s">
        <v>25</v>
      </c>
      <c r="I65" s="2" t="s">
        <v>152</v>
      </c>
      <c r="J65" s="2" t="s">
        <v>153</v>
      </c>
      <c r="K65" s="2" t="s">
        <v>147</v>
      </c>
      <c r="L65" s="2" t="s">
        <v>328</v>
      </c>
      <c r="M65" s="2" t="s">
        <v>30</v>
      </c>
      <c r="N65" s="2" t="s">
        <v>63</v>
      </c>
      <c r="O65" s="2" t="s">
        <v>329</v>
      </c>
      <c r="P65" s="4">
        <v>60.9024</v>
      </c>
      <c r="Q65" s="4">
        <v>2</v>
      </c>
      <c r="R65" s="4">
        <v>30.549700000000001</v>
      </c>
      <c r="S65" s="2" t="s">
        <v>92</v>
      </c>
      <c r="T65" s="2" t="s">
        <v>148</v>
      </c>
    </row>
    <row r="66" spans="1:20" x14ac:dyDescent="0.25">
      <c r="A66" s="2" t="s">
        <v>330</v>
      </c>
      <c r="B66" s="3">
        <v>41747</v>
      </c>
      <c r="C66" s="3">
        <v>41751</v>
      </c>
      <c r="D66" s="2" t="s">
        <v>21</v>
      </c>
      <c r="E66" s="2" t="s">
        <v>331</v>
      </c>
      <c r="F66" s="2" t="s">
        <v>332</v>
      </c>
      <c r="G66" s="2" t="s">
        <v>38</v>
      </c>
      <c r="H66" s="2" t="s">
        <v>25</v>
      </c>
      <c r="I66" s="2" t="s">
        <v>184</v>
      </c>
      <c r="J66" s="2" t="s">
        <v>185</v>
      </c>
      <c r="K66" s="2" t="s">
        <v>147</v>
      </c>
      <c r="L66" s="2" t="s">
        <v>333</v>
      </c>
      <c r="M66" s="2" t="s">
        <v>30</v>
      </c>
      <c r="N66" s="2" t="s">
        <v>162</v>
      </c>
      <c r="O66" s="2" t="s">
        <v>334</v>
      </c>
      <c r="P66" s="4">
        <v>321.6103</v>
      </c>
      <c r="Q66" s="4">
        <v>2</v>
      </c>
      <c r="R66" s="4">
        <v>75.7166</v>
      </c>
      <c r="S66" s="2" t="s">
        <v>75</v>
      </c>
      <c r="T66" s="2" t="s">
        <v>108</v>
      </c>
    </row>
    <row r="67" spans="1:20" x14ac:dyDescent="0.25">
      <c r="A67" s="2" t="s">
        <v>335</v>
      </c>
      <c r="B67" s="3">
        <v>42899</v>
      </c>
      <c r="C67" s="3">
        <v>42906</v>
      </c>
      <c r="D67" s="2" t="s">
        <v>55</v>
      </c>
      <c r="E67" s="2" t="s">
        <v>336</v>
      </c>
      <c r="F67" s="2" t="s">
        <v>337</v>
      </c>
      <c r="G67" s="2" t="s">
        <v>38</v>
      </c>
      <c r="H67" s="2" t="s">
        <v>25</v>
      </c>
      <c r="I67" s="2" t="s">
        <v>338</v>
      </c>
      <c r="J67" s="2" t="s">
        <v>339</v>
      </c>
      <c r="K67" s="2" t="s">
        <v>82</v>
      </c>
      <c r="L67" s="2" t="s">
        <v>301</v>
      </c>
      <c r="M67" s="2" t="s">
        <v>30</v>
      </c>
      <c r="N67" s="2" t="s">
        <v>162</v>
      </c>
      <c r="O67" s="2" t="s">
        <v>302</v>
      </c>
      <c r="P67" s="4">
        <v>1298.4106999999999</v>
      </c>
      <c r="Q67" s="4">
        <v>4</v>
      </c>
      <c r="R67" s="4">
        <v>617.3415</v>
      </c>
      <c r="S67" s="2" t="s">
        <v>107</v>
      </c>
      <c r="T67" s="2" t="s">
        <v>133</v>
      </c>
    </row>
    <row r="68" spans="1:20" x14ac:dyDescent="0.25">
      <c r="A68" s="2" t="s">
        <v>335</v>
      </c>
      <c r="B68" s="3">
        <v>42899</v>
      </c>
      <c r="C68" s="3">
        <v>42906</v>
      </c>
      <c r="D68" s="2" t="s">
        <v>55</v>
      </c>
      <c r="E68" s="2" t="s">
        <v>336</v>
      </c>
      <c r="F68" s="2" t="s">
        <v>337</v>
      </c>
      <c r="G68" s="2" t="s">
        <v>38</v>
      </c>
      <c r="H68" s="2" t="s">
        <v>25</v>
      </c>
      <c r="I68" s="2" t="s">
        <v>338</v>
      </c>
      <c r="J68" s="2" t="s">
        <v>339</v>
      </c>
      <c r="K68" s="2" t="s">
        <v>82</v>
      </c>
      <c r="L68" s="2" t="s">
        <v>200</v>
      </c>
      <c r="M68" s="2" t="s">
        <v>30</v>
      </c>
      <c r="N68" s="2" t="s">
        <v>162</v>
      </c>
      <c r="O68" s="2" t="s">
        <v>201</v>
      </c>
      <c r="P68" s="4">
        <v>139.25640000000001</v>
      </c>
      <c r="Q68" s="4">
        <v>2</v>
      </c>
      <c r="R68" s="4">
        <v>-23.215900000000001</v>
      </c>
      <c r="S68" s="2" t="s">
        <v>107</v>
      </c>
      <c r="T68" s="2" t="s">
        <v>133</v>
      </c>
    </row>
    <row r="69" spans="1:20" x14ac:dyDescent="0.25">
      <c r="A69" s="2" t="s">
        <v>340</v>
      </c>
      <c r="B69" s="3">
        <v>41790</v>
      </c>
      <c r="C69" s="3">
        <v>41794</v>
      </c>
      <c r="D69" s="2" t="s">
        <v>21</v>
      </c>
      <c r="E69" s="2" t="s">
        <v>341</v>
      </c>
      <c r="F69" s="2" t="s">
        <v>342</v>
      </c>
      <c r="G69" s="2" t="s">
        <v>38</v>
      </c>
      <c r="H69" s="2" t="s">
        <v>25</v>
      </c>
      <c r="I69" s="2" t="s">
        <v>343</v>
      </c>
      <c r="J69" s="2" t="s">
        <v>153</v>
      </c>
      <c r="K69" s="2" t="s">
        <v>147</v>
      </c>
      <c r="L69" s="2" t="s">
        <v>344</v>
      </c>
      <c r="M69" s="2" t="s">
        <v>30</v>
      </c>
      <c r="N69" s="2" t="s">
        <v>42</v>
      </c>
      <c r="O69" s="2" t="s">
        <v>345</v>
      </c>
      <c r="P69" s="4">
        <v>1825.6415999999999</v>
      </c>
      <c r="Q69" s="4">
        <v>3</v>
      </c>
      <c r="R69" s="4">
        <v>-311.81909999999999</v>
      </c>
      <c r="S69" s="2" t="s">
        <v>75</v>
      </c>
      <c r="T69" s="2" t="s">
        <v>122</v>
      </c>
    </row>
    <row r="70" spans="1:20" x14ac:dyDescent="0.25">
      <c r="A70" s="2" t="s">
        <v>346</v>
      </c>
      <c r="B70" s="3">
        <v>42726</v>
      </c>
      <c r="C70" s="3">
        <v>42728</v>
      </c>
      <c r="D70" s="2" t="s">
        <v>48</v>
      </c>
      <c r="E70" s="2" t="s">
        <v>347</v>
      </c>
      <c r="F70" s="2" t="s">
        <v>348</v>
      </c>
      <c r="G70" s="2" t="s">
        <v>58</v>
      </c>
      <c r="H70" s="2" t="s">
        <v>25</v>
      </c>
      <c r="I70" s="2" t="s">
        <v>126</v>
      </c>
      <c r="J70" s="2" t="s">
        <v>127</v>
      </c>
      <c r="K70" s="2" t="s">
        <v>82</v>
      </c>
      <c r="L70" s="2" t="s">
        <v>207</v>
      </c>
      <c r="M70" s="2" t="s">
        <v>30</v>
      </c>
      <c r="N70" s="2" t="s">
        <v>31</v>
      </c>
      <c r="O70" s="2" t="s">
        <v>208</v>
      </c>
      <c r="P70" s="4">
        <v>39.433399999999999</v>
      </c>
      <c r="Q70" s="4">
        <v>1</v>
      </c>
      <c r="R70" s="4">
        <v>23.854099999999999</v>
      </c>
      <c r="S70" s="2" t="s">
        <v>53</v>
      </c>
      <c r="T70" s="2" t="s">
        <v>76</v>
      </c>
    </row>
    <row r="71" spans="1:20" x14ac:dyDescent="0.25">
      <c r="A71" s="2" t="s">
        <v>346</v>
      </c>
      <c r="B71" s="3">
        <v>42726</v>
      </c>
      <c r="C71" s="3">
        <v>42728</v>
      </c>
      <c r="D71" s="2" t="s">
        <v>48</v>
      </c>
      <c r="E71" s="2" t="s">
        <v>347</v>
      </c>
      <c r="F71" s="2" t="s">
        <v>348</v>
      </c>
      <c r="G71" s="2" t="s">
        <v>58</v>
      </c>
      <c r="H71" s="2" t="s">
        <v>25</v>
      </c>
      <c r="I71" s="2" t="s">
        <v>126</v>
      </c>
      <c r="J71" s="2" t="s">
        <v>127</v>
      </c>
      <c r="K71" s="2" t="s">
        <v>82</v>
      </c>
      <c r="L71" s="2" t="s">
        <v>333</v>
      </c>
      <c r="M71" s="2" t="s">
        <v>30</v>
      </c>
      <c r="N71" s="2" t="s">
        <v>162</v>
      </c>
      <c r="O71" s="2" t="s">
        <v>334</v>
      </c>
      <c r="P71" s="4">
        <v>1358.9431</v>
      </c>
      <c r="Q71" s="4">
        <v>3</v>
      </c>
      <c r="R71" s="4">
        <v>-332.02519999999998</v>
      </c>
      <c r="S71" s="2" t="s">
        <v>53</v>
      </c>
      <c r="T71" s="2" t="s">
        <v>76</v>
      </c>
    </row>
    <row r="72" spans="1:20" x14ac:dyDescent="0.25">
      <c r="A72" s="2" t="s">
        <v>349</v>
      </c>
      <c r="B72" s="3">
        <v>42487</v>
      </c>
      <c r="C72" s="3">
        <v>42491</v>
      </c>
      <c r="D72" s="2" t="s">
        <v>55</v>
      </c>
      <c r="E72" s="2" t="s">
        <v>347</v>
      </c>
      <c r="F72" s="2" t="s">
        <v>348</v>
      </c>
      <c r="G72" s="2" t="s">
        <v>58</v>
      </c>
      <c r="H72" s="2" t="s">
        <v>25</v>
      </c>
      <c r="I72" s="2" t="s">
        <v>350</v>
      </c>
      <c r="J72" s="2" t="s">
        <v>351</v>
      </c>
      <c r="K72" s="2" t="s">
        <v>147</v>
      </c>
      <c r="L72" s="2" t="s">
        <v>139</v>
      </c>
      <c r="M72" s="2" t="s">
        <v>30</v>
      </c>
      <c r="N72" s="2" t="s">
        <v>42</v>
      </c>
      <c r="O72" s="2" t="s">
        <v>140</v>
      </c>
      <c r="P72" s="4">
        <v>997.70450000000005</v>
      </c>
      <c r="Q72" s="4">
        <v>3</v>
      </c>
      <c r="R72" s="4">
        <v>26.276</v>
      </c>
      <c r="S72" s="2" t="s">
        <v>75</v>
      </c>
      <c r="T72" s="2" t="s">
        <v>108</v>
      </c>
    </row>
    <row r="73" spans="1:20" x14ac:dyDescent="0.25">
      <c r="A73" s="2" t="s">
        <v>352</v>
      </c>
      <c r="B73" s="3">
        <v>41777</v>
      </c>
      <c r="C73" s="3">
        <v>41779</v>
      </c>
      <c r="D73" s="2" t="s">
        <v>55</v>
      </c>
      <c r="E73" s="2" t="s">
        <v>353</v>
      </c>
      <c r="F73" s="2" t="s">
        <v>354</v>
      </c>
      <c r="G73" s="2" t="s">
        <v>58</v>
      </c>
      <c r="H73" s="2" t="s">
        <v>25</v>
      </c>
      <c r="I73" s="2" t="s">
        <v>355</v>
      </c>
      <c r="J73" s="2" t="s">
        <v>356</v>
      </c>
      <c r="K73" s="2" t="s">
        <v>147</v>
      </c>
      <c r="L73" s="2" t="s">
        <v>113</v>
      </c>
      <c r="M73" s="2" t="s">
        <v>30</v>
      </c>
      <c r="N73" s="2" t="s">
        <v>31</v>
      </c>
      <c r="O73" s="2" t="s">
        <v>114</v>
      </c>
      <c r="P73" s="4">
        <v>55.735300000000002</v>
      </c>
      <c r="Q73" s="4">
        <v>5</v>
      </c>
      <c r="R73" s="4">
        <v>10.0228</v>
      </c>
      <c r="S73" s="2" t="s">
        <v>53</v>
      </c>
      <c r="T73" s="2" t="s">
        <v>122</v>
      </c>
    </row>
    <row r="74" spans="1:20" x14ac:dyDescent="0.25">
      <c r="A74" s="2" t="s">
        <v>357</v>
      </c>
      <c r="B74" s="3">
        <v>42790</v>
      </c>
      <c r="C74" s="3">
        <v>42792</v>
      </c>
      <c r="D74" s="2" t="s">
        <v>48</v>
      </c>
      <c r="E74" s="2" t="s">
        <v>358</v>
      </c>
      <c r="F74" s="2" t="s">
        <v>359</v>
      </c>
      <c r="G74" s="2" t="s">
        <v>58</v>
      </c>
      <c r="H74" s="2" t="s">
        <v>25</v>
      </c>
      <c r="I74" s="2" t="s">
        <v>360</v>
      </c>
      <c r="J74" s="2" t="s">
        <v>160</v>
      </c>
      <c r="K74" s="2" t="s">
        <v>61</v>
      </c>
      <c r="L74" s="2" t="s">
        <v>83</v>
      </c>
      <c r="M74" s="2" t="s">
        <v>30</v>
      </c>
      <c r="N74" s="2" t="s">
        <v>42</v>
      </c>
      <c r="O74" s="2" t="s">
        <v>84</v>
      </c>
      <c r="P74" s="4">
        <v>1430.6794</v>
      </c>
      <c r="Q74" s="4">
        <v>1</v>
      </c>
      <c r="R74" s="4">
        <v>381.20319999999998</v>
      </c>
      <c r="S74" s="2" t="s">
        <v>53</v>
      </c>
      <c r="T74" s="2" t="s">
        <v>101</v>
      </c>
    </row>
    <row r="75" spans="1:20" x14ac:dyDescent="0.25">
      <c r="A75" s="2" t="s">
        <v>361</v>
      </c>
      <c r="B75" s="3">
        <v>42360</v>
      </c>
      <c r="C75" s="3">
        <v>42361</v>
      </c>
      <c r="D75" s="2" t="s">
        <v>55</v>
      </c>
      <c r="E75" s="2" t="s">
        <v>362</v>
      </c>
      <c r="F75" s="2" t="s">
        <v>363</v>
      </c>
      <c r="G75" s="2" t="s">
        <v>58</v>
      </c>
      <c r="H75" s="2" t="s">
        <v>25</v>
      </c>
      <c r="I75" s="2" t="s">
        <v>364</v>
      </c>
      <c r="J75" s="2" t="s">
        <v>279</v>
      </c>
      <c r="K75" s="2" t="s">
        <v>28</v>
      </c>
      <c r="L75" s="2" t="s">
        <v>252</v>
      </c>
      <c r="M75" s="2" t="s">
        <v>30</v>
      </c>
      <c r="N75" s="2" t="s">
        <v>31</v>
      </c>
      <c r="O75" s="2" t="s">
        <v>253</v>
      </c>
      <c r="P75" s="4">
        <v>56.358600000000003</v>
      </c>
      <c r="Q75" s="4">
        <v>4</v>
      </c>
      <c r="R75" s="4">
        <v>6.1684999999999999</v>
      </c>
      <c r="S75" s="2" t="s">
        <v>33</v>
      </c>
      <c r="T75" s="2" t="s">
        <v>76</v>
      </c>
    </row>
    <row r="76" spans="1:20" x14ac:dyDescent="0.25">
      <c r="A76" s="2" t="s">
        <v>365</v>
      </c>
      <c r="B76" s="3">
        <v>42210</v>
      </c>
      <c r="C76" s="3">
        <v>42214</v>
      </c>
      <c r="D76" s="2" t="s">
        <v>55</v>
      </c>
      <c r="E76" s="2" t="s">
        <v>366</v>
      </c>
      <c r="F76" s="2" t="s">
        <v>367</v>
      </c>
      <c r="G76" s="2" t="s">
        <v>24</v>
      </c>
      <c r="H76" s="2" t="s">
        <v>25</v>
      </c>
      <c r="I76" s="2" t="s">
        <v>274</v>
      </c>
      <c r="J76" s="2" t="s">
        <v>146</v>
      </c>
      <c r="K76" s="2" t="s">
        <v>147</v>
      </c>
      <c r="L76" s="2" t="s">
        <v>245</v>
      </c>
      <c r="M76" s="2" t="s">
        <v>30</v>
      </c>
      <c r="N76" s="2" t="s">
        <v>42</v>
      </c>
      <c r="O76" s="2" t="s">
        <v>246</v>
      </c>
      <c r="P76" s="4">
        <v>470.35039999999998</v>
      </c>
      <c r="Q76" s="4">
        <v>2</v>
      </c>
      <c r="R76" s="4">
        <v>150.48740000000001</v>
      </c>
      <c r="S76" s="2" t="s">
        <v>75</v>
      </c>
      <c r="T76" s="2" t="s">
        <v>86</v>
      </c>
    </row>
    <row r="77" spans="1:20" x14ac:dyDescent="0.25">
      <c r="A77" s="2" t="s">
        <v>368</v>
      </c>
      <c r="B77" s="3">
        <v>42358</v>
      </c>
      <c r="C77" s="3">
        <v>42358</v>
      </c>
      <c r="D77" s="2" t="s">
        <v>21</v>
      </c>
      <c r="E77" s="2" t="s">
        <v>369</v>
      </c>
      <c r="F77" s="2" t="s">
        <v>370</v>
      </c>
      <c r="G77" s="2" t="s">
        <v>24</v>
      </c>
      <c r="H77" s="2" t="s">
        <v>25</v>
      </c>
      <c r="I77" s="2" t="s">
        <v>371</v>
      </c>
      <c r="J77" s="2" t="s">
        <v>127</v>
      </c>
      <c r="K77" s="2" t="s">
        <v>82</v>
      </c>
      <c r="L77" s="2" t="s">
        <v>372</v>
      </c>
      <c r="M77" s="2" t="s">
        <v>30</v>
      </c>
      <c r="N77" s="2" t="s">
        <v>162</v>
      </c>
      <c r="O77" s="2" t="s">
        <v>373</v>
      </c>
      <c r="P77" s="4">
        <v>324.30599999999998</v>
      </c>
      <c r="Q77" s="4">
        <v>2</v>
      </c>
      <c r="R77" s="4">
        <v>-67.087900000000005</v>
      </c>
      <c r="S77" s="2" t="s">
        <v>121</v>
      </c>
      <c r="T77" s="2" t="s">
        <v>76</v>
      </c>
    </row>
    <row r="78" spans="1:20" x14ac:dyDescent="0.25">
      <c r="A78" s="2" t="s">
        <v>374</v>
      </c>
      <c r="B78" s="3">
        <v>42499</v>
      </c>
      <c r="C78" s="3">
        <v>42499</v>
      </c>
      <c r="D78" s="2" t="s">
        <v>55</v>
      </c>
      <c r="E78" s="2" t="s">
        <v>375</v>
      </c>
      <c r="F78" s="2" t="s">
        <v>376</v>
      </c>
      <c r="G78" s="2" t="s">
        <v>58</v>
      </c>
      <c r="H78" s="2" t="s">
        <v>25</v>
      </c>
      <c r="I78" s="2" t="s">
        <v>243</v>
      </c>
      <c r="J78" s="2" t="s">
        <v>244</v>
      </c>
      <c r="K78" s="2" t="s">
        <v>61</v>
      </c>
      <c r="L78" s="2" t="s">
        <v>174</v>
      </c>
      <c r="M78" s="2" t="s">
        <v>30</v>
      </c>
      <c r="N78" s="2" t="s">
        <v>31</v>
      </c>
      <c r="O78" s="2" t="s">
        <v>175</v>
      </c>
      <c r="P78" s="4">
        <v>140.66319999999999</v>
      </c>
      <c r="Q78" s="4">
        <v>4</v>
      </c>
      <c r="R78" s="4">
        <v>-6.5984999999999996</v>
      </c>
      <c r="S78" s="2" t="s">
        <v>121</v>
      </c>
      <c r="T78" s="2" t="s">
        <v>122</v>
      </c>
    </row>
    <row r="79" spans="1:20" x14ac:dyDescent="0.25">
      <c r="A79" s="2" t="s">
        <v>377</v>
      </c>
      <c r="B79" s="3">
        <v>43020</v>
      </c>
      <c r="C79" s="3">
        <v>43024</v>
      </c>
      <c r="D79" s="2" t="s">
        <v>55</v>
      </c>
      <c r="E79" s="2" t="s">
        <v>172</v>
      </c>
      <c r="F79" s="2" t="s">
        <v>173</v>
      </c>
      <c r="G79" s="2" t="s">
        <v>58</v>
      </c>
      <c r="H79" s="2" t="s">
        <v>25</v>
      </c>
      <c r="I79" s="2" t="s">
        <v>378</v>
      </c>
      <c r="J79" s="2" t="s">
        <v>98</v>
      </c>
      <c r="K79" s="2" t="s">
        <v>82</v>
      </c>
      <c r="L79" s="2" t="s">
        <v>283</v>
      </c>
      <c r="M79" s="2" t="s">
        <v>30</v>
      </c>
      <c r="N79" s="2" t="s">
        <v>162</v>
      </c>
      <c r="O79" s="2" t="s">
        <v>284</v>
      </c>
      <c r="P79" s="4">
        <v>950.15089999999998</v>
      </c>
      <c r="Q79" s="4">
        <v>4</v>
      </c>
      <c r="R79" s="4">
        <v>-311.1207</v>
      </c>
      <c r="S79" s="2" t="s">
        <v>75</v>
      </c>
      <c r="T79" s="2" t="s">
        <v>224</v>
      </c>
    </row>
    <row r="80" spans="1:20" x14ac:dyDescent="0.25">
      <c r="A80" s="2" t="s">
        <v>379</v>
      </c>
      <c r="B80" s="3">
        <v>42520</v>
      </c>
      <c r="C80" s="3">
        <v>42523</v>
      </c>
      <c r="D80" s="2" t="s">
        <v>55</v>
      </c>
      <c r="E80" s="2" t="s">
        <v>380</v>
      </c>
      <c r="F80" s="2" t="s">
        <v>381</v>
      </c>
      <c r="G80" s="2" t="s">
        <v>38</v>
      </c>
      <c r="H80" s="2" t="s">
        <v>25</v>
      </c>
      <c r="I80" s="2" t="s">
        <v>382</v>
      </c>
      <c r="J80" s="2" t="s">
        <v>192</v>
      </c>
      <c r="K80" s="2" t="s">
        <v>82</v>
      </c>
      <c r="L80" s="2" t="s">
        <v>174</v>
      </c>
      <c r="M80" s="2" t="s">
        <v>30</v>
      </c>
      <c r="N80" s="2" t="s">
        <v>31</v>
      </c>
      <c r="O80" s="2" t="s">
        <v>175</v>
      </c>
      <c r="P80" s="4">
        <v>50.9236</v>
      </c>
      <c r="Q80" s="4">
        <v>3</v>
      </c>
      <c r="R80" s="4">
        <v>-2.9923000000000002</v>
      </c>
      <c r="S80" s="2" t="s">
        <v>92</v>
      </c>
      <c r="T80" s="2" t="s">
        <v>122</v>
      </c>
    </row>
    <row r="81" spans="1:20" x14ac:dyDescent="0.25">
      <c r="A81" s="2" t="s">
        <v>383</v>
      </c>
      <c r="B81" s="3">
        <v>42058</v>
      </c>
      <c r="C81" s="3">
        <v>42065</v>
      </c>
      <c r="D81" s="2" t="s">
        <v>55</v>
      </c>
      <c r="E81" s="2" t="s">
        <v>384</v>
      </c>
      <c r="F81" s="2" t="s">
        <v>385</v>
      </c>
      <c r="G81" s="2" t="s">
        <v>38</v>
      </c>
      <c r="H81" s="2" t="s">
        <v>25</v>
      </c>
      <c r="I81" s="2" t="s">
        <v>386</v>
      </c>
      <c r="J81" s="2" t="s">
        <v>387</v>
      </c>
      <c r="K81" s="2" t="s">
        <v>61</v>
      </c>
      <c r="L81" s="2" t="s">
        <v>193</v>
      </c>
      <c r="M81" s="2" t="s">
        <v>30</v>
      </c>
      <c r="N81" s="2" t="s">
        <v>42</v>
      </c>
      <c r="O81" s="2" t="s">
        <v>194</v>
      </c>
      <c r="P81" s="4">
        <v>996.66200000000003</v>
      </c>
      <c r="Q81" s="4">
        <v>7</v>
      </c>
      <c r="R81" s="4">
        <v>-37.5441</v>
      </c>
      <c r="S81" s="2" t="s">
        <v>107</v>
      </c>
      <c r="T81" s="2" t="s">
        <v>101</v>
      </c>
    </row>
    <row r="82" spans="1:20" x14ac:dyDescent="0.25">
      <c r="A82" s="2" t="s">
        <v>388</v>
      </c>
      <c r="B82" s="3">
        <v>42730</v>
      </c>
      <c r="C82" s="3">
        <v>42730</v>
      </c>
      <c r="D82" s="2" t="s">
        <v>48</v>
      </c>
      <c r="E82" s="2" t="s">
        <v>389</v>
      </c>
      <c r="F82" s="2" t="s">
        <v>390</v>
      </c>
      <c r="G82" s="2" t="s">
        <v>38</v>
      </c>
      <c r="H82" s="2" t="s">
        <v>25</v>
      </c>
      <c r="I82" s="2" t="s">
        <v>59</v>
      </c>
      <c r="J82" s="2" t="s">
        <v>60</v>
      </c>
      <c r="K82" s="2" t="s">
        <v>61</v>
      </c>
      <c r="L82" s="2" t="s">
        <v>301</v>
      </c>
      <c r="M82" s="2" t="s">
        <v>30</v>
      </c>
      <c r="N82" s="2" t="s">
        <v>162</v>
      </c>
      <c r="O82" s="2" t="s">
        <v>302</v>
      </c>
      <c r="P82" s="4">
        <v>1339.7111</v>
      </c>
      <c r="Q82" s="4">
        <v>3</v>
      </c>
      <c r="R82" s="4">
        <v>-224.1825</v>
      </c>
      <c r="S82" s="2" t="s">
        <v>121</v>
      </c>
      <c r="T82" s="2" t="s">
        <v>76</v>
      </c>
    </row>
    <row r="83" spans="1:20" x14ac:dyDescent="0.25">
      <c r="A83" s="2" t="s">
        <v>391</v>
      </c>
      <c r="B83" s="3">
        <v>42281</v>
      </c>
      <c r="C83" s="3">
        <v>42286</v>
      </c>
      <c r="D83" s="2" t="s">
        <v>55</v>
      </c>
      <c r="E83" s="2" t="s">
        <v>392</v>
      </c>
      <c r="F83" s="2" t="s">
        <v>393</v>
      </c>
      <c r="G83" s="2" t="s">
        <v>58</v>
      </c>
      <c r="H83" s="2" t="s">
        <v>25</v>
      </c>
      <c r="I83" s="2" t="s">
        <v>394</v>
      </c>
      <c r="J83" s="2" t="s">
        <v>289</v>
      </c>
      <c r="K83" s="2" t="s">
        <v>82</v>
      </c>
      <c r="L83" s="2" t="s">
        <v>66</v>
      </c>
      <c r="M83" s="2" t="s">
        <v>30</v>
      </c>
      <c r="N83" s="2" t="s">
        <v>31</v>
      </c>
      <c r="O83" s="2" t="s">
        <v>67</v>
      </c>
      <c r="P83" s="4">
        <v>133.75470000000001</v>
      </c>
      <c r="Q83" s="4">
        <v>3</v>
      </c>
      <c r="R83" s="4">
        <v>-5.6081000000000003</v>
      </c>
      <c r="S83" s="2" t="s">
        <v>85</v>
      </c>
      <c r="T83" s="2" t="s">
        <v>224</v>
      </c>
    </row>
    <row r="84" spans="1:20" x14ac:dyDescent="0.25">
      <c r="A84" s="2" t="s">
        <v>395</v>
      </c>
      <c r="B84" s="3">
        <v>43052</v>
      </c>
      <c r="C84" s="3">
        <v>43053</v>
      </c>
      <c r="D84" s="2" t="s">
        <v>55</v>
      </c>
      <c r="E84" s="2" t="s">
        <v>396</v>
      </c>
      <c r="F84" s="2" t="s">
        <v>397</v>
      </c>
      <c r="G84" s="2" t="s">
        <v>58</v>
      </c>
      <c r="H84" s="2" t="s">
        <v>25</v>
      </c>
      <c r="I84" s="2" t="s">
        <v>398</v>
      </c>
      <c r="J84" s="2" t="s">
        <v>251</v>
      </c>
      <c r="K84" s="2" t="s">
        <v>147</v>
      </c>
      <c r="L84" s="2" t="s">
        <v>245</v>
      </c>
      <c r="M84" s="2" t="s">
        <v>30</v>
      </c>
      <c r="N84" s="2" t="s">
        <v>42</v>
      </c>
      <c r="O84" s="2" t="s">
        <v>246</v>
      </c>
      <c r="P84" s="4">
        <v>402.07409999999999</v>
      </c>
      <c r="Q84" s="4">
        <v>4</v>
      </c>
      <c r="R84" s="4">
        <v>-161.97640000000001</v>
      </c>
      <c r="S84" s="2" t="s">
        <v>33</v>
      </c>
      <c r="T84" s="2" t="s">
        <v>93</v>
      </c>
    </row>
    <row r="85" spans="1:20" x14ac:dyDescent="0.25">
      <c r="A85" s="2" t="s">
        <v>399</v>
      </c>
      <c r="B85" s="3">
        <v>42093</v>
      </c>
      <c r="C85" s="3">
        <v>42094</v>
      </c>
      <c r="D85" s="2" t="s">
        <v>48</v>
      </c>
      <c r="E85" s="2" t="s">
        <v>400</v>
      </c>
      <c r="F85" s="2" t="s">
        <v>401</v>
      </c>
      <c r="G85" s="2" t="s">
        <v>58</v>
      </c>
      <c r="H85" s="2" t="s">
        <v>25</v>
      </c>
      <c r="I85" s="2" t="s">
        <v>402</v>
      </c>
      <c r="J85" s="2" t="s">
        <v>403</v>
      </c>
      <c r="K85" s="2" t="s">
        <v>147</v>
      </c>
      <c r="L85" s="2" t="s">
        <v>235</v>
      </c>
      <c r="M85" s="2" t="s">
        <v>30</v>
      </c>
      <c r="N85" s="2" t="s">
        <v>31</v>
      </c>
      <c r="O85" s="2" t="s">
        <v>236</v>
      </c>
      <c r="P85" s="4">
        <v>31.824999999999999</v>
      </c>
      <c r="Q85" s="4">
        <v>6</v>
      </c>
      <c r="R85" s="4">
        <v>-6.9059999999999997</v>
      </c>
      <c r="S85" s="2" t="s">
        <v>33</v>
      </c>
      <c r="T85" s="2" t="s">
        <v>44</v>
      </c>
    </row>
    <row r="86" spans="1:20" x14ac:dyDescent="0.25">
      <c r="A86" s="2" t="s">
        <v>404</v>
      </c>
      <c r="B86" s="3">
        <v>41942</v>
      </c>
      <c r="C86" s="3">
        <v>41942</v>
      </c>
      <c r="D86" s="2" t="s">
        <v>21</v>
      </c>
      <c r="E86" s="2" t="s">
        <v>405</v>
      </c>
      <c r="F86" s="2" t="s">
        <v>406</v>
      </c>
      <c r="G86" s="2" t="s">
        <v>58</v>
      </c>
      <c r="H86" s="2" t="s">
        <v>25</v>
      </c>
      <c r="I86" s="2" t="s">
        <v>138</v>
      </c>
      <c r="J86" s="2" t="s">
        <v>407</v>
      </c>
      <c r="K86" s="2" t="s">
        <v>28</v>
      </c>
      <c r="L86" s="2" t="s">
        <v>66</v>
      </c>
      <c r="M86" s="2" t="s">
        <v>30</v>
      </c>
      <c r="N86" s="2" t="s">
        <v>31</v>
      </c>
      <c r="O86" s="2" t="s">
        <v>67</v>
      </c>
      <c r="P86" s="4">
        <v>103.78230000000001</v>
      </c>
      <c r="Q86" s="4">
        <v>4</v>
      </c>
      <c r="R86" s="4">
        <v>-7.0305999999999997</v>
      </c>
      <c r="S86" s="2" t="s">
        <v>121</v>
      </c>
      <c r="T86" s="2" t="s">
        <v>224</v>
      </c>
    </row>
    <row r="87" spans="1:20" x14ac:dyDescent="0.25">
      <c r="A87" s="2" t="s">
        <v>408</v>
      </c>
      <c r="B87" s="3">
        <v>42590</v>
      </c>
      <c r="C87" s="3">
        <v>42591</v>
      </c>
      <c r="D87" s="2" t="s">
        <v>55</v>
      </c>
      <c r="E87" s="2" t="s">
        <v>409</v>
      </c>
      <c r="F87" s="2" t="s">
        <v>410</v>
      </c>
      <c r="G87" s="2" t="s">
        <v>24</v>
      </c>
      <c r="H87" s="2" t="s">
        <v>25</v>
      </c>
      <c r="I87" s="2" t="s">
        <v>360</v>
      </c>
      <c r="J87" s="2" t="s">
        <v>160</v>
      </c>
      <c r="K87" s="2" t="s">
        <v>61</v>
      </c>
      <c r="L87" s="2" t="s">
        <v>131</v>
      </c>
      <c r="M87" s="2" t="s">
        <v>30</v>
      </c>
      <c r="N87" s="2" t="s">
        <v>31</v>
      </c>
      <c r="O87" s="2" t="s">
        <v>132</v>
      </c>
      <c r="P87" s="4">
        <v>51.607399999999998</v>
      </c>
      <c r="Q87" s="4">
        <v>1</v>
      </c>
      <c r="R87" s="4">
        <v>34.738500000000002</v>
      </c>
      <c r="S87" s="2" t="s">
        <v>33</v>
      </c>
      <c r="T87" s="2" t="s">
        <v>34</v>
      </c>
    </row>
    <row r="88" spans="1:20" x14ac:dyDescent="0.25">
      <c r="A88" s="2" t="s">
        <v>411</v>
      </c>
      <c r="B88" s="3">
        <v>42851</v>
      </c>
      <c r="C88" s="3">
        <v>42856</v>
      </c>
      <c r="D88" s="2" t="s">
        <v>55</v>
      </c>
      <c r="E88" s="2" t="s">
        <v>412</v>
      </c>
      <c r="F88" s="2" t="s">
        <v>413</v>
      </c>
      <c r="G88" s="2" t="s">
        <v>58</v>
      </c>
      <c r="H88" s="2" t="s">
        <v>25</v>
      </c>
      <c r="I88" s="2" t="s">
        <v>414</v>
      </c>
      <c r="J88" s="2" t="s">
        <v>206</v>
      </c>
      <c r="K88" s="2" t="s">
        <v>61</v>
      </c>
      <c r="L88" s="2" t="s">
        <v>415</v>
      </c>
      <c r="M88" s="2" t="s">
        <v>30</v>
      </c>
      <c r="N88" s="2" t="s">
        <v>63</v>
      </c>
      <c r="O88" s="2" t="s">
        <v>416</v>
      </c>
      <c r="P88" s="4">
        <v>139.08760000000001</v>
      </c>
      <c r="Q88" s="4">
        <v>3</v>
      </c>
      <c r="R88" s="4">
        <v>23.148199999999999</v>
      </c>
      <c r="S88" s="2" t="s">
        <v>85</v>
      </c>
      <c r="T88" s="2" t="s">
        <v>108</v>
      </c>
    </row>
    <row r="89" spans="1:20" x14ac:dyDescent="0.25">
      <c r="A89" s="2" t="s">
        <v>411</v>
      </c>
      <c r="B89" s="3">
        <v>42851</v>
      </c>
      <c r="C89" s="3">
        <v>42856</v>
      </c>
      <c r="D89" s="2" t="s">
        <v>55</v>
      </c>
      <c r="E89" s="2" t="s">
        <v>412</v>
      </c>
      <c r="F89" s="2" t="s">
        <v>413</v>
      </c>
      <c r="G89" s="2" t="s">
        <v>58</v>
      </c>
      <c r="H89" s="2" t="s">
        <v>25</v>
      </c>
      <c r="I89" s="2" t="s">
        <v>414</v>
      </c>
      <c r="J89" s="2" t="s">
        <v>206</v>
      </c>
      <c r="K89" s="2" t="s">
        <v>61</v>
      </c>
      <c r="L89" s="2" t="s">
        <v>113</v>
      </c>
      <c r="M89" s="2" t="s">
        <v>30</v>
      </c>
      <c r="N89" s="2" t="s">
        <v>31</v>
      </c>
      <c r="O89" s="2" t="s">
        <v>114</v>
      </c>
      <c r="P89" s="4">
        <v>233.27440000000001</v>
      </c>
      <c r="Q89" s="4">
        <v>2</v>
      </c>
      <c r="R89" s="4">
        <v>47.389000000000003</v>
      </c>
      <c r="S89" s="2" t="s">
        <v>85</v>
      </c>
      <c r="T89" s="2" t="s">
        <v>108</v>
      </c>
    </row>
    <row r="90" spans="1:20" x14ac:dyDescent="0.25">
      <c r="A90" s="2" t="s">
        <v>417</v>
      </c>
      <c r="B90" s="3">
        <v>42427</v>
      </c>
      <c r="C90" s="3">
        <v>42434</v>
      </c>
      <c r="D90" s="2" t="s">
        <v>55</v>
      </c>
      <c r="E90" s="2" t="s">
        <v>418</v>
      </c>
      <c r="F90" s="2" t="s">
        <v>419</v>
      </c>
      <c r="G90" s="2" t="s">
        <v>38</v>
      </c>
      <c r="H90" s="2" t="s">
        <v>25</v>
      </c>
      <c r="I90" s="2" t="s">
        <v>212</v>
      </c>
      <c r="J90" s="2" t="s">
        <v>185</v>
      </c>
      <c r="K90" s="2" t="s">
        <v>147</v>
      </c>
      <c r="L90" s="2" t="s">
        <v>66</v>
      </c>
      <c r="M90" s="2" t="s">
        <v>30</v>
      </c>
      <c r="N90" s="2" t="s">
        <v>31</v>
      </c>
      <c r="O90" s="2" t="s">
        <v>67</v>
      </c>
      <c r="P90" s="4">
        <v>30.983899999999998</v>
      </c>
      <c r="Q90" s="4">
        <v>4</v>
      </c>
      <c r="R90" s="4">
        <v>15.1296</v>
      </c>
      <c r="S90" s="2" t="s">
        <v>107</v>
      </c>
      <c r="T90" s="2" t="s">
        <v>101</v>
      </c>
    </row>
    <row r="91" spans="1:20" x14ac:dyDescent="0.25">
      <c r="A91" s="2" t="s">
        <v>420</v>
      </c>
      <c r="B91" s="3">
        <v>41851</v>
      </c>
      <c r="C91" s="3">
        <v>41854</v>
      </c>
      <c r="D91" s="2" t="s">
        <v>21</v>
      </c>
      <c r="E91" s="2" t="s">
        <v>421</v>
      </c>
      <c r="F91" s="2" t="s">
        <v>422</v>
      </c>
      <c r="G91" s="2" t="s">
        <v>58</v>
      </c>
      <c r="H91" s="2" t="s">
        <v>25</v>
      </c>
      <c r="I91" s="2" t="s">
        <v>423</v>
      </c>
      <c r="J91" s="2" t="s">
        <v>424</v>
      </c>
      <c r="K91" s="2" t="s">
        <v>28</v>
      </c>
      <c r="L91" s="2" t="s">
        <v>186</v>
      </c>
      <c r="M91" s="2" t="s">
        <v>30</v>
      </c>
      <c r="N91" s="2" t="s">
        <v>31</v>
      </c>
      <c r="O91" s="2" t="s">
        <v>187</v>
      </c>
      <c r="P91" s="4">
        <v>30.767700000000001</v>
      </c>
      <c r="Q91" s="4">
        <v>2</v>
      </c>
      <c r="R91" s="4">
        <v>16.923300000000001</v>
      </c>
      <c r="S91" s="2" t="s">
        <v>92</v>
      </c>
      <c r="T91" s="2" t="s">
        <v>86</v>
      </c>
    </row>
    <row r="92" spans="1:20" x14ac:dyDescent="0.25">
      <c r="A92" s="2" t="s">
        <v>425</v>
      </c>
      <c r="B92" s="3">
        <v>42403</v>
      </c>
      <c r="C92" s="3">
        <v>42408</v>
      </c>
      <c r="D92" s="2" t="s">
        <v>55</v>
      </c>
      <c r="E92" s="2" t="s">
        <v>426</v>
      </c>
      <c r="F92" s="2" t="s">
        <v>427</v>
      </c>
      <c r="G92" s="2" t="s">
        <v>58</v>
      </c>
      <c r="H92" s="2" t="s">
        <v>25</v>
      </c>
      <c r="I92" s="2" t="s">
        <v>159</v>
      </c>
      <c r="J92" s="2" t="s">
        <v>160</v>
      </c>
      <c r="K92" s="2" t="s">
        <v>61</v>
      </c>
      <c r="L92" s="2" t="s">
        <v>311</v>
      </c>
      <c r="M92" s="2" t="s">
        <v>30</v>
      </c>
      <c r="N92" s="2" t="s">
        <v>63</v>
      </c>
      <c r="O92" s="2" t="s">
        <v>312</v>
      </c>
      <c r="P92" s="4">
        <v>423.06509999999997</v>
      </c>
      <c r="Q92" s="4">
        <v>7</v>
      </c>
      <c r="R92" s="4">
        <v>-53.620899999999999</v>
      </c>
      <c r="S92" s="2" t="s">
        <v>85</v>
      </c>
      <c r="T92" s="2" t="s">
        <v>101</v>
      </c>
    </row>
    <row r="93" spans="1:20" x14ac:dyDescent="0.25">
      <c r="A93" s="2" t="s">
        <v>428</v>
      </c>
      <c r="B93" s="3">
        <v>42431</v>
      </c>
      <c r="C93" s="3">
        <v>42433</v>
      </c>
      <c r="D93" s="2" t="s">
        <v>55</v>
      </c>
      <c r="E93" s="2" t="s">
        <v>429</v>
      </c>
      <c r="F93" s="2" t="s">
        <v>430</v>
      </c>
      <c r="G93" s="2" t="s">
        <v>38</v>
      </c>
      <c r="H93" s="2" t="s">
        <v>25</v>
      </c>
      <c r="I93" s="2" t="s">
        <v>321</v>
      </c>
      <c r="J93" s="2" t="s">
        <v>322</v>
      </c>
      <c r="K93" s="2" t="s">
        <v>28</v>
      </c>
      <c r="L93" s="2" t="s">
        <v>99</v>
      </c>
      <c r="M93" s="2" t="s">
        <v>30</v>
      </c>
      <c r="N93" s="2" t="s">
        <v>42</v>
      </c>
      <c r="O93" s="2" t="s">
        <v>100</v>
      </c>
      <c r="P93" s="4">
        <v>368.73039999999997</v>
      </c>
      <c r="Q93" s="4">
        <v>2</v>
      </c>
      <c r="R93" s="4">
        <v>25.068999999999999</v>
      </c>
      <c r="S93" s="2" t="s">
        <v>53</v>
      </c>
      <c r="T93" s="2" t="s">
        <v>44</v>
      </c>
    </row>
    <row r="94" spans="1:20" x14ac:dyDescent="0.25">
      <c r="A94" s="2" t="s">
        <v>428</v>
      </c>
      <c r="B94" s="3">
        <v>42431</v>
      </c>
      <c r="C94" s="3">
        <v>42433</v>
      </c>
      <c r="D94" s="2" t="s">
        <v>55</v>
      </c>
      <c r="E94" s="2" t="s">
        <v>429</v>
      </c>
      <c r="F94" s="2" t="s">
        <v>430</v>
      </c>
      <c r="G94" s="2" t="s">
        <v>38</v>
      </c>
      <c r="H94" s="2" t="s">
        <v>25</v>
      </c>
      <c r="I94" s="2" t="s">
        <v>321</v>
      </c>
      <c r="J94" s="2" t="s">
        <v>322</v>
      </c>
      <c r="K94" s="2" t="s">
        <v>28</v>
      </c>
      <c r="L94" s="2" t="s">
        <v>45</v>
      </c>
      <c r="M94" s="2" t="s">
        <v>30</v>
      </c>
      <c r="N94" s="2" t="s">
        <v>31</v>
      </c>
      <c r="O94" s="2" t="s">
        <v>46</v>
      </c>
      <c r="P94" s="4">
        <v>74.411500000000004</v>
      </c>
      <c r="Q94" s="4">
        <v>2</v>
      </c>
      <c r="R94" s="4">
        <v>21.564900000000002</v>
      </c>
      <c r="S94" s="2" t="s">
        <v>53</v>
      </c>
      <c r="T94" s="2" t="s">
        <v>44</v>
      </c>
    </row>
    <row r="95" spans="1:20" x14ac:dyDescent="0.25">
      <c r="A95" s="2" t="s">
        <v>431</v>
      </c>
      <c r="B95" s="3">
        <v>41904</v>
      </c>
      <c r="C95" s="3">
        <v>41907</v>
      </c>
      <c r="D95" s="2" t="s">
        <v>21</v>
      </c>
      <c r="E95" s="2" t="s">
        <v>432</v>
      </c>
      <c r="F95" s="2" t="s">
        <v>433</v>
      </c>
      <c r="G95" s="2" t="s">
        <v>38</v>
      </c>
      <c r="H95" s="2" t="s">
        <v>25</v>
      </c>
      <c r="I95" s="2" t="s">
        <v>434</v>
      </c>
      <c r="J95" s="2" t="s">
        <v>435</v>
      </c>
      <c r="K95" s="2" t="s">
        <v>61</v>
      </c>
      <c r="L95" s="2" t="s">
        <v>328</v>
      </c>
      <c r="M95" s="2" t="s">
        <v>30</v>
      </c>
      <c r="N95" s="2" t="s">
        <v>63</v>
      </c>
      <c r="O95" s="2" t="s">
        <v>329</v>
      </c>
      <c r="P95" s="4">
        <v>340.41899999999998</v>
      </c>
      <c r="Q95" s="4">
        <v>1</v>
      </c>
      <c r="R95" s="4">
        <v>-102.1678</v>
      </c>
      <c r="S95" s="2" t="s">
        <v>92</v>
      </c>
      <c r="T95" s="2" t="s">
        <v>148</v>
      </c>
    </row>
    <row r="96" spans="1:20" x14ac:dyDescent="0.25">
      <c r="A96" s="2" t="s">
        <v>436</v>
      </c>
      <c r="B96" s="3">
        <v>42009</v>
      </c>
      <c r="C96" s="3">
        <v>42009</v>
      </c>
      <c r="D96" s="2" t="s">
        <v>142</v>
      </c>
      <c r="E96" s="2" t="s">
        <v>375</v>
      </c>
      <c r="F96" s="2" t="s">
        <v>376</v>
      </c>
      <c r="G96" s="2" t="s">
        <v>24</v>
      </c>
      <c r="H96" s="2" t="s">
        <v>25</v>
      </c>
      <c r="I96" s="2" t="s">
        <v>437</v>
      </c>
      <c r="J96" s="2" t="s">
        <v>217</v>
      </c>
      <c r="K96" s="2" t="s">
        <v>82</v>
      </c>
      <c r="L96" s="2" t="s">
        <v>73</v>
      </c>
      <c r="M96" s="2" t="s">
        <v>30</v>
      </c>
      <c r="N96" s="2" t="s">
        <v>42</v>
      </c>
      <c r="O96" s="2" t="s">
        <v>74</v>
      </c>
      <c r="P96" s="4">
        <v>448.08179999999999</v>
      </c>
      <c r="Q96" s="4">
        <v>3</v>
      </c>
      <c r="R96" s="4">
        <v>93.595100000000002</v>
      </c>
      <c r="S96" s="2" t="s">
        <v>121</v>
      </c>
      <c r="T96" s="2" t="s">
        <v>115</v>
      </c>
    </row>
    <row r="97" spans="1:20" x14ac:dyDescent="0.25">
      <c r="A97" s="2" t="s">
        <v>438</v>
      </c>
      <c r="B97" s="3">
        <v>42679</v>
      </c>
      <c r="C97" s="3">
        <v>42681</v>
      </c>
      <c r="D97" s="2" t="s">
        <v>55</v>
      </c>
      <c r="E97" s="2" t="s">
        <v>439</v>
      </c>
      <c r="F97" s="2" t="s">
        <v>440</v>
      </c>
      <c r="G97" s="2" t="s">
        <v>58</v>
      </c>
      <c r="H97" s="2" t="s">
        <v>25</v>
      </c>
      <c r="I97" s="2" t="s">
        <v>441</v>
      </c>
      <c r="J97" s="2" t="s">
        <v>40</v>
      </c>
      <c r="K97" s="2" t="s">
        <v>28</v>
      </c>
      <c r="L97" s="2" t="s">
        <v>323</v>
      </c>
      <c r="M97" s="2" t="s">
        <v>30</v>
      </c>
      <c r="N97" s="2" t="s">
        <v>31</v>
      </c>
      <c r="O97" s="2" t="s">
        <v>324</v>
      </c>
      <c r="P97" s="4">
        <v>55.334000000000003</v>
      </c>
      <c r="Q97" s="4">
        <v>10</v>
      </c>
      <c r="R97" s="4">
        <v>14.600899999999999</v>
      </c>
      <c r="S97" s="2" t="s">
        <v>53</v>
      </c>
      <c r="T97" s="2" t="s">
        <v>93</v>
      </c>
    </row>
    <row r="98" spans="1:20" x14ac:dyDescent="0.25">
      <c r="A98" s="2" t="s">
        <v>438</v>
      </c>
      <c r="B98" s="3">
        <v>42679</v>
      </c>
      <c r="C98" s="3">
        <v>42681</v>
      </c>
      <c r="D98" s="2" t="s">
        <v>55</v>
      </c>
      <c r="E98" s="2" t="s">
        <v>439</v>
      </c>
      <c r="F98" s="2" t="s">
        <v>440</v>
      </c>
      <c r="G98" s="2" t="s">
        <v>58</v>
      </c>
      <c r="H98" s="2" t="s">
        <v>25</v>
      </c>
      <c r="I98" s="2" t="s">
        <v>441</v>
      </c>
      <c r="J98" s="2" t="s">
        <v>40</v>
      </c>
      <c r="K98" s="2" t="s">
        <v>28</v>
      </c>
      <c r="L98" s="2" t="s">
        <v>174</v>
      </c>
      <c r="M98" s="2" t="s">
        <v>30</v>
      </c>
      <c r="N98" s="2" t="s">
        <v>31</v>
      </c>
      <c r="O98" s="2" t="s">
        <v>175</v>
      </c>
      <c r="P98" s="4">
        <v>561.19240000000002</v>
      </c>
      <c r="Q98" s="4">
        <v>2</v>
      </c>
      <c r="R98" s="4">
        <v>61.013100000000001</v>
      </c>
      <c r="S98" s="2" t="s">
        <v>53</v>
      </c>
      <c r="T98" s="2" t="s">
        <v>93</v>
      </c>
    </row>
    <row r="99" spans="1:20" x14ac:dyDescent="0.25">
      <c r="A99" s="2" t="s">
        <v>442</v>
      </c>
      <c r="B99" s="3">
        <v>42481</v>
      </c>
      <c r="C99" s="3">
        <v>42484</v>
      </c>
      <c r="D99" s="2" t="s">
        <v>21</v>
      </c>
      <c r="E99" s="2" t="s">
        <v>443</v>
      </c>
      <c r="F99" s="2" t="s">
        <v>444</v>
      </c>
      <c r="G99" s="2" t="s">
        <v>38</v>
      </c>
      <c r="H99" s="2" t="s">
        <v>25</v>
      </c>
      <c r="I99" s="2" t="s">
        <v>445</v>
      </c>
      <c r="J99" s="2" t="s">
        <v>138</v>
      </c>
      <c r="K99" s="2" t="s">
        <v>82</v>
      </c>
      <c r="L99" s="2" t="s">
        <v>139</v>
      </c>
      <c r="M99" s="2" t="s">
        <v>30</v>
      </c>
      <c r="N99" s="2" t="s">
        <v>42</v>
      </c>
      <c r="O99" s="2" t="s">
        <v>140</v>
      </c>
      <c r="P99" s="4">
        <v>850.80150000000003</v>
      </c>
      <c r="Q99" s="4">
        <v>1</v>
      </c>
      <c r="R99" s="4">
        <v>249.01410000000001</v>
      </c>
      <c r="S99" s="2" t="s">
        <v>92</v>
      </c>
      <c r="T99" s="2" t="s">
        <v>108</v>
      </c>
    </row>
    <row r="100" spans="1:20" x14ac:dyDescent="0.25">
      <c r="A100" s="2" t="s">
        <v>446</v>
      </c>
      <c r="B100" s="3">
        <v>42037</v>
      </c>
      <c r="C100" s="3">
        <v>42041</v>
      </c>
      <c r="D100" s="2" t="s">
        <v>21</v>
      </c>
      <c r="E100" s="2" t="s">
        <v>447</v>
      </c>
      <c r="F100" s="2" t="s">
        <v>448</v>
      </c>
      <c r="G100" s="2" t="s">
        <v>24</v>
      </c>
      <c r="H100" s="2" t="s">
        <v>25</v>
      </c>
      <c r="I100" s="2" t="s">
        <v>449</v>
      </c>
      <c r="J100" s="2" t="s">
        <v>98</v>
      </c>
      <c r="K100" s="2" t="s">
        <v>82</v>
      </c>
      <c r="L100" s="2" t="s">
        <v>207</v>
      </c>
      <c r="M100" s="2" t="s">
        <v>30</v>
      </c>
      <c r="N100" s="2" t="s">
        <v>31</v>
      </c>
      <c r="O100" s="2" t="s">
        <v>208</v>
      </c>
      <c r="P100" s="4">
        <v>4.9981</v>
      </c>
      <c r="Q100" s="4">
        <v>2</v>
      </c>
      <c r="R100" s="4">
        <v>-2.1581999999999999</v>
      </c>
      <c r="S100" s="2" t="s">
        <v>75</v>
      </c>
      <c r="T100" s="2" t="s">
        <v>101</v>
      </c>
    </row>
    <row r="101" spans="1:20" x14ac:dyDescent="0.25">
      <c r="A101" s="2" t="s">
        <v>450</v>
      </c>
      <c r="B101" s="3">
        <v>42878</v>
      </c>
      <c r="C101" s="3">
        <v>42882</v>
      </c>
      <c r="D101" s="2" t="s">
        <v>21</v>
      </c>
      <c r="E101" s="2" t="s">
        <v>451</v>
      </c>
      <c r="F101" s="2" t="s">
        <v>452</v>
      </c>
      <c r="G101" s="2" t="s">
        <v>58</v>
      </c>
      <c r="H101" s="2" t="s">
        <v>25</v>
      </c>
      <c r="I101" s="2" t="s">
        <v>80</v>
      </c>
      <c r="J101" s="2" t="s">
        <v>81</v>
      </c>
      <c r="K101" s="2" t="s">
        <v>82</v>
      </c>
      <c r="L101" s="2" t="s">
        <v>316</v>
      </c>
      <c r="M101" s="2" t="s">
        <v>30</v>
      </c>
      <c r="N101" s="2" t="s">
        <v>42</v>
      </c>
      <c r="O101" s="2" t="s">
        <v>317</v>
      </c>
      <c r="P101" s="4">
        <v>504.18169999999998</v>
      </c>
      <c r="Q101" s="4">
        <v>4</v>
      </c>
      <c r="R101" s="4">
        <v>172.95519999999999</v>
      </c>
      <c r="S101" s="2" t="s">
        <v>75</v>
      </c>
      <c r="T101" s="2" t="s">
        <v>122</v>
      </c>
    </row>
    <row r="102" spans="1:20" x14ac:dyDescent="0.25">
      <c r="A102" s="2" t="s">
        <v>450</v>
      </c>
      <c r="B102" s="3">
        <v>42878</v>
      </c>
      <c r="C102" s="3">
        <v>42882</v>
      </c>
      <c r="D102" s="2" t="s">
        <v>21</v>
      </c>
      <c r="E102" s="2" t="s">
        <v>451</v>
      </c>
      <c r="F102" s="2" t="s">
        <v>452</v>
      </c>
      <c r="G102" s="2" t="s">
        <v>58</v>
      </c>
      <c r="H102" s="2" t="s">
        <v>25</v>
      </c>
      <c r="I102" s="2" t="s">
        <v>80</v>
      </c>
      <c r="J102" s="2" t="s">
        <v>81</v>
      </c>
      <c r="K102" s="2" t="s">
        <v>82</v>
      </c>
      <c r="L102" s="2" t="s">
        <v>453</v>
      </c>
      <c r="M102" s="2" t="s">
        <v>30</v>
      </c>
      <c r="N102" s="2" t="s">
        <v>42</v>
      </c>
      <c r="O102" s="2" t="s">
        <v>454</v>
      </c>
      <c r="P102" s="4">
        <v>120.1288</v>
      </c>
      <c r="Q102" s="4">
        <v>8</v>
      </c>
      <c r="R102" s="4">
        <v>7.3429000000000002</v>
      </c>
      <c r="S102" s="2" t="s">
        <v>75</v>
      </c>
      <c r="T102" s="2" t="s">
        <v>122</v>
      </c>
    </row>
    <row r="103" spans="1:20" x14ac:dyDescent="0.25">
      <c r="A103" s="2" t="s">
        <v>455</v>
      </c>
      <c r="B103" s="3">
        <v>41941</v>
      </c>
      <c r="C103" s="3">
        <v>41941</v>
      </c>
      <c r="D103" s="2" t="s">
        <v>48</v>
      </c>
      <c r="E103" s="2" t="s">
        <v>456</v>
      </c>
      <c r="F103" s="2" t="s">
        <v>457</v>
      </c>
      <c r="G103" s="2" t="s">
        <v>24</v>
      </c>
      <c r="H103" s="2" t="s">
        <v>25</v>
      </c>
      <c r="I103" s="2" t="s">
        <v>458</v>
      </c>
      <c r="J103" s="2" t="s">
        <v>27</v>
      </c>
      <c r="K103" s="2" t="s">
        <v>28</v>
      </c>
      <c r="L103" s="2" t="s">
        <v>245</v>
      </c>
      <c r="M103" s="2" t="s">
        <v>30</v>
      </c>
      <c r="N103" s="2" t="s">
        <v>42</v>
      </c>
      <c r="O103" s="2" t="s">
        <v>246</v>
      </c>
      <c r="P103" s="4">
        <v>291.0179</v>
      </c>
      <c r="Q103" s="4">
        <v>4</v>
      </c>
      <c r="R103" s="4">
        <v>-62.651299999999999</v>
      </c>
      <c r="S103" s="2" t="s">
        <v>121</v>
      </c>
      <c r="T103" s="2" t="s">
        <v>224</v>
      </c>
    </row>
    <row r="104" spans="1:20" x14ac:dyDescent="0.25">
      <c r="A104" s="2" t="s">
        <v>459</v>
      </c>
      <c r="B104" s="3">
        <v>42122</v>
      </c>
      <c r="C104" s="3">
        <v>42124</v>
      </c>
      <c r="D104" s="2" t="s">
        <v>48</v>
      </c>
      <c r="E104" s="2" t="s">
        <v>460</v>
      </c>
      <c r="F104" s="2" t="s">
        <v>461</v>
      </c>
      <c r="G104" s="2" t="s">
        <v>58</v>
      </c>
      <c r="H104" s="2" t="s">
        <v>25</v>
      </c>
      <c r="I104" s="2" t="s">
        <v>462</v>
      </c>
      <c r="J104" s="2" t="s">
        <v>351</v>
      </c>
      <c r="K104" s="2" t="s">
        <v>147</v>
      </c>
      <c r="L104" s="2" t="s">
        <v>41</v>
      </c>
      <c r="M104" s="2" t="s">
        <v>30</v>
      </c>
      <c r="N104" s="2" t="s">
        <v>42</v>
      </c>
      <c r="O104" s="2" t="s">
        <v>43</v>
      </c>
      <c r="P104" s="4">
        <v>335.73410000000001</v>
      </c>
      <c r="Q104" s="4">
        <v>6</v>
      </c>
      <c r="R104" s="4">
        <v>17.3475</v>
      </c>
      <c r="S104" s="2" t="s">
        <v>53</v>
      </c>
      <c r="T104" s="2" t="s">
        <v>108</v>
      </c>
    </row>
    <row r="105" spans="1:20" x14ac:dyDescent="0.25">
      <c r="A105" s="2" t="s">
        <v>463</v>
      </c>
      <c r="B105" s="3">
        <v>42227</v>
      </c>
      <c r="C105" s="3">
        <v>42228</v>
      </c>
      <c r="D105" s="2" t="s">
        <v>55</v>
      </c>
      <c r="E105" s="2" t="s">
        <v>464</v>
      </c>
      <c r="F105" s="2" t="s">
        <v>465</v>
      </c>
      <c r="G105" s="2" t="s">
        <v>38</v>
      </c>
      <c r="H105" s="2" t="s">
        <v>25</v>
      </c>
      <c r="I105" s="2" t="s">
        <v>378</v>
      </c>
      <c r="J105" s="2" t="s">
        <v>98</v>
      </c>
      <c r="K105" s="2" t="s">
        <v>82</v>
      </c>
      <c r="L105" s="2" t="s">
        <v>316</v>
      </c>
      <c r="M105" s="2" t="s">
        <v>30</v>
      </c>
      <c r="N105" s="2" t="s">
        <v>42</v>
      </c>
      <c r="O105" s="2" t="s">
        <v>317</v>
      </c>
      <c r="P105" s="4">
        <v>353.06740000000002</v>
      </c>
      <c r="Q105" s="4">
        <v>4</v>
      </c>
      <c r="R105" s="4">
        <v>57.4208</v>
      </c>
      <c r="S105" s="2" t="s">
        <v>33</v>
      </c>
      <c r="T105" s="2" t="s">
        <v>34</v>
      </c>
    </row>
    <row r="106" spans="1:20" x14ac:dyDescent="0.25">
      <c r="A106" s="2" t="s">
        <v>466</v>
      </c>
      <c r="B106" s="3">
        <v>42763</v>
      </c>
      <c r="C106" s="3">
        <v>42769</v>
      </c>
      <c r="D106" s="2" t="s">
        <v>55</v>
      </c>
      <c r="E106" s="2" t="s">
        <v>467</v>
      </c>
      <c r="F106" s="2" t="s">
        <v>468</v>
      </c>
      <c r="G106" s="2" t="s">
        <v>38</v>
      </c>
      <c r="H106" s="2" t="s">
        <v>25</v>
      </c>
      <c r="I106" s="2" t="s">
        <v>469</v>
      </c>
      <c r="J106" s="2" t="s">
        <v>470</v>
      </c>
      <c r="K106" s="2" t="s">
        <v>28</v>
      </c>
      <c r="L106" s="2" t="s">
        <v>252</v>
      </c>
      <c r="M106" s="2" t="s">
        <v>30</v>
      </c>
      <c r="N106" s="2" t="s">
        <v>31</v>
      </c>
      <c r="O106" s="2" t="s">
        <v>253</v>
      </c>
      <c r="P106" s="4">
        <v>52.4146</v>
      </c>
      <c r="Q106" s="4">
        <v>3</v>
      </c>
      <c r="R106" s="4">
        <v>2.5207999999999999</v>
      </c>
      <c r="S106" s="2" t="s">
        <v>65</v>
      </c>
      <c r="T106" s="2" t="s">
        <v>115</v>
      </c>
    </row>
    <row r="107" spans="1:20" x14ac:dyDescent="0.25">
      <c r="A107" s="2" t="s">
        <v>471</v>
      </c>
      <c r="B107" s="3">
        <v>41867</v>
      </c>
      <c r="C107" s="3">
        <v>41867</v>
      </c>
      <c r="D107" s="2" t="s">
        <v>55</v>
      </c>
      <c r="E107" s="2" t="s">
        <v>472</v>
      </c>
      <c r="F107" s="2" t="s">
        <v>473</v>
      </c>
      <c r="G107" s="2" t="s">
        <v>38</v>
      </c>
      <c r="H107" s="2" t="s">
        <v>25</v>
      </c>
      <c r="I107" s="2" t="s">
        <v>474</v>
      </c>
      <c r="J107" s="2" t="s">
        <v>475</v>
      </c>
      <c r="K107" s="2" t="s">
        <v>28</v>
      </c>
      <c r="L107" s="2" t="s">
        <v>193</v>
      </c>
      <c r="M107" s="2" t="s">
        <v>30</v>
      </c>
      <c r="N107" s="2" t="s">
        <v>42</v>
      </c>
      <c r="O107" s="2" t="s">
        <v>194</v>
      </c>
      <c r="P107" s="4">
        <v>94.711299999999994</v>
      </c>
      <c r="Q107" s="4">
        <v>1</v>
      </c>
      <c r="R107" s="4">
        <v>21.365200000000002</v>
      </c>
      <c r="S107" s="2" t="s">
        <v>121</v>
      </c>
      <c r="T107" s="2" t="s">
        <v>34</v>
      </c>
    </row>
    <row r="108" spans="1:20" x14ac:dyDescent="0.25">
      <c r="A108" s="2" t="s">
        <v>476</v>
      </c>
      <c r="B108" s="3">
        <v>42023</v>
      </c>
      <c r="C108" s="3">
        <v>42030</v>
      </c>
      <c r="D108" s="2" t="s">
        <v>55</v>
      </c>
      <c r="E108" s="2" t="s">
        <v>477</v>
      </c>
      <c r="F108" s="2" t="s">
        <v>478</v>
      </c>
      <c r="G108" s="2" t="s">
        <v>24</v>
      </c>
      <c r="H108" s="2" t="s">
        <v>25</v>
      </c>
      <c r="I108" s="2" t="s">
        <v>402</v>
      </c>
      <c r="J108" s="2" t="s">
        <v>403</v>
      </c>
      <c r="K108" s="2" t="s">
        <v>147</v>
      </c>
      <c r="L108" s="2" t="s">
        <v>245</v>
      </c>
      <c r="M108" s="2" t="s">
        <v>30</v>
      </c>
      <c r="N108" s="2" t="s">
        <v>42</v>
      </c>
      <c r="O108" s="2" t="s">
        <v>246</v>
      </c>
      <c r="P108" s="4">
        <v>100.1079</v>
      </c>
      <c r="Q108" s="4">
        <v>6</v>
      </c>
      <c r="R108" s="4">
        <v>14.658799999999999</v>
      </c>
      <c r="S108" s="2" t="s">
        <v>107</v>
      </c>
      <c r="T108" s="2" t="s">
        <v>115</v>
      </c>
    </row>
    <row r="109" spans="1:20" x14ac:dyDescent="0.25">
      <c r="A109" s="2" t="s">
        <v>479</v>
      </c>
      <c r="B109" s="3">
        <v>42159</v>
      </c>
      <c r="C109" s="3">
        <v>42159</v>
      </c>
      <c r="D109" s="2" t="s">
        <v>21</v>
      </c>
      <c r="E109" s="2" t="s">
        <v>480</v>
      </c>
      <c r="F109" s="2" t="s">
        <v>481</v>
      </c>
      <c r="G109" s="2" t="s">
        <v>38</v>
      </c>
      <c r="H109" s="2" t="s">
        <v>25</v>
      </c>
      <c r="I109" s="2" t="s">
        <v>482</v>
      </c>
      <c r="J109" s="2" t="s">
        <v>120</v>
      </c>
      <c r="K109" s="2" t="s">
        <v>61</v>
      </c>
      <c r="L109" s="2" t="s">
        <v>186</v>
      </c>
      <c r="M109" s="2" t="s">
        <v>30</v>
      </c>
      <c r="N109" s="2" t="s">
        <v>31</v>
      </c>
      <c r="O109" s="2" t="s">
        <v>187</v>
      </c>
      <c r="P109" s="4">
        <v>499.3467</v>
      </c>
      <c r="Q109" s="4">
        <v>3</v>
      </c>
      <c r="R109" s="4">
        <v>303.29259999999999</v>
      </c>
      <c r="S109" s="2" t="s">
        <v>121</v>
      </c>
      <c r="T109" s="2" t="s">
        <v>133</v>
      </c>
    </row>
    <row r="110" spans="1:20" x14ac:dyDescent="0.25">
      <c r="A110" s="2" t="s">
        <v>483</v>
      </c>
      <c r="B110" s="3">
        <v>41913</v>
      </c>
      <c r="C110" s="3">
        <v>41913</v>
      </c>
      <c r="D110" s="2" t="s">
        <v>142</v>
      </c>
      <c r="E110" s="2" t="s">
        <v>412</v>
      </c>
      <c r="F110" s="2" t="s">
        <v>413</v>
      </c>
      <c r="G110" s="2" t="s">
        <v>38</v>
      </c>
      <c r="H110" s="2" t="s">
        <v>25</v>
      </c>
      <c r="I110" s="2" t="s">
        <v>458</v>
      </c>
      <c r="J110" s="2" t="s">
        <v>27</v>
      </c>
      <c r="K110" s="2" t="s">
        <v>28</v>
      </c>
      <c r="L110" s="2" t="s">
        <v>316</v>
      </c>
      <c r="M110" s="2" t="s">
        <v>30</v>
      </c>
      <c r="N110" s="2" t="s">
        <v>42</v>
      </c>
      <c r="O110" s="2" t="s">
        <v>317</v>
      </c>
      <c r="P110" s="4">
        <v>2144.3121000000001</v>
      </c>
      <c r="Q110" s="4">
        <v>8</v>
      </c>
      <c r="R110" s="4">
        <v>-417.07619999999997</v>
      </c>
      <c r="S110" s="2" t="s">
        <v>121</v>
      </c>
      <c r="T110" s="2" t="s">
        <v>224</v>
      </c>
    </row>
    <row r="111" spans="1:20" x14ac:dyDescent="0.25">
      <c r="A111" s="2" t="s">
        <v>484</v>
      </c>
      <c r="B111" s="3">
        <v>41769</v>
      </c>
      <c r="C111" s="3">
        <v>41773</v>
      </c>
      <c r="D111" s="2" t="s">
        <v>55</v>
      </c>
      <c r="E111" s="2" t="s">
        <v>238</v>
      </c>
      <c r="F111" s="2" t="s">
        <v>239</v>
      </c>
      <c r="G111" s="2" t="s">
        <v>58</v>
      </c>
      <c r="H111" s="2" t="s">
        <v>25</v>
      </c>
      <c r="I111" s="2" t="s">
        <v>485</v>
      </c>
      <c r="J111" s="2" t="s">
        <v>251</v>
      </c>
      <c r="K111" s="2" t="s">
        <v>147</v>
      </c>
      <c r="L111" s="2" t="s">
        <v>113</v>
      </c>
      <c r="M111" s="2" t="s">
        <v>30</v>
      </c>
      <c r="N111" s="2" t="s">
        <v>31</v>
      </c>
      <c r="O111" s="2" t="s">
        <v>114</v>
      </c>
      <c r="P111" s="4">
        <v>38.720599999999997</v>
      </c>
      <c r="Q111" s="4">
        <v>7</v>
      </c>
      <c r="R111" s="4">
        <v>15.6953</v>
      </c>
      <c r="S111" s="2" t="s">
        <v>75</v>
      </c>
      <c r="T111" s="2" t="s">
        <v>122</v>
      </c>
    </row>
    <row r="112" spans="1:20" x14ac:dyDescent="0.25">
      <c r="A112" s="2" t="s">
        <v>486</v>
      </c>
      <c r="B112" s="3">
        <v>42609</v>
      </c>
      <c r="C112" s="3">
        <v>42609</v>
      </c>
      <c r="D112" s="2" t="s">
        <v>48</v>
      </c>
      <c r="E112" s="2" t="s">
        <v>238</v>
      </c>
      <c r="F112" s="2" t="s">
        <v>239</v>
      </c>
      <c r="G112" s="2" t="s">
        <v>38</v>
      </c>
      <c r="H112" s="2" t="s">
        <v>25</v>
      </c>
      <c r="I112" s="2" t="s">
        <v>487</v>
      </c>
      <c r="J112" s="2" t="s">
        <v>470</v>
      </c>
      <c r="K112" s="2" t="s">
        <v>28</v>
      </c>
      <c r="L112" s="2" t="s">
        <v>73</v>
      </c>
      <c r="M112" s="2" t="s">
        <v>30</v>
      </c>
      <c r="N112" s="2" t="s">
        <v>42</v>
      </c>
      <c r="O112" s="2" t="s">
        <v>74</v>
      </c>
      <c r="P112" s="4">
        <v>912.48850000000004</v>
      </c>
      <c r="Q112" s="4">
        <v>1</v>
      </c>
      <c r="R112" s="4">
        <v>292.21269999999998</v>
      </c>
      <c r="S112" s="2" t="s">
        <v>121</v>
      </c>
      <c r="T112" s="2" t="s">
        <v>34</v>
      </c>
    </row>
    <row r="113" spans="1:20" x14ac:dyDescent="0.25">
      <c r="A113" s="2" t="s">
        <v>486</v>
      </c>
      <c r="B113" s="3">
        <v>42609</v>
      </c>
      <c r="C113" s="3">
        <v>42609</v>
      </c>
      <c r="D113" s="2" t="s">
        <v>48</v>
      </c>
      <c r="E113" s="2" t="s">
        <v>238</v>
      </c>
      <c r="F113" s="2" t="s">
        <v>239</v>
      </c>
      <c r="G113" s="2" t="s">
        <v>38</v>
      </c>
      <c r="H113" s="2" t="s">
        <v>25</v>
      </c>
      <c r="I113" s="2" t="s">
        <v>487</v>
      </c>
      <c r="J113" s="2" t="s">
        <v>470</v>
      </c>
      <c r="K113" s="2" t="s">
        <v>28</v>
      </c>
      <c r="L113" s="2" t="s">
        <v>45</v>
      </c>
      <c r="M113" s="2" t="s">
        <v>30</v>
      </c>
      <c r="N113" s="2" t="s">
        <v>31</v>
      </c>
      <c r="O113" s="2" t="s">
        <v>46</v>
      </c>
      <c r="P113" s="4">
        <v>44.794800000000002</v>
      </c>
      <c r="Q113" s="4">
        <v>4</v>
      </c>
      <c r="R113" s="4">
        <v>-22.812200000000001</v>
      </c>
      <c r="S113" s="2" t="s">
        <v>121</v>
      </c>
      <c r="T113" s="2" t="s">
        <v>34</v>
      </c>
    </row>
    <row r="114" spans="1:20" x14ac:dyDescent="0.25">
      <c r="A114" s="2" t="s">
        <v>488</v>
      </c>
      <c r="B114" s="3">
        <v>42459</v>
      </c>
      <c r="C114" s="3">
        <v>42463</v>
      </c>
      <c r="D114" s="2" t="s">
        <v>55</v>
      </c>
      <c r="E114" s="2" t="s">
        <v>489</v>
      </c>
      <c r="F114" s="2" t="s">
        <v>490</v>
      </c>
      <c r="G114" s="2" t="s">
        <v>58</v>
      </c>
      <c r="H114" s="2" t="s">
        <v>25</v>
      </c>
      <c r="I114" s="2" t="s">
        <v>491</v>
      </c>
      <c r="J114" s="2" t="s">
        <v>310</v>
      </c>
      <c r="K114" s="2" t="s">
        <v>28</v>
      </c>
      <c r="L114" s="2" t="s">
        <v>252</v>
      </c>
      <c r="M114" s="2" t="s">
        <v>30</v>
      </c>
      <c r="N114" s="2" t="s">
        <v>31</v>
      </c>
      <c r="O114" s="2" t="s">
        <v>253</v>
      </c>
      <c r="P114" s="4">
        <v>314.52089999999998</v>
      </c>
      <c r="Q114" s="4">
        <v>1</v>
      </c>
      <c r="R114" s="4">
        <v>43.273200000000003</v>
      </c>
      <c r="S114" s="2" t="s">
        <v>75</v>
      </c>
      <c r="T114" s="2" t="s">
        <v>44</v>
      </c>
    </row>
    <row r="115" spans="1:20" x14ac:dyDescent="0.25">
      <c r="A115" s="2" t="s">
        <v>492</v>
      </c>
      <c r="B115" s="3">
        <v>42521</v>
      </c>
      <c r="C115" s="3">
        <v>42523</v>
      </c>
      <c r="D115" s="2" t="s">
        <v>21</v>
      </c>
      <c r="E115" s="2" t="s">
        <v>493</v>
      </c>
      <c r="F115" s="2" t="s">
        <v>494</v>
      </c>
      <c r="G115" s="2" t="s">
        <v>58</v>
      </c>
      <c r="H115" s="2" t="s">
        <v>25</v>
      </c>
      <c r="I115" s="2" t="s">
        <v>495</v>
      </c>
      <c r="J115" s="2" t="s">
        <v>496</v>
      </c>
      <c r="K115" s="2" t="s">
        <v>147</v>
      </c>
      <c r="L115" s="2" t="s">
        <v>323</v>
      </c>
      <c r="M115" s="2" t="s">
        <v>30</v>
      </c>
      <c r="N115" s="2" t="s">
        <v>31</v>
      </c>
      <c r="O115" s="2" t="s">
        <v>324</v>
      </c>
      <c r="P115" s="4">
        <v>125.5197</v>
      </c>
      <c r="Q115" s="4">
        <v>3</v>
      </c>
      <c r="R115" s="4">
        <v>-44.861699999999999</v>
      </c>
      <c r="S115" s="2" t="s">
        <v>53</v>
      </c>
      <c r="T115" s="2" t="s">
        <v>122</v>
      </c>
    </row>
    <row r="116" spans="1:20" x14ac:dyDescent="0.25">
      <c r="A116" s="2" t="s">
        <v>497</v>
      </c>
      <c r="B116" s="3">
        <v>43052</v>
      </c>
      <c r="C116" s="3">
        <v>43052</v>
      </c>
      <c r="D116" s="2" t="s">
        <v>55</v>
      </c>
      <c r="E116" s="2" t="s">
        <v>498</v>
      </c>
      <c r="F116" s="2" t="s">
        <v>499</v>
      </c>
      <c r="G116" s="2" t="s">
        <v>58</v>
      </c>
      <c r="H116" s="2" t="s">
        <v>25</v>
      </c>
      <c r="I116" s="2" t="s">
        <v>71</v>
      </c>
      <c r="J116" s="2" t="s">
        <v>72</v>
      </c>
      <c r="K116" s="2" t="s">
        <v>61</v>
      </c>
      <c r="L116" s="2" t="s">
        <v>186</v>
      </c>
      <c r="M116" s="2" t="s">
        <v>30</v>
      </c>
      <c r="N116" s="2" t="s">
        <v>31</v>
      </c>
      <c r="O116" s="2" t="s">
        <v>187</v>
      </c>
      <c r="P116" s="4">
        <v>5.3193999999999999</v>
      </c>
      <c r="Q116" s="4">
        <v>3</v>
      </c>
      <c r="R116" s="4">
        <v>0.55920000000000003</v>
      </c>
      <c r="S116" s="2" t="s">
        <v>121</v>
      </c>
      <c r="T116" s="2" t="s">
        <v>93</v>
      </c>
    </row>
    <row r="117" spans="1:20" x14ac:dyDescent="0.25">
      <c r="A117" s="2" t="s">
        <v>500</v>
      </c>
      <c r="B117" s="3">
        <v>42690</v>
      </c>
      <c r="C117" s="3">
        <v>42695</v>
      </c>
      <c r="D117" s="2" t="s">
        <v>55</v>
      </c>
      <c r="E117" s="2" t="s">
        <v>22</v>
      </c>
      <c r="F117" s="2" t="s">
        <v>23</v>
      </c>
      <c r="G117" s="2" t="s">
        <v>58</v>
      </c>
      <c r="H117" s="2" t="s">
        <v>25</v>
      </c>
      <c r="I117" s="2" t="s">
        <v>501</v>
      </c>
      <c r="J117" s="2" t="s">
        <v>234</v>
      </c>
      <c r="K117" s="2" t="s">
        <v>82</v>
      </c>
      <c r="L117" s="2" t="s">
        <v>174</v>
      </c>
      <c r="M117" s="2" t="s">
        <v>30</v>
      </c>
      <c r="N117" s="2" t="s">
        <v>31</v>
      </c>
      <c r="O117" s="2" t="s">
        <v>175</v>
      </c>
      <c r="P117" s="4">
        <v>47.9557</v>
      </c>
      <c r="Q117" s="4">
        <v>2</v>
      </c>
      <c r="R117" s="4">
        <v>13.825699999999999</v>
      </c>
      <c r="S117" s="2" t="s">
        <v>85</v>
      </c>
      <c r="T117" s="2" t="s">
        <v>93</v>
      </c>
    </row>
    <row r="118" spans="1:20" x14ac:dyDescent="0.25">
      <c r="A118" s="2" t="s">
        <v>502</v>
      </c>
      <c r="B118" s="3">
        <v>42879</v>
      </c>
      <c r="C118" s="3">
        <v>42883</v>
      </c>
      <c r="D118" s="2" t="s">
        <v>21</v>
      </c>
      <c r="E118" s="2" t="s">
        <v>503</v>
      </c>
      <c r="F118" s="2" t="s">
        <v>504</v>
      </c>
      <c r="G118" s="2" t="s">
        <v>58</v>
      </c>
      <c r="H118" s="2" t="s">
        <v>25</v>
      </c>
      <c r="I118" s="2" t="s">
        <v>505</v>
      </c>
      <c r="J118" s="2" t="s">
        <v>244</v>
      </c>
      <c r="K118" s="2" t="s">
        <v>61</v>
      </c>
      <c r="L118" s="2" t="s">
        <v>245</v>
      </c>
      <c r="M118" s="2" t="s">
        <v>30</v>
      </c>
      <c r="N118" s="2" t="s">
        <v>42</v>
      </c>
      <c r="O118" s="2" t="s">
        <v>246</v>
      </c>
      <c r="P118" s="4">
        <v>350.90890000000002</v>
      </c>
      <c r="Q118" s="4">
        <v>5</v>
      </c>
      <c r="R118" s="4">
        <v>-13.897600000000001</v>
      </c>
      <c r="S118" s="2" t="s">
        <v>75</v>
      </c>
      <c r="T118" s="2" t="s">
        <v>122</v>
      </c>
    </row>
    <row r="119" spans="1:20" x14ac:dyDescent="0.25">
      <c r="A119" s="2" t="s">
        <v>506</v>
      </c>
      <c r="B119" s="3">
        <v>42970</v>
      </c>
      <c r="C119" s="3">
        <v>42976</v>
      </c>
      <c r="D119" s="2" t="s">
        <v>55</v>
      </c>
      <c r="E119" s="2" t="s">
        <v>507</v>
      </c>
      <c r="F119" s="2" t="s">
        <v>508</v>
      </c>
      <c r="G119" s="2" t="s">
        <v>24</v>
      </c>
      <c r="H119" s="2" t="s">
        <v>25</v>
      </c>
      <c r="I119" s="2" t="s">
        <v>509</v>
      </c>
      <c r="J119" s="2" t="s">
        <v>356</v>
      </c>
      <c r="K119" s="2" t="s">
        <v>147</v>
      </c>
      <c r="L119" s="2" t="s">
        <v>83</v>
      </c>
      <c r="M119" s="2" t="s">
        <v>30</v>
      </c>
      <c r="N119" s="2" t="s">
        <v>42</v>
      </c>
      <c r="O119" s="2" t="s">
        <v>84</v>
      </c>
      <c r="P119" s="4">
        <v>246.77680000000001</v>
      </c>
      <c r="Q119" s="4">
        <v>2</v>
      </c>
      <c r="R119" s="4">
        <v>-17.258800000000001</v>
      </c>
      <c r="S119" s="2" t="s">
        <v>65</v>
      </c>
      <c r="T119" s="2" t="s">
        <v>34</v>
      </c>
    </row>
    <row r="120" spans="1:20" x14ac:dyDescent="0.25">
      <c r="A120" s="2" t="s">
        <v>506</v>
      </c>
      <c r="B120" s="3">
        <v>42970</v>
      </c>
      <c r="C120" s="3">
        <v>42976</v>
      </c>
      <c r="D120" s="2" t="s">
        <v>55</v>
      </c>
      <c r="E120" s="2" t="s">
        <v>507</v>
      </c>
      <c r="F120" s="2" t="s">
        <v>508</v>
      </c>
      <c r="G120" s="2" t="s">
        <v>24</v>
      </c>
      <c r="H120" s="2" t="s">
        <v>25</v>
      </c>
      <c r="I120" s="2" t="s">
        <v>509</v>
      </c>
      <c r="J120" s="2" t="s">
        <v>356</v>
      </c>
      <c r="K120" s="2" t="s">
        <v>147</v>
      </c>
      <c r="L120" s="2" t="s">
        <v>207</v>
      </c>
      <c r="M120" s="2" t="s">
        <v>30</v>
      </c>
      <c r="N120" s="2" t="s">
        <v>31</v>
      </c>
      <c r="O120" s="2" t="s">
        <v>208</v>
      </c>
      <c r="P120" s="4">
        <v>46.305300000000003</v>
      </c>
      <c r="Q120" s="4">
        <v>2</v>
      </c>
      <c r="R120" s="4">
        <v>7.3738000000000001</v>
      </c>
      <c r="S120" s="2" t="s">
        <v>65</v>
      </c>
      <c r="T120" s="2" t="s">
        <v>34</v>
      </c>
    </row>
    <row r="121" spans="1:20" x14ac:dyDescent="0.25">
      <c r="A121" s="2" t="s">
        <v>510</v>
      </c>
      <c r="B121" s="3">
        <v>42893</v>
      </c>
      <c r="C121" s="3">
        <v>42900</v>
      </c>
      <c r="D121" s="2" t="s">
        <v>55</v>
      </c>
      <c r="E121" s="2" t="s">
        <v>511</v>
      </c>
      <c r="F121" s="2" t="s">
        <v>512</v>
      </c>
      <c r="G121" s="2" t="s">
        <v>58</v>
      </c>
      <c r="H121" s="2" t="s">
        <v>25</v>
      </c>
      <c r="I121" s="2" t="s">
        <v>26</v>
      </c>
      <c r="J121" s="2" t="s">
        <v>27</v>
      </c>
      <c r="K121" s="2" t="s">
        <v>28</v>
      </c>
      <c r="L121" s="2" t="s">
        <v>186</v>
      </c>
      <c r="M121" s="2" t="s">
        <v>30</v>
      </c>
      <c r="N121" s="2" t="s">
        <v>31</v>
      </c>
      <c r="O121" s="2" t="s">
        <v>187</v>
      </c>
      <c r="P121" s="4">
        <v>4.194</v>
      </c>
      <c r="Q121" s="4">
        <v>3</v>
      </c>
      <c r="R121" s="4">
        <v>0.64859999999999995</v>
      </c>
      <c r="S121" s="2" t="s">
        <v>107</v>
      </c>
      <c r="T121" s="2" t="s">
        <v>133</v>
      </c>
    </row>
    <row r="122" spans="1:20" x14ac:dyDescent="0.25">
      <c r="A122" s="2" t="s">
        <v>510</v>
      </c>
      <c r="B122" s="3">
        <v>42893</v>
      </c>
      <c r="C122" s="3">
        <v>42900</v>
      </c>
      <c r="D122" s="2" t="s">
        <v>55</v>
      </c>
      <c r="E122" s="2" t="s">
        <v>511</v>
      </c>
      <c r="F122" s="2" t="s">
        <v>512</v>
      </c>
      <c r="G122" s="2" t="s">
        <v>58</v>
      </c>
      <c r="H122" s="2" t="s">
        <v>25</v>
      </c>
      <c r="I122" s="2" t="s">
        <v>26</v>
      </c>
      <c r="J122" s="2" t="s">
        <v>27</v>
      </c>
      <c r="K122" s="2" t="s">
        <v>28</v>
      </c>
      <c r="L122" s="2" t="s">
        <v>218</v>
      </c>
      <c r="M122" s="2" t="s">
        <v>30</v>
      </c>
      <c r="N122" s="2" t="s">
        <v>31</v>
      </c>
      <c r="O122" s="2" t="s">
        <v>219</v>
      </c>
      <c r="P122" s="4">
        <v>24.071899999999999</v>
      </c>
      <c r="Q122" s="4">
        <v>4</v>
      </c>
      <c r="R122" s="4">
        <v>9.5663</v>
      </c>
      <c r="S122" s="2" t="s">
        <v>107</v>
      </c>
      <c r="T122" s="2" t="s">
        <v>133</v>
      </c>
    </row>
    <row r="123" spans="1:20" x14ac:dyDescent="0.25">
      <c r="A123" s="2" t="s">
        <v>510</v>
      </c>
      <c r="B123" s="3">
        <v>42893</v>
      </c>
      <c r="C123" s="3">
        <v>42900</v>
      </c>
      <c r="D123" s="2" t="s">
        <v>55</v>
      </c>
      <c r="E123" s="2" t="s">
        <v>511</v>
      </c>
      <c r="F123" s="2" t="s">
        <v>512</v>
      </c>
      <c r="G123" s="2" t="s">
        <v>58</v>
      </c>
      <c r="H123" s="2" t="s">
        <v>25</v>
      </c>
      <c r="I123" s="2" t="s">
        <v>26</v>
      </c>
      <c r="J123" s="2" t="s">
        <v>27</v>
      </c>
      <c r="K123" s="2" t="s">
        <v>28</v>
      </c>
      <c r="L123" s="2" t="s">
        <v>513</v>
      </c>
      <c r="M123" s="2" t="s">
        <v>30</v>
      </c>
      <c r="N123" s="2" t="s">
        <v>63</v>
      </c>
      <c r="O123" s="2" t="s">
        <v>514</v>
      </c>
      <c r="P123" s="4">
        <v>170.0187</v>
      </c>
      <c r="Q123" s="4">
        <v>2</v>
      </c>
      <c r="R123" s="4">
        <v>26.427900000000001</v>
      </c>
      <c r="S123" s="2" t="s">
        <v>107</v>
      </c>
      <c r="T123" s="2" t="s">
        <v>133</v>
      </c>
    </row>
    <row r="124" spans="1:20" x14ac:dyDescent="0.25">
      <c r="A124" s="2" t="s">
        <v>510</v>
      </c>
      <c r="B124" s="3">
        <v>42893</v>
      </c>
      <c r="C124" s="3">
        <v>42900</v>
      </c>
      <c r="D124" s="2" t="s">
        <v>55</v>
      </c>
      <c r="E124" s="2" t="s">
        <v>511</v>
      </c>
      <c r="F124" s="2" t="s">
        <v>512</v>
      </c>
      <c r="G124" s="2" t="s">
        <v>58</v>
      </c>
      <c r="H124" s="2" t="s">
        <v>25</v>
      </c>
      <c r="I124" s="2" t="s">
        <v>26</v>
      </c>
      <c r="J124" s="2" t="s">
        <v>27</v>
      </c>
      <c r="K124" s="2" t="s">
        <v>28</v>
      </c>
      <c r="L124" s="2" t="s">
        <v>83</v>
      </c>
      <c r="M124" s="2" t="s">
        <v>30</v>
      </c>
      <c r="N124" s="2" t="s">
        <v>42</v>
      </c>
      <c r="O124" s="2" t="s">
        <v>84</v>
      </c>
      <c r="P124" s="4">
        <v>292.80189999999999</v>
      </c>
      <c r="Q124" s="4">
        <v>1</v>
      </c>
      <c r="R124" s="4">
        <v>-25.8139</v>
      </c>
      <c r="S124" s="2" t="s">
        <v>107</v>
      </c>
      <c r="T124" s="2" t="s">
        <v>133</v>
      </c>
    </row>
    <row r="125" spans="1:20" x14ac:dyDescent="0.25">
      <c r="A125" s="2" t="s">
        <v>515</v>
      </c>
      <c r="B125" s="3">
        <v>41962</v>
      </c>
      <c r="C125" s="3">
        <v>41969</v>
      </c>
      <c r="D125" s="2" t="s">
        <v>55</v>
      </c>
      <c r="E125" s="2" t="s">
        <v>516</v>
      </c>
      <c r="F125" s="2" t="s">
        <v>517</v>
      </c>
      <c r="G125" s="2" t="s">
        <v>58</v>
      </c>
      <c r="H125" s="2" t="s">
        <v>25</v>
      </c>
      <c r="I125" s="2" t="s">
        <v>485</v>
      </c>
      <c r="J125" s="2" t="s">
        <v>251</v>
      </c>
      <c r="K125" s="2" t="s">
        <v>147</v>
      </c>
      <c r="L125" s="2" t="s">
        <v>186</v>
      </c>
      <c r="M125" s="2" t="s">
        <v>30</v>
      </c>
      <c r="N125" s="2" t="s">
        <v>31</v>
      </c>
      <c r="O125" s="2" t="s">
        <v>187</v>
      </c>
      <c r="P125" s="4">
        <v>4.6355000000000004</v>
      </c>
      <c r="Q125" s="4">
        <v>5</v>
      </c>
      <c r="R125" s="4">
        <v>-0.71560000000000001</v>
      </c>
      <c r="S125" s="2" t="s">
        <v>107</v>
      </c>
      <c r="T125" s="2" t="s">
        <v>93</v>
      </c>
    </row>
    <row r="126" spans="1:20" x14ac:dyDescent="0.25">
      <c r="A126" s="2" t="s">
        <v>518</v>
      </c>
      <c r="B126" s="3">
        <v>42597</v>
      </c>
      <c r="C126" s="3">
        <v>42597</v>
      </c>
      <c r="D126" s="2" t="s">
        <v>142</v>
      </c>
      <c r="E126" s="2" t="s">
        <v>519</v>
      </c>
      <c r="F126" s="2" t="s">
        <v>520</v>
      </c>
      <c r="G126" s="2" t="s">
        <v>24</v>
      </c>
      <c r="H126" s="2" t="s">
        <v>25</v>
      </c>
      <c r="I126" s="2" t="s">
        <v>259</v>
      </c>
      <c r="J126" s="2" t="s">
        <v>260</v>
      </c>
      <c r="K126" s="2" t="s">
        <v>147</v>
      </c>
      <c r="L126" s="2" t="s">
        <v>372</v>
      </c>
      <c r="M126" s="2" t="s">
        <v>30</v>
      </c>
      <c r="N126" s="2" t="s">
        <v>162</v>
      </c>
      <c r="O126" s="2" t="s">
        <v>373</v>
      </c>
      <c r="P126" s="4">
        <v>4300</v>
      </c>
      <c r="Q126" s="4">
        <v>6</v>
      </c>
      <c r="R126" s="4">
        <v>1857.9772</v>
      </c>
      <c r="S126" s="2" t="s">
        <v>121</v>
      </c>
      <c r="T126" s="2" t="s">
        <v>34</v>
      </c>
    </row>
    <row r="127" spans="1:20" x14ac:dyDescent="0.25">
      <c r="A127" s="2" t="s">
        <v>521</v>
      </c>
      <c r="B127" s="3">
        <v>42817</v>
      </c>
      <c r="C127" s="3">
        <v>42819</v>
      </c>
      <c r="D127" s="2" t="s">
        <v>21</v>
      </c>
      <c r="E127" s="2" t="s">
        <v>522</v>
      </c>
      <c r="F127" s="2" t="s">
        <v>523</v>
      </c>
      <c r="G127" s="2" t="s">
        <v>24</v>
      </c>
      <c r="H127" s="2" t="s">
        <v>25</v>
      </c>
      <c r="I127" s="2" t="s">
        <v>184</v>
      </c>
      <c r="J127" s="2" t="s">
        <v>185</v>
      </c>
      <c r="K127" s="2" t="s">
        <v>147</v>
      </c>
      <c r="L127" s="2" t="s">
        <v>113</v>
      </c>
      <c r="M127" s="2" t="s">
        <v>30</v>
      </c>
      <c r="N127" s="2" t="s">
        <v>31</v>
      </c>
      <c r="O127" s="2" t="s">
        <v>114</v>
      </c>
      <c r="P127" s="4">
        <v>3.4613</v>
      </c>
      <c r="Q127" s="4">
        <v>2</v>
      </c>
      <c r="R127" s="4">
        <v>-0.44779999999999998</v>
      </c>
      <c r="S127" s="2" t="s">
        <v>53</v>
      </c>
      <c r="T127" s="2" t="s">
        <v>44</v>
      </c>
    </row>
    <row r="128" spans="1:20" x14ac:dyDescent="0.25">
      <c r="A128" s="2" t="s">
        <v>524</v>
      </c>
      <c r="B128" s="3">
        <v>42950</v>
      </c>
      <c r="C128" s="3">
        <v>42952</v>
      </c>
      <c r="D128" s="2" t="s">
        <v>55</v>
      </c>
      <c r="E128" s="2" t="s">
        <v>525</v>
      </c>
      <c r="F128" s="2" t="s">
        <v>526</v>
      </c>
      <c r="G128" s="2" t="s">
        <v>58</v>
      </c>
      <c r="H128" s="2" t="s">
        <v>25</v>
      </c>
      <c r="I128" s="2" t="s">
        <v>527</v>
      </c>
      <c r="J128" s="2" t="s">
        <v>496</v>
      </c>
      <c r="K128" s="2" t="s">
        <v>147</v>
      </c>
      <c r="L128" s="2" t="s">
        <v>207</v>
      </c>
      <c r="M128" s="2" t="s">
        <v>30</v>
      </c>
      <c r="N128" s="2" t="s">
        <v>31</v>
      </c>
      <c r="O128" s="2" t="s">
        <v>208</v>
      </c>
      <c r="P128" s="4">
        <v>25.526399999999999</v>
      </c>
      <c r="Q128" s="4">
        <v>2</v>
      </c>
      <c r="R128" s="4">
        <v>5.2958999999999996</v>
      </c>
      <c r="S128" s="2" t="s">
        <v>53</v>
      </c>
      <c r="T128" s="2" t="s">
        <v>34</v>
      </c>
    </row>
    <row r="129" spans="1:20" x14ac:dyDescent="0.25">
      <c r="A129" s="2" t="s">
        <v>528</v>
      </c>
      <c r="B129" s="3">
        <v>42348</v>
      </c>
      <c r="C129" s="3">
        <v>42348</v>
      </c>
      <c r="D129" s="2" t="s">
        <v>21</v>
      </c>
      <c r="E129" s="2" t="s">
        <v>529</v>
      </c>
      <c r="F129" s="2" t="s">
        <v>530</v>
      </c>
      <c r="G129" s="2" t="s">
        <v>58</v>
      </c>
      <c r="H129" s="2" t="s">
        <v>25</v>
      </c>
      <c r="I129" s="2" t="s">
        <v>531</v>
      </c>
      <c r="J129" s="2" t="s">
        <v>435</v>
      </c>
      <c r="K129" s="2" t="s">
        <v>61</v>
      </c>
      <c r="L129" s="2" t="s">
        <v>344</v>
      </c>
      <c r="M129" s="2" t="s">
        <v>30</v>
      </c>
      <c r="N129" s="2" t="s">
        <v>42</v>
      </c>
      <c r="O129" s="2" t="s">
        <v>345</v>
      </c>
      <c r="P129" s="4">
        <v>804.43219999999997</v>
      </c>
      <c r="Q129" s="4">
        <v>6</v>
      </c>
      <c r="R129" s="4">
        <v>207.12620000000001</v>
      </c>
      <c r="S129" s="2" t="s">
        <v>121</v>
      </c>
      <c r="T129" s="2" t="s">
        <v>76</v>
      </c>
    </row>
    <row r="130" spans="1:20" x14ac:dyDescent="0.25">
      <c r="A130" s="2" t="s">
        <v>532</v>
      </c>
      <c r="B130" s="3">
        <v>41955</v>
      </c>
      <c r="C130" s="3">
        <v>41955</v>
      </c>
      <c r="D130" s="2" t="s">
        <v>48</v>
      </c>
      <c r="E130" s="2" t="s">
        <v>336</v>
      </c>
      <c r="F130" s="2" t="s">
        <v>337</v>
      </c>
      <c r="G130" s="2" t="s">
        <v>38</v>
      </c>
      <c r="H130" s="2" t="s">
        <v>25</v>
      </c>
      <c r="I130" s="2" t="s">
        <v>533</v>
      </c>
      <c r="J130" s="2" t="s">
        <v>72</v>
      </c>
      <c r="K130" s="2" t="s">
        <v>61</v>
      </c>
      <c r="L130" s="2" t="s">
        <v>29</v>
      </c>
      <c r="M130" s="2" t="s">
        <v>30</v>
      </c>
      <c r="N130" s="2" t="s">
        <v>31</v>
      </c>
      <c r="O130" s="2" t="s">
        <v>32</v>
      </c>
      <c r="P130" s="4">
        <v>56.757899999999999</v>
      </c>
      <c r="Q130" s="4">
        <v>2</v>
      </c>
      <c r="R130" s="4">
        <v>0.55900000000000005</v>
      </c>
      <c r="S130" s="2" t="s">
        <v>121</v>
      </c>
      <c r="T130" s="2" t="s">
        <v>93</v>
      </c>
    </row>
    <row r="131" spans="1:20" x14ac:dyDescent="0.25">
      <c r="A131" s="2" t="s">
        <v>534</v>
      </c>
      <c r="B131" s="3">
        <v>42182</v>
      </c>
      <c r="C131" s="3">
        <v>42184</v>
      </c>
      <c r="D131" s="2" t="s">
        <v>21</v>
      </c>
      <c r="E131" s="2" t="s">
        <v>231</v>
      </c>
      <c r="F131" s="2" t="s">
        <v>232</v>
      </c>
      <c r="G131" s="2" t="s">
        <v>58</v>
      </c>
      <c r="H131" s="2" t="s">
        <v>25</v>
      </c>
      <c r="I131" s="2" t="s">
        <v>184</v>
      </c>
      <c r="J131" s="2" t="s">
        <v>185</v>
      </c>
      <c r="K131" s="2" t="s">
        <v>147</v>
      </c>
      <c r="L131" s="2" t="s">
        <v>235</v>
      </c>
      <c r="M131" s="2" t="s">
        <v>30</v>
      </c>
      <c r="N131" s="2" t="s">
        <v>31</v>
      </c>
      <c r="O131" s="2" t="s">
        <v>236</v>
      </c>
      <c r="P131" s="4">
        <v>298.7595</v>
      </c>
      <c r="Q131" s="4">
        <v>2</v>
      </c>
      <c r="R131" s="4">
        <v>-17.483599999999999</v>
      </c>
      <c r="S131" s="2" t="s">
        <v>53</v>
      </c>
      <c r="T131" s="2" t="s">
        <v>133</v>
      </c>
    </row>
    <row r="132" spans="1:20" x14ac:dyDescent="0.25">
      <c r="A132" s="2" t="s">
        <v>535</v>
      </c>
      <c r="B132" s="3">
        <v>42471</v>
      </c>
      <c r="C132" s="3">
        <v>42478</v>
      </c>
      <c r="D132" s="2" t="s">
        <v>55</v>
      </c>
      <c r="E132" s="2" t="s">
        <v>347</v>
      </c>
      <c r="F132" s="2" t="s">
        <v>348</v>
      </c>
      <c r="G132" s="2" t="s">
        <v>58</v>
      </c>
      <c r="H132" s="2" t="s">
        <v>25</v>
      </c>
      <c r="I132" s="2" t="s">
        <v>343</v>
      </c>
      <c r="J132" s="2" t="s">
        <v>153</v>
      </c>
      <c r="K132" s="2" t="s">
        <v>147</v>
      </c>
      <c r="L132" s="2" t="s">
        <v>186</v>
      </c>
      <c r="M132" s="2" t="s">
        <v>30</v>
      </c>
      <c r="N132" s="2" t="s">
        <v>31</v>
      </c>
      <c r="O132" s="2" t="s">
        <v>187</v>
      </c>
      <c r="P132" s="4">
        <v>144.8509</v>
      </c>
      <c r="Q132" s="4">
        <v>8</v>
      </c>
      <c r="R132" s="4">
        <v>21.772099999999998</v>
      </c>
      <c r="S132" s="2" t="s">
        <v>107</v>
      </c>
      <c r="T132" s="2" t="s">
        <v>108</v>
      </c>
    </row>
    <row r="133" spans="1:20" x14ac:dyDescent="0.25">
      <c r="A133" s="2" t="s">
        <v>536</v>
      </c>
      <c r="B133" s="3">
        <v>42293</v>
      </c>
      <c r="C133" s="3">
        <v>42296</v>
      </c>
      <c r="D133" s="2" t="s">
        <v>55</v>
      </c>
      <c r="E133" s="2" t="s">
        <v>537</v>
      </c>
      <c r="F133" s="2" t="s">
        <v>538</v>
      </c>
      <c r="G133" s="2" t="s">
        <v>58</v>
      </c>
      <c r="H133" s="2" t="s">
        <v>25</v>
      </c>
      <c r="I133" s="2" t="s">
        <v>539</v>
      </c>
      <c r="J133" s="2" t="s">
        <v>91</v>
      </c>
      <c r="K133" s="2" t="s">
        <v>61</v>
      </c>
      <c r="L133" s="2" t="s">
        <v>228</v>
      </c>
      <c r="M133" s="2" t="s">
        <v>30</v>
      </c>
      <c r="N133" s="2" t="s">
        <v>42</v>
      </c>
      <c r="O133" s="2" t="s">
        <v>229</v>
      </c>
      <c r="P133" s="4">
        <v>412.61869999999999</v>
      </c>
      <c r="Q133" s="4">
        <v>3</v>
      </c>
      <c r="R133" s="4">
        <v>6.8522999999999996</v>
      </c>
      <c r="S133" s="2" t="s">
        <v>92</v>
      </c>
      <c r="T133" s="2" t="s">
        <v>224</v>
      </c>
    </row>
    <row r="134" spans="1:20" x14ac:dyDescent="0.25">
      <c r="A134" s="2" t="s">
        <v>540</v>
      </c>
      <c r="B134" s="3">
        <v>41928</v>
      </c>
      <c r="C134" s="3">
        <v>41930</v>
      </c>
      <c r="D134" s="2" t="s">
        <v>55</v>
      </c>
      <c r="E134" s="2" t="s">
        <v>541</v>
      </c>
      <c r="F134" s="2" t="s">
        <v>542</v>
      </c>
      <c r="G134" s="2" t="s">
        <v>58</v>
      </c>
      <c r="H134" s="2" t="s">
        <v>25</v>
      </c>
      <c r="I134" s="2" t="s">
        <v>445</v>
      </c>
      <c r="J134" s="2" t="s">
        <v>138</v>
      </c>
      <c r="K134" s="2" t="s">
        <v>82</v>
      </c>
      <c r="L134" s="2" t="s">
        <v>218</v>
      </c>
      <c r="M134" s="2" t="s">
        <v>30</v>
      </c>
      <c r="N134" s="2" t="s">
        <v>31</v>
      </c>
      <c r="O134" s="2" t="s">
        <v>219</v>
      </c>
      <c r="P134" s="4">
        <v>25.411999999999999</v>
      </c>
      <c r="Q134" s="4">
        <v>2</v>
      </c>
      <c r="R134" s="4">
        <v>-2.7082999999999999</v>
      </c>
      <c r="S134" s="2" t="s">
        <v>53</v>
      </c>
      <c r="T134" s="2" t="s">
        <v>224</v>
      </c>
    </row>
    <row r="135" spans="1:20" x14ac:dyDescent="0.25">
      <c r="A135" s="2" t="s">
        <v>543</v>
      </c>
      <c r="B135" s="3">
        <v>42280</v>
      </c>
      <c r="C135" s="3">
        <v>42281</v>
      </c>
      <c r="D135" s="2" t="s">
        <v>55</v>
      </c>
      <c r="E135" s="2" t="s">
        <v>544</v>
      </c>
      <c r="F135" s="2" t="s">
        <v>545</v>
      </c>
      <c r="G135" s="2" t="s">
        <v>58</v>
      </c>
      <c r="H135" s="2" t="s">
        <v>25</v>
      </c>
      <c r="I135" s="2" t="s">
        <v>449</v>
      </c>
      <c r="J135" s="2" t="s">
        <v>98</v>
      </c>
      <c r="K135" s="2" t="s">
        <v>82</v>
      </c>
      <c r="L135" s="2" t="s">
        <v>333</v>
      </c>
      <c r="M135" s="2" t="s">
        <v>30</v>
      </c>
      <c r="N135" s="2" t="s">
        <v>162</v>
      </c>
      <c r="O135" s="2" t="s">
        <v>334</v>
      </c>
      <c r="P135" s="4">
        <v>304.01029999999997</v>
      </c>
      <c r="Q135" s="4">
        <v>5</v>
      </c>
      <c r="R135" s="4">
        <v>14.193099999999999</v>
      </c>
      <c r="S135" s="2" t="s">
        <v>33</v>
      </c>
      <c r="T135" s="2" t="s">
        <v>224</v>
      </c>
    </row>
    <row r="136" spans="1:20" x14ac:dyDescent="0.25">
      <c r="A136" s="2" t="s">
        <v>543</v>
      </c>
      <c r="B136" s="3">
        <v>42280</v>
      </c>
      <c r="C136" s="3">
        <v>42281</v>
      </c>
      <c r="D136" s="2" t="s">
        <v>55</v>
      </c>
      <c r="E136" s="2" t="s">
        <v>544</v>
      </c>
      <c r="F136" s="2" t="s">
        <v>545</v>
      </c>
      <c r="G136" s="2" t="s">
        <v>58</v>
      </c>
      <c r="H136" s="2" t="s">
        <v>25</v>
      </c>
      <c r="I136" s="2" t="s">
        <v>449</v>
      </c>
      <c r="J136" s="2" t="s">
        <v>98</v>
      </c>
      <c r="K136" s="2" t="s">
        <v>82</v>
      </c>
      <c r="L136" s="2" t="s">
        <v>245</v>
      </c>
      <c r="M136" s="2" t="s">
        <v>30</v>
      </c>
      <c r="N136" s="2" t="s">
        <v>42</v>
      </c>
      <c r="O136" s="2" t="s">
        <v>246</v>
      </c>
      <c r="P136" s="4">
        <v>344.32209999999998</v>
      </c>
      <c r="Q136" s="4">
        <v>4</v>
      </c>
      <c r="R136" s="4">
        <v>53.323799999999999</v>
      </c>
      <c r="S136" s="2" t="s">
        <v>33</v>
      </c>
      <c r="T136" s="2" t="s">
        <v>224</v>
      </c>
    </row>
    <row r="137" spans="1:20" x14ac:dyDescent="0.25">
      <c r="A137" s="2" t="s">
        <v>546</v>
      </c>
      <c r="B137" s="3">
        <v>41739</v>
      </c>
      <c r="C137" s="3">
        <v>41740</v>
      </c>
      <c r="D137" s="2" t="s">
        <v>48</v>
      </c>
      <c r="E137" s="2" t="s">
        <v>547</v>
      </c>
      <c r="F137" s="2" t="s">
        <v>548</v>
      </c>
      <c r="G137" s="2" t="s">
        <v>58</v>
      </c>
      <c r="H137" s="2" t="s">
        <v>25</v>
      </c>
      <c r="I137" s="2" t="s">
        <v>394</v>
      </c>
      <c r="J137" s="2" t="s">
        <v>289</v>
      </c>
      <c r="K137" s="2" t="s">
        <v>82</v>
      </c>
      <c r="L137" s="2" t="s">
        <v>245</v>
      </c>
      <c r="M137" s="2" t="s">
        <v>30</v>
      </c>
      <c r="N137" s="2" t="s">
        <v>42</v>
      </c>
      <c r="O137" s="2" t="s">
        <v>246</v>
      </c>
      <c r="P137" s="4">
        <v>567.3329</v>
      </c>
      <c r="Q137" s="4">
        <v>2</v>
      </c>
      <c r="R137" s="4">
        <v>358.94959999999998</v>
      </c>
      <c r="S137" s="2" t="s">
        <v>33</v>
      </c>
      <c r="T137" s="2" t="s">
        <v>108</v>
      </c>
    </row>
    <row r="138" spans="1:20" x14ac:dyDescent="0.25">
      <c r="A138" s="2" t="s">
        <v>549</v>
      </c>
      <c r="B138" s="3">
        <v>42465</v>
      </c>
      <c r="C138" s="3">
        <v>42471</v>
      </c>
      <c r="D138" s="2" t="s">
        <v>55</v>
      </c>
      <c r="E138" s="2" t="s">
        <v>550</v>
      </c>
      <c r="F138" s="2" t="s">
        <v>551</v>
      </c>
      <c r="G138" s="2" t="s">
        <v>58</v>
      </c>
      <c r="H138" s="2" t="s">
        <v>25</v>
      </c>
      <c r="I138" s="2" t="s">
        <v>552</v>
      </c>
      <c r="J138" s="2" t="s">
        <v>322</v>
      </c>
      <c r="K138" s="2" t="s">
        <v>28</v>
      </c>
      <c r="L138" s="2" t="s">
        <v>131</v>
      </c>
      <c r="M138" s="2" t="s">
        <v>30</v>
      </c>
      <c r="N138" s="2" t="s">
        <v>31</v>
      </c>
      <c r="O138" s="2" t="s">
        <v>132</v>
      </c>
      <c r="P138" s="4">
        <v>311.41070000000002</v>
      </c>
      <c r="Q138" s="4">
        <v>5</v>
      </c>
      <c r="R138" s="4">
        <v>-26.9434</v>
      </c>
      <c r="S138" s="2" t="s">
        <v>65</v>
      </c>
      <c r="T138" s="2" t="s">
        <v>108</v>
      </c>
    </row>
    <row r="139" spans="1:20" x14ac:dyDescent="0.25">
      <c r="A139" s="2" t="s">
        <v>553</v>
      </c>
      <c r="B139" s="3">
        <v>42916</v>
      </c>
      <c r="C139" s="3">
        <v>42921</v>
      </c>
      <c r="D139" s="2" t="s">
        <v>55</v>
      </c>
      <c r="E139" s="2" t="s">
        <v>554</v>
      </c>
      <c r="F139" s="2" t="s">
        <v>555</v>
      </c>
      <c r="G139" s="2" t="s">
        <v>24</v>
      </c>
      <c r="H139" s="2" t="s">
        <v>25</v>
      </c>
      <c r="I139" s="2" t="s">
        <v>223</v>
      </c>
      <c r="J139" s="2" t="s">
        <v>81</v>
      </c>
      <c r="K139" s="2" t="s">
        <v>82</v>
      </c>
      <c r="L139" s="2" t="s">
        <v>453</v>
      </c>
      <c r="M139" s="2" t="s">
        <v>30</v>
      </c>
      <c r="N139" s="2" t="s">
        <v>42</v>
      </c>
      <c r="O139" s="2" t="s">
        <v>454</v>
      </c>
      <c r="P139" s="4">
        <v>193.12530000000001</v>
      </c>
      <c r="Q139" s="4">
        <v>1</v>
      </c>
      <c r="R139" s="4">
        <v>-8.2710000000000008</v>
      </c>
      <c r="S139" s="2" t="s">
        <v>85</v>
      </c>
      <c r="T139" s="2" t="s">
        <v>133</v>
      </c>
    </row>
    <row r="140" spans="1:20" x14ac:dyDescent="0.25">
      <c r="A140" s="2" t="s">
        <v>556</v>
      </c>
      <c r="B140" s="3">
        <v>42462</v>
      </c>
      <c r="C140" s="3">
        <v>42464</v>
      </c>
      <c r="D140" s="2" t="s">
        <v>55</v>
      </c>
      <c r="E140" s="2" t="s">
        <v>550</v>
      </c>
      <c r="F140" s="2" t="s">
        <v>551</v>
      </c>
      <c r="G140" s="2" t="s">
        <v>58</v>
      </c>
      <c r="H140" s="2" t="s">
        <v>25</v>
      </c>
      <c r="I140" s="2" t="s">
        <v>205</v>
      </c>
      <c r="J140" s="2" t="s">
        <v>206</v>
      </c>
      <c r="K140" s="2" t="s">
        <v>61</v>
      </c>
      <c r="L140" s="2" t="s">
        <v>323</v>
      </c>
      <c r="M140" s="2" t="s">
        <v>30</v>
      </c>
      <c r="N140" s="2" t="s">
        <v>31</v>
      </c>
      <c r="O140" s="2" t="s">
        <v>324</v>
      </c>
      <c r="P140" s="4">
        <v>37.145600000000002</v>
      </c>
      <c r="Q140" s="4">
        <v>1</v>
      </c>
      <c r="R140" s="4">
        <v>14.164400000000001</v>
      </c>
      <c r="S140" s="2" t="s">
        <v>53</v>
      </c>
      <c r="T140" s="2" t="s">
        <v>108</v>
      </c>
    </row>
    <row r="141" spans="1:20" x14ac:dyDescent="0.25">
      <c r="A141" s="2" t="s">
        <v>557</v>
      </c>
      <c r="B141" s="3">
        <v>42444</v>
      </c>
      <c r="C141" s="3">
        <v>42444</v>
      </c>
      <c r="D141" s="2" t="s">
        <v>55</v>
      </c>
      <c r="E141" s="2" t="s">
        <v>558</v>
      </c>
      <c r="F141" s="2" t="s">
        <v>559</v>
      </c>
      <c r="G141" s="2" t="s">
        <v>58</v>
      </c>
      <c r="H141" s="2" t="s">
        <v>25</v>
      </c>
      <c r="I141" s="2" t="s">
        <v>445</v>
      </c>
      <c r="J141" s="2" t="s">
        <v>138</v>
      </c>
      <c r="K141" s="2" t="s">
        <v>82</v>
      </c>
      <c r="L141" s="2" t="s">
        <v>45</v>
      </c>
      <c r="M141" s="2" t="s">
        <v>30</v>
      </c>
      <c r="N141" s="2" t="s">
        <v>31</v>
      </c>
      <c r="O141" s="2" t="s">
        <v>46</v>
      </c>
      <c r="P141" s="4">
        <v>48.446399999999997</v>
      </c>
      <c r="Q141" s="4">
        <v>1</v>
      </c>
      <c r="R141" s="4">
        <v>4.7203999999999997</v>
      </c>
      <c r="S141" s="2" t="s">
        <v>121</v>
      </c>
      <c r="T141" s="2" t="s">
        <v>44</v>
      </c>
    </row>
    <row r="142" spans="1:20" x14ac:dyDescent="0.25">
      <c r="A142" s="2" t="s">
        <v>560</v>
      </c>
      <c r="B142" s="3">
        <v>42835</v>
      </c>
      <c r="C142" s="3">
        <v>42839</v>
      </c>
      <c r="D142" s="2" t="s">
        <v>21</v>
      </c>
      <c r="E142" s="2" t="s">
        <v>561</v>
      </c>
      <c r="F142" s="2" t="s">
        <v>562</v>
      </c>
      <c r="G142" s="2" t="s">
        <v>38</v>
      </c>
      <c r="H142" s="2" t="s">
        <v>25</v>
      </c>
      <c r="I142" s="2" t="s">
        <v>394</v>
      </c>
      <c r="J142" s="2" t="s">
        <v>289</v>
      </c>
      <c r="K142" s="2" t="s">
        <v>82</v>
      </c>
      <c r="L142" s="2" t="s">
        <v>254</v>
      </c>
      <c r="M142" s="2" t="s">
        <v>30</v>
      </c>
      <c r="N142" s="2" t="s">
        <v>162</v>
      </c>
      <c r="O142" s="2" t="s">
        <v>255</v>
      </c>
      <c r="P142" s="4">
        <v>339.48320000000001</v>
      </c>
      <c r="Q142" s="4">
        <v>2</v>
      </c>
      <c r="R142" s="4">
        <v>58.555900000000001</v>
      </c>
      <c r="S142" s="2" t="s">
        <v>75</v>
      </c>
      <c r="T142" s="2" t="s">
        <v>108</v>
      </c>
    </row>
    <row r="143" spans="1:20" x14ac:dyDescent="0.25">
      <c r="A143" s="2" t="s">
        <v>563</v>
      </c>
      <c r="B143" s="3">
        <v>42909</v>
      </c>
      <c r="C143" s="3">
        <v>42909</v>
      </c>
      <c r="D143" s="2" t="s">
        <v>142</v>
      </c>
      <c r="E143" s="2" t="s">
        <v>564</v>
      </c>
      <c r="F143" s="2" t="s">
        <v>565</v>
      </c>
      <c r="G143" s="2" t="s">
        <v>24</v>
      </c>
      <c r="H143" s="2" t="s">
        <v>25</v>
      </c>
      <c r="I143" s="2" t="s">
        <v>566</v>
      </c>
      <c r="J143" s="2" t="s">
        <v>424</v>
      </c>
      <c r="K143" s="2" t="s">
        <v>28</v>
      </c>
      <c r="L143" s="2" t="s">
        <v>62</v>
      </c>
      <c r="M143" s="2" t="s">
        <v>30</v>
      </c>
      <c r="N143" s="2" t="s">
        <v>63</v>
      </c>
      <c r="O143" s="2" t="s">
        <v>64</v>
      </c>
      <c r="P143" s="4">
        <v>524.16309999999999</v>
      </c>
      <c r="Q143" s="4">
        <v>7</v>
      </c>
      <c r="R143" s="4">
        <v>-312.65170000000001</v>
      </c>
      <c r="S143" s="2" t="s">
        <v>121</v>
      </c>
      <c r="T143" s="2" t="s">
        <v>133</v>
      </c>
    </row>
    <row r="144" spans="1:20" x14ac:dyDescent="0.25">
      <c r="A144" s="2" t="s">
        <v>567</v>
      </c>
      <c r="B144" s="3">
        <v>42497</v>
      </c>
      <c r="C144" s="3">
        <v>42499</v>
      </c>
      <c r="D144" s="2" t="s">
        <v>48</v>
      </c>
      <c r="E144" s="2" t="s">
        <v>568</v>
      </c>
      <c r="F144" s="2" t="s">
        <v>569</v>
      </c>
      <c r="G144" s="2" t="s">
        <v>38</v>
      </c>
      <c r="H144" s="2" t="s">
        <v>25</v>
      </c>
      <c r="I144" s="2" t="s">
        <v>382</v>
      </c>
      <c r="J144" s="2" t="s">
        <v>192</v>
      </c>
      <c r="K144" s="2" t="s">
        <v>82</v>
      </c>
      <c r="L144" s="2" t="s">
        <v>113</v>
      </c>
      <c r="M144" s="2" t="s">
        <v>30</v>
      </c>
      <c r="N144" s="2" t="s">
        <v>31</v>
      </c>
      <c r="O144" s="2" t="s">
        <v>114</v>
      </c>
      <c r="P144" s="4">
        <v>16.669599999999999</v>
      </c>
      <c r="Q144" s="4">
        <v>3</v>
      </c>
      <c r="R144" s="4">
        <v>2.8140999999999998</v>
      </c>
      <c r="S144" s="2" t="s">
        <v>53</v>
      </c>
      <c r="T144" s="2" t="s">
        <v>122</v>
      </c>
    </row>
    <row r="145" spans="1:20" x14ac:dyDescent="0.25">
      <c r="A145" s="2" t="s">
        <v>570</v>
      </c>
      <c r="B145" s="3">
        <v>42064</v>
      </c>
      <c r="C145" s="3">
        <v>42069</v>
      </c>
      <c r="D145" s="2" t="s">
        <v>55</v>
      </c>
      <c r="E145" s="2" t="s">
        <v>571</v>
      </c>
      <c r="F145" s="2" t="s">
        <v>572</v>
      </c>
      <c r="G145" s="2" t="s">
        <v>58</v>
      </c>
      <c r="H145" s="2" t="s">
        <v>25</v>
      </c>
      <c r="I145" s="2" t="s">
        <v>80</v>
      </c>
      <c r="J145" s="2" t="s">
        <v>81</v>
      </c>
      <c r="K145" s="2" t="s">
        <v>82</v>
      </c>
      <c r="L145" s="2" t="s">
        <v>218</v>
      </c>
      <c r="M145" s="2" t="s">
        <v>30</v>
      </c>
      <c r="N145" s="2" t="s">
        <v>31</v>
      </c>
      <c r="O145" s="2" t="s">
        <v>219</v>
      </c>
      <c r="P145" s="4">
        <v>57.3386</v>
      </c>
      <c r="Q145" s="4">
        <v>3</v>
      </c>
      <c r="R145" s="4">
        <v>6.0804999999999998</v>
      </c>
      <c r="S145" s="2" t="s">
        <v>85</v>
      </c>
      <c r="T145" s="2" t="s">
        <v>44</v>
      </c>
    </row>
    <row r="146" spans="1:20" x14ac:dyDescent="0.25">
      <c r="A146" s="2" t="s">
        <v>573</v>
      </c>
      <c r="B146" s="3">
        <v>43034</v>
      </c>
      <c r="C146" s="3">
        <v>43038</v>
      </c>
      <c r="D146" s="2" t="s">
        <v>55</v>
      </c>
      <c r="E146" s="2" t="s">
        <v>574</v>
      </c>
      <c r="F146" s="2" t="s">
        <v>575</v>
      </c>
      <c r="G146" s="2" t="s">
        <v>58</v>
      </c>
      <c r="H146" s="2" t="s">
        <v>25</v>
      </c>
      <c r="I146" s="2" t="s">
        <v>576</v>
      </c>
      <c r="J146" s="2" t="s">
        <v>470</v>
      </c>
      <c r="K146" s="2" t="s">
        <v>28</v>
      </c>
      <c r="L146" s="2" t="s">
        <v>218</v>
      </c>
      <c r="M146" s="2" t="s">
        <v>30</v>
      </c>
      <c r="N146" s="2" t="s">
        <v>31</v>
      </c>
      <c r="O146" s="2" t="s">
        <v>219</v>
      </c>
      <c r="P146" s="4">
        <v>59.0822</v>
      </c>
      <c r="Q146" s="4">
        <v>2</v>
      </c>
      <c r="R146" s="4">
        <v>18.817599999999999</v>
      </c>
      <c r="S146" s="2" t="s">
        <v>75</v>
      </c>
      <c r="T146" s="2" t="s">
        <v>224</v>
      </c>
    </row>
    <row r="147" spans="1:20" x14ac:dyDescent="0.25">
      <c r="A147" s="2" t="s">
        <v>577</v>
      </c>
      <c r="B147" s="3">
        <v>43083</v>
      </c>
      <c r="C147" s="3">
        <v>43089</v>
      </c>
      <c r="D147" s="2" t="s">
        <v>55</v>
      </c>
      <c r="E147" s="2" t="s">
        <v>578</v>
      </c>
      <c r="F147" s="2" t="s">
        <v>579</v>
      </c>
      <c r="G147" s="2" t="s">
        <v>58</v>
      </c>
      <c r="H147" s="2" t="s">
        <v>25</v>
      </c>
      <c r="I147" s="2" t="s">
        <v>580</v>
      </c>
      <c r="J147" s="2" t="s">
        <v>387</v>
      </c>
      <c r="K147" s="2" t="s">
        <v>61</v>
      </c>
      <c r="L147" s="2" t="s">
        <v>245</v>
      </c>
      <c r="M147" s="2" t="s">
        <v>30</v>
      </c>
      <c r="N147" s="2" t="s">
        <v>42</v>
      </c>
      <c r="O147" s="2" t="s">
        <v>246</v>
      </c>
      <c r="P147" s="4">
        <v>518.11300000000006</v>
      </c>
      <c r="Q147" s="4">
        <v>2</v>
      </c>
      <c r="R147" s="4">
        <v>-266.92599999999999</v>
      </c>
      <c r="S147" s="2" t="s">
        <v>65</v>
      </c>
      <c r="T147" s="2" t="s">
        <v>76</v>
      </c>
    </row>
    <row r="148" spans="1:20" x14ac:dyDescent="0.25">
      <c r="A148" s="2" t="s">
        <v>577</v>
      </c>
      <c r="B148" s="3">
        <v>43083</v>
      </c>
      <c r="C148" s="3">
        <v>43089</v>
      </c>
      <c r="D148" s="2" t="s">
        <v>55</v>
      </c>
      <c r="E148" s="2" t="s">
        <v>578</v>
      </c>
      <c r="F148" s="2" t="s">
        <v>579</v>
      </c>
      <c r="G148" s="2" t="s">
        <v>58</v>
      </c>
      <c r="H148" s="2" t="s">
        <v>25</v>
      </c>
      <c r="I148" s="2" t="s">
        <v>580</v>
      </c>
      <c r="J148" s="2" t="s">
        <v>387</v>
      </c>
      <c r="K148" s="2" t="s">
        <v>61</v>
      </c>
      <c r="L148" s="2" t="s">
        <v>323</v>
      </c>
      <c r="M148" s="2" t="s">
        <v>30</v>
      </c>
      <c r="N148" s="2" t="s">
        <v>31</v>
      </c>
      <c r="O148" s="2" t="s">
        <v>324</v>
      </c>
      <c r="P148" s="4">
        <v>77.604200000000006</v>
      </c>
      <c r="Q148" s="4">
        <v>3</v>
      </c>
      <c r="R148" s="4">
        <v>33.081499999999998</v>
      </c>
      <c r="S148" s="2" t="s">
        <v>65</v>
      </c>
      <c r="T148" s="2" t="s">
        <v>76</v>
      </c>
    </row>
    <row r="149" spans="1:20" x14ac:dyDescent="0.25">
      <c r="A149" s="2" t="s">
        <v>581</v>
      </c>
      <c r="B149" s="3">
        <v>42234</v>
      </c>
      <c r="C149" s="3">
        <v>42237</v>
      </c>
      <c r="D149" s="2" t="s">
        <v>21</v>
      </c>
      <c r="E149" s="2" t="s">
        <v>582</v>
      </c>
      <c r="F149" s="2" t="s">
        <v>583</v>
      </c>
      <c r="G149" s="2" t="s">
        <v>24</v>
      </c>
      <c r="H149" s="2" t="s">
        <v>25</v>
      </c>
      <c r="I149" s="2" t="s">
        <v>350</v>
      </c>
      <c r="J149" s="2" t="s">
        <v>351</v>
      </c>
      <c r="K149" s="2" t="s">
        <v>147</v>
      </c>
      <c r="L149" s="2" t="s">
        <v>131</v>
      </c>
      <c r="M149" s="2" t="s">
        <v>30</v>
      </c>
      <c r="N149" s="2" t="s">
        <v>31</v>
      </c>
      <c r="O149" s="2" t="s">
        <v>132</v>
      </c>
      <c r="P149" s="4">
        <v>5.4943999999999997</v>
      </c>
      <c r="Q149" s="4">
        <v>2</v>
      </c>
      <c r="R149" s="4">
        <v>2.5135999999999998</v>
      </c>
      <c r="S149" s="2" t="s">
        <v>92</v>
      </c>
      <c r="T149" s="2" t="s">
        <v>34</v>
      </c>
    </row>
    <row r="150" spans="1:20" x14ac:dyDescent="0.25">
      <c r="A150" s="2" t="s">
        <v>584</v>
      </c>
      <c r="B150" s="3">
        <v>42791</v>
      </c>
      <c r="C150" s="3">
        <v>42795</v>
      </c>
      <c r="D150" s="2" t="s">
        <v>21</v>
      </c>
      <c r="E150" s="2" t="s">
        <v>585</v>
      </c>
      <c r="F150" s="2" t="s">
        <v>586</v>
      </c>
      <c r="G150" s="2" t="s">
        <v>58</v>
      </c>
      <c r="H150" s="2" t="s">
        <v>25</v>
      </c>
      <c r="I150" s="2" t="s">
        <v>97</v>
      </c>
      <c r="J150" s="2" t="s">
        <v>112</v>
      </c>
      <c r="K150" s="2" t="s">
        <v>28</v>
      </c>
      <c r="L150" s="2" t="s">
        <v>73</v>
      </c>
      <c r="M150" s="2" t="s">
        <v>30</v>
      </c>
      <c r="N150" s="2" t="s">
        <v>42</v>
      </c>
      <c r="O150" s="2" t="s">
        <v>74</v>
      </c>
      <c r="P150" s="4">
        <v>180.35050000000001</v>
      </c>
      <c r="Q150" s="4">
        <v>1</v>
      </c>
      <c r="R150" s="4">
        <v>15.3901</v>
      </c>
      <c r="S150" s="2" t="s">
        <v>75</v>
      </c>
      <c r="T150" s="2" t="s">
        <v>101</v>
      </c>
    </row>
    <row r="151" spans="1:20" x14ac:dyDescent="0.25">
      <c r="A151" s="2" t="s">
        <v>587</v>
      </c>
      <c r="B151" s="3">
        <v>42486</v>
      </c>
      <c r="C151" s="3">
        <v>42486</v>
      </c>
      <c r="D151" s="2" t="s">
        <v>142</v>
      </c>
      <c r="E151" s="2" t="s">
        <v>588</v>
      </c>
      <c r="F151" s="2" t="s">
        <v>589</v>
      </c>
      <c r="G151" s="2" t="s">
        <v>58</v>
      </c>
      <c r="H151" s="2" t="s">
        <v>25</v>
      </c>
      <c r="I151" s="2" t="s">
        <v>566</v>
      </c>
      <c r="J151" s="2" t="s">
        <v>424</v>
      </c>
      <c r="K151" s="2" t="s">
        <v>28</v>
      </c>
      <c r="L151" s="2" t="s">
        <v>66</v>
      </c>
      <c r="M151" s="2" t="s">
        <v>30</v>
      </c>
      <c r="N151" s="2" t="s">
        <v>31</v>
      </c>
      <c r="O151" s="2" t="s">
        <v>67</v>
      </c>
      <c r="P151" s="4">
        <v>130.17609999999999</v>
      </c>
      <c r="Q151" s="4">
        <v>2</v>
      </c>
      <c r="R151" s="4">
        <v>29.690899999999999</v>
      </c>
      <c r="S151" s="2" t="s">
        <v>121</v>
      </c>
      <c r="T151" s="2" t="s">
        <v>108</v>
      </c>
    </row>
    <row r="152" spans="1:20" x14ac:dyDescent="0.25">
      <c r="A152" s="2" t="s">
        <v>590</v>
      </c>
      <c r="B152" s="3">
        <v>42617</v>
      </c>
      <c r="C152" s="3">
        <v>42617</v>
      </c>
      <c r="D152" s="2" t="s">
        <v>55</v>
      </c>
      <c r="E152" s="2" t="s">
        <v>582</v>
      </c>
      <c r="F152" s="2" t="s">
        <v>583</v>
      </c>
      <c r="G152" s="2" t="s">
        <v>58</v>
      </c>
      <c r="H152" s="2" t="s">
        <v>25</v>
      </c>
      <c r="I152" s="2" t="s">
        <v>527</v>
      </c>
      <c r="J152" s="2" t="s">
        <v>496</v>
      </c>
      <c r="K152" s="2" t="s">
        <v>147</v>
      </c>
      <c r="L152" s="2" t="s">
        <v>316</v>
      </c>
      <c r="M152" s="2" t="s">
        <v>30</v>
      </c>
      <c r="N152" s="2" t="s">
        <v>42</v>
      </c>
      <c r="O152" s="2" t="s">
        <v>317</v>
      </c>
      <c r="P152" s="4">
        <v>104.9602</v>
      </c>
      <c r="Q152" s="4">
        <v>6</v>
      </c>
      <c r="R152" s="4">
        <v>22.937200000000001</v>
      </c>
      <c r="S152" s="2" t="s">
        <v>121</v>
      </c>
      <c r="T152" s="2" t="s">
        <v>148</v>
      </c>
    </row>
    <row r="153" spans="1:20" x14ac:dyDescent="0.25">
      <c r="A153" s="2" t="s">
        <v>590</v>
      </c>
      <c r="B153" s="3">
        <v>42617</v>
      </c>
      <c r="C153" s="3">
        <v>42617</v>
      </c>
      <c r="D153" s="2" t="s">
        <v>55</v>
      </c>
      <c r="E153" s="2" t="s">
        <v>582</v>
      </c>
      <c r="F153" s="2" t="s">
        <v>583</v>
      </c>
      <c r="G153" s="2" t="s">
        <v>58</v>
      </c>
      <c r="H153" s="2" t="s">
        <v>25</v>
      </c>
      <c r="I153" s="2" t="s">
        <v>527</v>
      </c>
      <c r="J153" s="2" t="s">
        <v>496</v>
      </c>
      <c r="K153" s="2" t="s">
        <v>147</v>
      </c>
      <c r="L153" s="2" t="s">
        <v>174</v>
      </c>
      <c r="M153" s="2" t="s">
        <v>30</v>
      </c>
      <c r="N153" s="2" t="s">
        <v>31</v>
      </c>
      <c r="O153" s="2" t="s">
        <v>175</v>
      </c>
      <c r="P153" s="4">
        <v>206.47659999999999</v>
      </c>
      <c r="Q153" s="4">
        <v>5</v>
      </c>
      <c r="R153" s="4">
        <v>34.4024</v>
      </c>
      <c r="S153" s="2" t="s">
        <v>121</v>
      </c>
      <c r="T153" s="2" t="s">
        <v>148</v>
      </c>
    </row>
    <row r="154" spans="1:20" x14ac:dyDescent="0.25">
      <c r="A154" s="2" t="s">
        <v>591</v>
      </c>
      <c r="B154" s="3">
        <v>42453</v>
      </c>
      <c r="C154" s="3">
        <v>42454</v>
      </c>
      <c r="D154" s="2" t="s">
        <v>55</v>
      </c>
      <c r="E154" s="2" t="s">
        <v>592</v>
      </c>
      <c r="F154" s="2" t="s">
        <v>593</v>
      </c>
      <c r="G154" s="2" t="s">
        <v>24</v>
      </c>
      <c r="H154" s="2" t="s">
        <v>25</v>
      </c>
      <c r="I154" s="2" t="s">
        <v>594</v>
      </c>
      <c r="J154" s="2" t="s">
        <v>595</v>
      </c>
      <c r="K154" s="2" t="s">
        <v>61</v>
      </c>
      <c r="L154" s="2" t="s">
        <v>139</v>
      </c>
      <c r="M154" s="2" t="s">
        <v>30</v>
      </c>
      <c r="N154" s="2" t="s">
        <v>42</v>
      </c>
      <c r="O154" s="2" t="s">
        <v>140</v>
      </c>
      <c r="P154" s="4">
        <v>250.23179999999999</v>
      </c>
      <c r="Q154" s="4">
        <v>2</v>
      </c>
      <c r="R154" s="4">
        <v>122.2728</v>
      </c>
      <c r="S154" s="2" t="s">
        <v>33</v>
      </c>
      <c r="T154" s="2" t="s">
        <v>44</v>
      </c>
    </row>
    <row r="155" spans="1:20" x14ac:dyDescent="0.25">
      <c r="A155" s="2" t="s">
        <v>591</v>
      </c>
      <c r="B155" s="3">
        <v>42453</v>
      </c>
      <c r="C155" s="3">
        <v>42454</v>
      </c>
      <c r="D155" s="2" t="s">
        <v>55</v>
      </c>
      <c r="E155" s="2" t="s">
        <v>592</v>
      </c>
      <c r="F155" s="2" t="s">
        <v>593</v>
      </c>
      <c r="G155" s="2" t="s">
        <v>24</v>
      </c>
      <c r="H155" s="2" t="s">
        <v>25</v>
      </c>
      <c r="I155" s="2" t="s">
        <v>594</v>
      </c>
      <c r="J155" s="2" t="s">
        <v>595</v>
      </c>
      <c r="K155" s="2" t="s">
        <v>61</v>
      </c>
      <c r="L155" s="2" t="s">
        <v>113</v>
      </c>
      <c r="M155" s="2" t="s">
        <v>30</v>
      </c>
      <c r="N155" s="2" t="s">
        <v>31</v>
      </c>
      <c r="O155" s="2" t="s">
        <v>114</v>
      </c>
      <c r="P155" s="4">
        <v>81.219800000000006</v>
      </c>
      <c r="Q155" s="4">
        <v>3</v>
      </c>
      <c r="R155" s="4">
        <v>31.736000000000001</v>
      </c>
      <c r="S155" s="2" t="s">
        <v>33</v>
      </c>
      <c r="T155" s="2" t="s">
        <v>44</v>
      </c>
    </row>
    <row r="156" spans="1:20" x14ac:dyDescent="0.25">
      <c r="A156" s="2" t="s">
        <v>596</v>
      </c>
      <c r="B156" s="3">
        <v>42713</v>
      </c>
      <c r="C156" s="3">
        <v>42714</v>
      </c>
      <c r="D156" s="2" t="s">
        <v>48</v>
      </c>
      <c r="E156" s="2" t="s">
        <v>597</v>
      </c>
      <c r="F156" s="2" t="s">
        <v>598</v>
      </c>
      <c r="G156" s="2" t="s">
        <v>24</v>
      </c>
      <c r="H156" s="2" t="s">
        <v>25</v>
      </c>
      <c r="I156" s="2" t="s">
        <v>394</v>
      </c>
      <c r="J156" s="2" t="s">
        <v>289</v>
      </c>
      <c r="K156" s="2" t="s">
        <v>82</v>
      </c>
      <c r="L156" s="2" t="s">
        <v>169</v>
      </c>
      <c r="M156" s="2" t="s">
        <v>30</v>
      </c>
      <c r="N156" s="2" t="s">
        <v>162</v>
      </c>
      <c r="O156" s="2" t="s">
        <v>170</v>
      </c>
      <c r="P156" s="4">
        <v>379.05759999999998</v>
      </c>
      <c r="Q156" s="4">
        <v>2</v>
      </c>
      <c r="R156" s="4">
        <v>-87.683099999999996</v>
      </c>
      <c r="S156" s="2" t="s">
        <v>33</v>
      </c>
      <c r="T156" s="2" t="s">
        <v>76</v>
      </c>
    </row>
    <row r="157" spans="1:20" x14ac:dyDescent="0.25">
      <c r="A157" s="2" t="s">
        <v>599</v>
      </c>
      <c r="B157" s="3">
        <v>42021</v>
      </c>
      <c r="C157" s="3">
        <v>42023</v>
      </c>
      <c r="D157" s="2" t="s">
        <v>48</v>
      </c>
      <c r="E157" s="2" t="s">
        <v>600</v>
      </c>
      <c r="F157" s="2" t="s">
        <v>601</v>
      </c>
      <c r="G157" s="2" t="s">
        <v>38</v>
      </c>
      <c r="H157" s="2" t="s">
        <v>25</v>
      </c>
      <c r="I157" s="2" t="s">
        <v>138</v>
      </c>
      <c r="J157" s="2" t="s">
        <v>407</v>
      </c>
      <c r="K157" s="2" t="s">
        <v>28</v>
      </c>
      <c r="L157" s="2" t="s">
        <v>301</v>
      </c>
      <c r="M157" s="2" t="s">
        <v>30</v>
      </c>
      <c r="N157" s="2" t="s">
        <v>162</v>
      </c>
      <c r="O157" s="2" t="s">
        <v>302</v>
      </c>
      <c r="P157" s="4">
        <v>302.19409999999999</v>
      </c>
      <c r="Q157" s="4">
        <v>5</v>
      </c>
      <c r="R157" s="4">
        <v>74.040400000000005</v>
      </c>
      <c r="S157" s="2" t="s">
        <v>53</v>
      </c>
      <c r="T157" s="2" t="s">
        <v>115</v>
      </c>
    </row>
    <row r="158" spans="1:20" x14ac:dyDescent="0.25">
      <c r="A158" s="2" t="s">
        <v>602</v>
      </c>
      <c r="B158" s="3">
        <v>42018</v>
      </c>
      <c r="C158" s="3">
        <v>42025</v>
      </c>
      <c r="D158" s="2" t="s">
        <v>55</v>
      </c>
      <c r="E158" s="2" t="s">
        <v>603</v>
      </c>
      <c r="F158" s="2" t="s">
        <v>604</v>
      </c>
      <c r="G158" s="2" t="s">
        <v>58</v>
      </c>
      <c r="H158" s="2" t="s">
        <v>25</v>
      </c>
      <c r="I158" s="2" t="s">
        <v>605</v>
      </c>
      <c r="J158" s="2" t="s">
        <v>424</v>
      </c>
      <c r="K158" s="2" t="s">
        <v>28</v>
      </c>
      <c r="L158" s="2" t="s">
        <v>131</v>
      </c>
      <c r="M158" s="2" t="s">
        <v>30</v>
      </c>
      <c r="N158" s="2" t="s">
        <v>31</v>
      </c>
      <c r="O158" s="2" t="s">
        <v>132</v>
      </c>
      <c r="P158" s="4">
        <v>82.2483</v>
      </c>
      <c r="Q158" s="4">
        <v>8</v>
      </c>
      <c r="R158" s="4">
        <v>-14.4359</v>
      </c>
      <c r="S158" s="2" t="s">
        <v>107</v>
      </c>
      <c r="T158" s="2" t="s">
        <v>115</v>
      </c>
    </row>
    <row r="159" spans="1:20" x14ac:dyDescent="0.25">
      <c r="A159" s="2" t="s">
        <v>606</v>
      </c>
      <c r="B159" s="3">
        <v>42832</v>
      </c>
      <c r="C159" s="3">
        <v>42836</v>
      </c>
      <c r="D159" s="2" t="s">
        <v>55</v>
      </c>
      <c r="E159" s="2" t="s">
        <v>607</v>
      </c>
      <c r="F159" s="2" t="s">
        <v>608</v>
      </c>
      <c r="G159" s="2" t="s">
        <v>38</v>
      </c>
      <c r="H159" s="2" t="s">
        <v>25</v>
      </c>
      <c r="I159" s="2" t="s">
        <v>566</v>
      </c>
      <c r="J159" s="2" t="s">
        <v>424</v>
      </c>
      <c r="K159" s="2" t="s">
        <v>28</v>
      </c>
      <c r="L159" s="2" t="s">
        <v>218</v>
      </c>
      <c r="M159" s="2" t="s">
        <v>30</v>
      </c>
      <c r="N159" s="2" t="s">
        <v>31</v>
      </c>
      <c r="O159" s="2" t="s">
        <v>219</v>
      </c>
      <c r="P159" s="4">
        <v>29.584299999999999</v>
      </c>
      <c r="Q159" s="4">
        <v>3</v>
      </c>
      <c r="R159" s="4">
        <v>11.616899999999999</v>
      </c>
      <c r="S159" s="2" t="s">
        <v>75</v>
      </c>
      <c r="T159" s="2" t="s">
        <v>108</v>
      </c>
    </row>
    <row r="160" spans="1:20" x14ac:dyDescent="0.25">
      <c r="A160" s="2" t="s">
        <v>609</v>
      </c>
      <c r="B160" s="3">
        <v>42276</v>
      </c>
      <c r="C160" s="3">
        <v>42278</v>
      </c>
      <c r="D160" s="2" t="s">
        <v>55</v>
      </c>
      <c r="E160" s="2" t="s">
        <v>610</v>
      </c>
      <c r="F160" s="2" t="s">
        <v>611</v>
      </c>
      <c r="G160" s="2" t="s">
        <v>24</v>
      </c>
      <c r="H160" s="2" t="s">
        <v>25</v>
      </c>
      <c r="I160" s="2" t="s">
        <v>243</v>
      </c>
      <c r="J160" s="2" t="s">
        <v>244</v>
      </c>
      <c r="K160" s="2" t="s">
        <v>61</v>
      </c>
      <c r="L160" s="2" t="s">
        <v>612</v>
      </c>
      <c r="M160" s="2" t="s">
        <v>30</v>
      </c>
      <c r="N160" s="2" t="s">
        <v>162</v>
      </c>
      <c r="O160" s="2" t="s">
        <v>613</v>
      </c>
      <c r="P160" s="4">
        <v>795.04100000000005</v>
      </c>
      <c r="Q160" s="4">
        <v>3</v>
      </c>
      <c r="R160" s="4">
        <v>-19.573499999999999</v>
      </c>
      <c r="S160" s="2" t="s">
        <v>53</v>
      </c>
      <c r="T160" s="2" t="s">
        <v>148</v>
      </c>
    </row>
    <row r="161" spans="1:20" x14ac:dyDescent="0.25">
      <c r="A161" s="2" t="s">
        <v>614</v>
      </c>
      <c r="B161" s="3">
        <v>42405</v>
      </c>
      <c r="C161" s="3">
        <v>42409</v>
      </c>
      <c r="D161" s="2" t="s">
        <v>21</v>
      </c>
      <c r="E161" s="2" t="s">
        <v>615</v>
      </c>
      <c r="F161" s="2" t="s">
        <v>616</v>
      </c>
      <c r="G161" s="2" t="s">
        <v>24</v>
      </c>
      <c r="H161" s="2" t="s">
        <v>25</v>
      </c>
      <c r="I161" s="2" t="s">
        <v>617</v>
      </c>
      <c r="J161" s="2" t="s">
        <v>168</v>
      </c>
      <c r="K161" s="2" t="s">
        <v>28</v>
      </c>
      <c r="L161" s="2" t="s">
        <v>618</v>
      </c>
      <c r="M161" s="2" t="s">
        <v>30</v>
      </c>
      <c r="N161" s="2" t="s">
        <v>63</v>
      </c>
      <c r="O161" s="2" t="s">
        <v>619</v>
      </c>
      <c r="P161" s="4">
        <v>4150.4056</v>
      </c>
      <c r="Q161" s="4">
        <v>3</v>
      </c>
      <c r="R161" s="4">
        <v>-62.202399999999997</v>
      </c>
      <c r="S161" s="2" t="s">
        <v>75</v>
      </c>
      <c r="T161" s="2" t="s">
        <v>101</v>
      </c>
    </row>
    <row r="162" spans="1:20" x14ac:dyDescent="0.25">
      <c r="A162" s="2" t="s">
        <v>614</v>
      </c>
      <c r="B162" s="3">
        <v>42405</v>
      </c>
      <c r="C162" s="3">
        <v>42409</v>
      </c>
      <c r="D162" s="2" t="s">
        <v>21</v>
      </c>
      <c r="E162" s="2" t="s">
        <v>615</v>
      </c>
      <c r="F162" s="2" t="s">
        <v>616</v>
      </c>
      <c r="G162" s="2" t="s">
        <v>24</v>
      </c>
      <c r="H162" s="2" t="s">
        <v>25</v>
      </c>
      <c r="I162" s="2" t="s">
        <v>617</v>
      </c>
      <c r="J162" s="2" t="s">
        <v>168</v>
      </c>
      <c r="K162" s="2" t="s">
        <v>28</v>
      </c>
      <c r="L162" s="2" t="s">
        <v>283</v>
      </c>
      <c r="M162" s="2" t="s">
        <v>30</v>
      </c>
      <c r="N162" s="2" t="s">
        <v>162</v>
      </c>
      <c r="O162" s="2" t="s">
        <v>284</v>
      </c>
      <c r="P162" s="4">
        <v>513.70169999999996</v>
      </c>
      <c r="Q162" s="4">
        <v>5</v>
      </c>
      <c r="R162" s="4">
        <v>-6.3017000000000003</v>
      </c>
      <c r="S162" s="2" t="s">
        <v>75</v>
      </c>
      <c r="T162" s="2" t="s">
        <v>101</v>
      </c>
    </row>
    <row r="163" spans="1:20" x14ac:dyDescent="0.25">
      <c r="A163" s="2" t="s">
        <v>620</v>
      </c>
      <c r="B163" s="3">
        <v>41799</v>
      </c>
      <c r="C163" s="3">
        <v>41806</v>
      </c>
      <c r="D163" s="2" t="s">
        <v>55</v>
      </c>
      <c r="E163" s="2" t="s">
        <v>621</v>
      </c>
      <c r="F163" s="2" t="s">
        <v>622</v>
      </c>
      <c r="G163" s="2" t="s">
        <v>24</v>
      </c>
      <c r="H163" s="2" t="s">
        <v>25</v>
      </c>
      <c r="I163" s="2" t="s">
        <v>623</v>
      </c>
      <c r="J163" s="2" t="s">
        <v>40</v>
      </c>
      <c r="K163" s="2" t="s">
        <v>28</v>
      </c>
      <c r="L163" s="2" t="s">
        <v>344</v>
      </c>
      <c r="M163" s="2" t="s">
        <v>30</v>
      </c>
      <c r="N163" s="2" t="s">
        <v>42</v>
      </c>
      <c r="O163" s="2" t="s">
        <v>345</v>
      </c>
      <c r="P163" s="4">
        <v>539.59749999999997</v>
      </c>
      <c r="Q163" s="4">
        <v>4</v>
      </c>
      <c r="R163" s="4">
        <v>-122.3449</v>
      </c>
      <c r="S163" s="2" t="s">
        <v>107</v>
      </c>
      <c r="T163" s="2" t="s">
        <v>133</v>
      </c>
    </row>
    <row r="164" spans="1:20" x14ac:dyDescent="0.25">
      <c r="A164" s="2" t="s">
        <v>624</v>
      </c>
      <c r="B164" s="3">
        <v>42641</v>
      </c>
      <c r="C164" s="3">
        <v>42648</v>
      </c>
      <c r="D164" s="2" t="s">
        <v>55</v>
      </c>
      <c r="E164" s="2" t="s">
        <v>625</v>
      </c>
      <c r="F164" s="2" t="s">
        <v>626</v>
      </c>
      <c r="G164" s="2" t="s">
        <v>58</v>
      </c>
      <c r="H164" s="2" t="s">
        <v>25</v>
      </c>
      <c r="I164" s="2" t="s">
        <v>212</v>
      </c>
      <c r="J164" s="2" t="s">
        <v>185</v>
      </c>
      <c r="K164" s="2" t="s">
        <v>147</v>
      </c>
      <c r="L164" s="2" t="s">
        <v>235</v>
      </c>
      <c r="M164" s="2" t="s">
        <v>30</v>
      </c>
      <c r="N164" s="2" t="s">
        <v>31</v>
      </c>
      <c r="O164" s="2" t="s">
        <v>236</v>
      </c>
      <c r="P164" s="4">
        <v>302.45859999999999</v>
      </c>
      <c r="Q164" s="4">
        <v>2</v>
      </c>
      <c r="R164" s="4">
        <v>34.762099999999997</v>
      </c>
      <c r="S164" s="2" t="s">
        <v>107</v>
      </c>
      <c r="T164" s="2" t="s">
        <v>148</v>
      </c>
    </row>
    <row r="165" spans="1:20" x14ac:dyDescent="0.25">
      <c r="A165" s="2" t="s">
        <v>627</v>
      </c>
      <c r="B165" s="3">
        <v>42271</v>
      </c>
      <c r="C165" s="3">
        <v>42271</v>
      </c>
      <c r="D165" s="2" t="s">
        <v>55</v>
      </c>
      <c r="E165" s="2" t="s">
        <v>628</v>
      </c>
      <c r="F165" s="2" t="s">
        <v>629</v>
      </c>
      <c r="G165" s="2" t="s">
        <v>58</v>
      </c>
      <c r="H165" s="2" t="s">
        <v>25</v>
      </c>
      <c r="I165" s="2" t="s">
        <v>509</v>
      </c>
      <c r="J165" s="2" t="s">
        <v>356</v>
      </c>
      <c r="K165" s="2" t="s">
        <v>147</v>
      </c>
      <c r="L165" s="2" t="s">
        <v>113</v>
      </c>
      <c r="M165" s="2" t="s">
        <v>30</v>
      </c>
      <c r="N165" s="2" t="s">
        <v>31</v>
      </c>
      <c r="O165" s="2" t="s">
        <v>114</v>
      </c>
      <c r="P165" s="4">
        <v>123.4134</v>
      </c>
      <c r="Q165" s="4">
        <v>11</v>
      </c>
      <c r="R165" s="4">
        <v>36.923499999999997</v>
      </c>
      <c r="S165" s="2" t="s">
        <v>121</v>
      </c>
      <c r="T165" s="2" t="s">
        <v>148</v>
      </c>
    </row>
    <row r="166" spans="1:20" x14ac:dyDescent="0.25">
      <c r="A166" s="2" t="s">
        <v>630</v>
      </c>
      <c r="B166" s="3">
        <v>41763</v>
      </c>
      <c r="C166" s="3">
        <v>41766</v>
      </c>
      <c r="D166" s="2" t="s">
        <v>21</v>
      </c>
      <c r="E166" s="2" t="s">
        <v>588</v>
      </c>
      <c r="F166" s="2" t="s">
        <v>589</v>
      </c>
      <c r="G166" s="2" t="s">
        <v>58</v>
      </c>
      <c r="H166" s="2" t="s">
        <v>25</v>
      </c>
      <c r="I166" s="2" t="s">
        <v>631</v>
      </c>
      <c r="J166" s="2" t="s">
        <v>632</v>
      </c>
      <c r="K166" s="2" t="s">
        <v>82</v>
      </c>
      <c r="L166" s="2" t="s">
        <v>66</v>
      </c>
      <c r="M166" s="2" t="s">
        <v>30</v>
      </c>
      <c r="N166" s="2" t="s">
        <v>31</v>
      </c>
      <c r="O166" s="2" t="s">
        <v>67</v>
      </c>
      <c r="P166" s="4">
        <v>43.771700000000003</v>
      </c>
      <c r="Q166" s="4">
        <v>2</v>
      </c>
      <c r="R166" s="4">
        <v>17.4069</v>
      </c>
      <c r="S166" s="2" t="s">
        <v>92</v>
      </c>
      <c r="T166" s="2" t="s">
        <v>122</v>
      </c>
    </row>
    <row r="167" spans="1:20" x14ac:dyDescent="0.25">
      <c r="A167" s="2" t="s">
        <v>633</v>
      </c>
      <c r="B167" s="3">
        <v>42413</v>
      </c>
      <c r="C167" s="3">
        <v>42419</v>
      </c>
      <c r="D167" s="2" t="s">
        <v>55</v>
      </c>
      <c r="E167" s="2" t="s">
        <v>634</v>
      </c>
      <c r="F167" s="2" t="s">
        <v>635</v>
      </c>
      <c r="G167" s="2" t="s">
        <v>38</v>
      </c>
      <c r="H167" s="2" t="s">
        <v>25</v>
      </c>
      <c r="I167" s="2" t="s">
        <v>364</v>
      </c>
      <c r="J167" s="2" t="s">
        <v>279</v>
      </c>
      <c r="K167" s="2" t="s">
        <v>28</v>
      </c>
      <c r="L167" s="2" t="s">
        <v>207</v>
      </c>
      <c r="M167" s="2" t="s">
        <v>30</v>
      </c>
      <c r="N167" s="2" t="s">
        <v>31</v>
      </c>
      <c r="O167" s="2" t="s">
        <v>208</v>
      </c>
      <c r="P167" s="4">
        <v>4.0220000000000002</v>
      </c>
      <c r="Q167" s="4">
        <v>3</v>
      </c>
      <c r="R167" s="4">
        <v>1.329</v>
      </c>
      <c r="S167" s="2" t="s">
        <v>65</v>
      </c>
      <c r="T167" s="2" t="s">
        <v>101</v>
      </c>
    </row>
    <row r="168" spans="1:20" x14ac:dyDescent="0.25">
      <c r="A168" s="2" t="s">
        <v>636</v>
      </c>
      <c r="B168" s="3">
        <v>41647</v>
      </c>
      <c r="C168" s="3">
        <v>41647</v>
      </c>
      <c r="D168" s="2" t="s">
        <v>48</v>
      </c>
      <c r="E168" s="2" t="s">
        <v>637</v>
      </c>
      <c r="F168" s="2" t="s">
        <v>638</v>
      </c>
      <c r="G168" s="2" t="s">
        <v>58</v>
      </c>
      <c r="H168" s="2" t="s">
        <v>25</v>
      </c>
      <c r="I168" s="2" t="s">
        <v>639</v>
      </c>
      <c r="J168" s="2" t="s">
        <v>192</v>
      </c>
      <c r="K168" s="2" t="s">
        <v>82</v>
      </c>
      <c r="L168" s="2" t="s">
        <v>228</v>
      </c>
      <c r="M168" s="2" t="s">
        <v>30</v>
      </c>
      <c r="N168" s="2" t="s">
        <v>42</v>
      </c>
      <c r="O168" s="2" t="s">
        <v>229</v>
      </c>
      <c r="P168" s="4">
        <v>278.02929999999998</v>
      </c>
      <c r="Q168" s="4">
        <v>7</v>
      </c>
      <c r="R168" s="4">
        <v>-61.962499999999999</v>
      </c>
      <c r="S168" s="2" t="s">
        <v>121</v>
      </c>
      <c r="T168" s="2" t="s">
        <v>115</v>
      </c>
    </row>
    <row r="169" spans="1:20" x14ac:dyDescent="0.25">
      <c r="A169" s="2" t="s">
        <v>640</v>
      </c>
      <c r="B169" s="3">
        <v>41871</v>
      </c>
      <c r="C169" s="3">
        <v>41871</v>
      </c>
      <c r="D169" s="2" t="s">
        <v>55</v>
      </c>
      <c r="E169" s="2" t="s">
        <v>641</v>
      </c>
      <c r="F169" s="2" t="s">
        <v>642</v>
      </c>
      <c r="G169" s="2" t="s">
        <v>58</v>
      </c>
      <c r="H169" s="2" t="s">
        <v>25</v>
      </c>
      <c r="I169" s="2" t="s">
        <v>485</v>
      </c>
      <c r="J169" s="2" t="s">
        <v>251</v>
      </c>
      <c r="K169" s="2" t="s">
        <v>147</v>
      </c>
      <c r="L169" s="2" t="s">
        <v>174</v>
      </c>
      <c r="M169" s="2" t="s">
        <v>30</v>
      </c>
      <c r="N169" s="2" t="s">
        <v>31</v>
      </c>
      <c r="O169" s="2" t="s">
        <v>175</v>
      </c>
      <c r="P169" s="4">
        <v>44.207299999999996</v>
      </c>
      <c r="Q169" s="4">
        <v>3</v>
      </c>
      <c r="R169" s="4">
        <v>-11.2173</v>
      </c>
      <c r="S169" s="2" t="s">
        <v>121</v>
      </c>
      <c r="T169" s="2" t="s">
        <v>34</v>
      </c>
    </row>
    <row r="170" spans="1:20" x14ac:dyDescent="0.25">
      <c r="A170" s="2" t="s">
        <v>643</v>
      </c>
      <c r="B170" s="3">
        <v>42141</v>
      </c>
      <c r="C170" s="3">
        <v>42145</v>
      </c>
      <c r="D170" s="2" t="s">
        <v>55</v>
      </c>
      <c r="E170" s="2" t="s">
        <v>644</v>
      </c>
      <c r="F170" s="2" t="s">
        <v>645</v>
      </c>
      <c r="G170" s="2" t="s">
        <v>58</v>
      </c>
      <c r="H170" s="2" t="s">
        <v>25</v>
      </c>
      <c r="I170" s="2" t="s">
        <v>617</v>
      </c>
      <c r="J170" s="2" t="s">
        <v>168</v>
      </c>
      <c r="K170" s="2" t="s">
        <v>28</v>
      </c>
      <c r="L170" s="2" t="s">
        <v>29</v>
      </c>
      <c r="M170" s="2" t="s">
        <v>30</v>
      </c>
      <c r="N170" s="2" t="s">
        <v>31</v>
      </c>
      <c r="O170" s="2" t="s">
        <v>32</v>
      </c>
      <c r="P170" s="4">
        <v>40.386400000000002</v>
      </c>
      <c r="Q170" s="4">
        <v>5</v>
      </c>
      <c r="R170" s="4">
        <v>-6.5894000000000004</v>
      </c>
      <c r="S170" s="2" t="s">
        <v>75</v>
      </c>
      <c r="T170" s="2" t="s">
        <v>122</v>
      </c>
    </row>
    <row r="171" spans="1:20" x14ac:dyDescent="0.25">
      <c r="A171" s="2" t="s">
        <v>646</v>
      </c>
      <c r="B171" s="3">
        <v>42293</v>
      </c>
      <c r="C171" s="3">
        <v>42297</v>
      </c>
      <c r="D171" s="2" t="s">
        <v>55</v>
      </c>
      <c r="E171" s="2" t="s">
        <v>647</v>
      </c>
      <c r="F171" s="2" t="s">
        <v>648</v>
      </c>
      <c r="G171" s="2" t="s">
        <v>58</v>
      </c>
      <c r="H171" s="2" t="s">
        <v>25</v>
      </c>
      <c r="I171" s="2" t="s">
        <v>649</v>
      </c>
      <c r="J171" s="2" t="s">
        <v>279</v>
      </c>
      <c r="K171" s="2" t="s">
        <v>28</v>
      </c>
      <c r="L171" s="2" t="s">
        <v>29</v>
      </c>
      <c r="M171" s="2" t="s">
        <v>30</v>
      </c>
      <c r="N171" s="2" t="s">
        <v>31</v>
      </c>
      <c r="O171" s="2" t="s">
        <v>32</v>
      </c>
      <c r="P171" s="4">
        <v>92.175299999999993</v>
      </c>
      <c r="Q171" s="4">
        <v>2</v>
      </c>
      <c r="R171" s="4">
        <v>8.5390999999999995</v>
      </c>
      <c r="S171" s="2" t="s">
        <v>75</v>
      </c>
      <c r="T171" s="2" t="s">
        <v>224</v>
      </c>
    </row>
    <row r="172" spans="1:20" x14ac:dyDescent="0.25">
      <c r="A172" s="2" t="s">
        <v>650</v>
      </c>
      <c r="B172" s="3">
        <v>41998</v>
      </c>
      <c r="C172" s="3">
        <v>42003</v>
      </c>
      <c r="D172" s="2" t="s">
        <v>55</v>
      </c>
      <c r="E172" s="2" t="s">
        <v>651</v>
      </c>
      <c r="F172" s="2" t="s">
        <v>652</v>
      </c>
      <c r="G172" s="2" t="s">
        <v>58</v>
      </c>
      <c r="H172" s="2" t="s">
        <v>25</v>
      </c>
      <c r="I172" s="2" t="s">
        <v>159</v>
      </c>
      <c r="J172" s="2" t="s">
        <v>160</v>
      </c>
      <c r="K172" s="2" t="s">
        <v>61</v>
      </c>
      <c r="L172" s="2" t="s">
        <v>169</v>
      </c>
      <c r="M172" s="2" t="s">
        <v>30</v>
      </c>
      <c r="N172" s="2" t="s">
        <v>162</v>
      </c>
      <c r="O172" s="2" t="s">
        <v>170</v>
      </c>
      <c r="P172" s="4">
        <v>3700.8413999999998</v>
      </c>
      <c r="Q172" s="4">
        <v>3</v>
      </c>
      <c r="R172" s="4">
        <v>-1302.9362000000001</v>
      </c>
      <c r="S172" s="2" t="s">
        <v>85</v>
      </c>
      <c r="T172" s="2" t="s">
        <v>76</v>
      </c>
    </row>
    <row r="173" spans="1:20" x14ac:dyDescent="0.25">
      <c r="A173" s="2" t="s">
        <v>653</v>
      </c>
      <c r="B173" s="3">
        <v>42410</v>
      </c>
      <c r="C173" s="3">
        <v>42417</v>
      </c>
      <c r="D173" s="2" t="s">
        <v>55</v>
      </c>
      <c r="E173" s="2" t="s">
        <v>654</v>
      </c>
      <c r="F173" s="2" t="s">
        <v>655</v>
      </c>
      <c r="G173" s="2" t="s">
        <v>58</v>
      </c>
      <c r="H173" s="2" t="s">
        <v>25</v>
      </c>
      <c r="I173" s="2" t="s">
        <v>576</v>
      </c>
      <c r="J173" s="2" t="s">
        <v>470</v>
      </c>
      <c r="K173" s="2" t="s">
        <v>28</v>
      </c>
      <c r="L173" s="2" t="s">
        <v>45</v>
      </c>
      <c r="M173" s="2" t="s">
        <v>30</v>
      </c>
      <c r="N173" s="2" t="s">
        <v>31</v>
      </c>
      <c r="O173" s="2" t="s">
        <v>46</v>
      </c>
      <c r="P173" s="4">
        <v>109.6905</v>
      </c>
      <c r="Q173" s="4">
        <v>3</v>
      </c>
      <c r="R173" s="4">
        <v>20.677900000000001</v>
      </c>
      <c r="S173" s="2" t="s">
        <v>107</v>
      </c>
      <c r="T173" s="2" t="s">
        <v>101</v>
      </c>
    </row>
    <row r="174" spans="1:20" x14ac:dyDescent="0.25">
      <c r="A174" s="2" t="s">
        <v>653</v>
      </c>
      <c r="B174" s="3">
        <v>42410</v>
      </c>
      <c r="C174" s="3">
        <v>42417</v>
      </c>
      <c r="D174" s="2" t="s">
        <v>55</v>
      </c>
      <c r="E174" s="2" t="s">
        <v>654</v>
      </c>
      <c r="F174" s="2" t="s">
        <v>655</v>
      </c>
      <c r="G174" s="2" t="s">
        <v>58</v>
      </c>
      <c r="H174" s="2" t="s">
        <v>25</v>
      </c>
      <c r="I174" s="2" t="s">
        <v>576</v>
      </c>
      <c r="J174" s="2" t="s">
        <v>470</v>
      </c>
      <c r="K174" s="2" t="s">
        <v>28</v>
      </c>
      <c r="L174" s="2" t="s">
        <v>323</v>
      </c>
      <c r="M174" s="2" t="s">
        <v>30</v>
      </c>
      <c r="N174" s="2" t="s">
        <v>31</v>
      </c>
      <c r="O174" s="2" t="s">
        <v>324</v>
      </c>
      <c r="P174" s="4">
        <v>50.261699999999998</v>
      </c>
      <c r="Q174" s="4">
        <v>2</v>
      </c>
      <c r="R174" s="4">
        <v>28.0749</v>
      </c>
      <c r="S174" s="2" t="s">
        <v>107</v>
      </c>
      <c r="T174" s="2" t="s">
        <v>101</v>
      </c>
    </row>
    <row r="175" spans="1:20" x14ac:dyDescent="0.25">
      <c r="A175" s="2" t="s">
        <v>656</v>
      </c>
      <c r="B175" s="3">
        <v>42435</v>
      </c>
      <c r="C175" s="3">
        <v>42438</v>
      </c>
      <c r="D175" s="2" t="s">
        <v>55</v>
      </c>
      <c r="E175" s="2" t="s">
        <v>657</v>
      </c>
      <c r="F175" s="2" t="s">
        <v>658</v>
      </c>
      <c r="G175" s="2" t="s">
        <v>58</v>
      </c>
      <c r="H175" s="2" t="s">
        <v>25</v>
      </c>
      <c r="I175" s="2" t="s">
        <v>184</v>
      </c>
      <c r="J175" s="2" t="s">
        <v>185</v>
      </c>
      <c r="K175" s="2" t="s">
        <v>147</v>
      </c>
      <c r="L175" s="2" t="s">
        <v>344</v>
      </c>
      <c r="M175" s="2" t="s">
        <v>30</v>
      </c>
      <c r="N175" s="2" t="s">
        <v>42</v>
      </c>
      <c r="O175" s="2" t="s">
        <v>345</v>
      </c>
      <c r="P175" s="4">
        <v>38.362299999999998</v>
      </c>
      <c r="Q175" s="4">
        <v>1</v>
      </c>
      <c r="R175" s="4">
        <v>-9.7430000000000003</v>
      </c>
      <c r="S175" s="2" t="s">
        <v>92</v>
      </c>
      <c r="T175" s="2" t="s">
        <v>44</v>
      </c>
    </row>
    <row r="176" spans="1:20" x14ac:dyDescent="0.25">
      <c r="A176" s="2" t="s">
        <v>659</v>
      </c>
      <c r="B176" s="3">
        <v>42874</v>
      </c>
      <c r="C176" s="3">
        <v>42875</v>
      </c>
      <c r="D176" s="2" t="s">
        <v>48</v>
      </c>
      <c r="E176" s="2" t="s">
        <v>660</v>
      </c>
      <c r="F176" s="2" t="s">
        <v>661</v>
      </c>
      <c r="G176" s="2" t="s">
        <v>58</v>
      </c>
      <c r="H176" s="2" t="s">
        <v>25</v>
      </c>
      <c r="I176" s="2" t="s">
        <v>662</v>
      </c>
      <c r="J176" s="2" t="s">
        <v>310</v>
      </c>
      <c r="K176" s="2" t="s">
        <v>28</v>
      </c>
      <c r="L176" s="2" t="s">
        <v>207</v>
      </c>
      <c r="M176" s="2" t="s">
        <v>30</v>
      </c>
      <c r="N176" s="2" t="s">
        <v>31</v>
      </c>
      <c r="O176" s="2" t="s">
        <v>208</v>
      </c>
      <c r="P176" s="4">
        <v>35.699599999999997</v>
      </c>
      <c r="Q176" s="4">
        <v>3</v>
      </c>
      <c r="R176" s="4">
        <v>3.4641999999999999</v>
      </c>
      <c r="S176" s="2" t="s">
        <v>33</v>
      </c>
      <c r="T176" s="2" t="s">
        <v>122</v>
      </c>
    </row>
    <row r="177" spans="1:20" x14ac:dyDescent="0.25">
      <c r="A177" s="2" t="s">
        <v>663</v>
      </c>
      <c r="B177" s="3">
        <v>42029</v>
      </c>
      <c r="C177" s="3">
        <v>42033</v>
      </c>
      <c r="D177" s="2" t="s">
        <v>55</v>
      </c>
      <c r="E177" s="2" t="s">
        <v>664</v>
      </c>
      <c r="F177" s="2" t="s">
        <v>665</v>
      </c>
      <c r="G177" s="2" t="s">
        <v>24</v>
      </c>
      <c r="H177" s="2" t="s">
        <v>25</v>
      </c>
      <c r="I177" s="2" t="s">
        <v>666</v>
      </c>
      <c r="J177" s="2" t="s">
        <v>667</v>
      </c>
      <c r="K177" s="2" t="s">
        <v>28</v>
      </c>
      <c r="L177" s="2" t="s">
        <v>283</v>
      </c>
      <c r="M177" s="2" t="s">
        <v>30</v>
      </c>
      <c r="N177" s="2" t="s">
        <v>162</v>
      </c>
      <c r="O177" s="2" t="s">
        <v>284</v>
      </c>
      <c r="P177" s="4">
        <v>718.3329</v>
      </c>
      <c r="Q177" s="4">
        <v>5</v>
      </c>
      <c r="R177" s="4">
        <v>-385.76150000000001</v>
      </c>
      <c r="S177" s="2" t="s">
        <v>75</v>
      </c>
      <c r="T177" s="2" t="s">
        <v>115</v>
      </c>
    </row>
    <row r="178" spans="1:20" x14ac:dyDescent="0.25">
      <c r="A178" s="2" t="s">
        <v>668</v>
      </c>
      <c r="B178" s="3">
        <v>42271</v>
      </c>
      <c r="C178" s="3">
        <v>42273</v>
      </c>
      <c r="D178" s="2" t="s">
        <v>48</v>
      </c>
      <c r="E178" s="2" t="s">
        <v>669</v>
      </c>
      <c r="F178" s="2" t="s">
        <v>670</v>
      </c>
      <c r="G178" s="2" t="s">
        <v>38</v>
      </c>
      <c r="H178" s="2" t="s">
        <v>25</v>
      </c>
      <c r="I178" s="2" t="s">
        <v>97</v>
      </c>
      <c r="J178" s="2" t="s">
        <v>98</v>
      </c>
      <c r="K178" s="2" t="s">
        <v>82</v>
      </c>
      <c r="L178" s="2" t="s">
        <v>207</v>
      </c>
      <c r="M178" s="2" t="s">
        <v>30</v>
      </c>
      <c r="N178" s="2" t="s">
        <v>31</v>
      </c>
      <c r="O178" s="2" t="s">
        <v>208</v>
      </c>
      <c r="P178" s="4">
        <v>146.37790000000001</v>
      </c>
      <c r="Q178" s="4">
        <v>6</v>
      </c>
      <c r="R178" s="4">
        <v>-10.15</v>
      </c>
      <c r="S178" s="2" t="s">
        <v>53</v>
      </c>
      <c r="T178" s="2" t="s">
        <v>148</v>
      </c>
    </row>
    <row r="179" spans="1:20" x14ac:dyDescent="0.25">
      <c r="A179" s="2" t="s">
        <v>671</v>
      </c>
      <c r="B179" s="3">
        <v>42399</v>
      </c>
      <c r="C179" s="3">
        <v>42405</v>
      </c>
      <c r="D179" s="2" t="s">
        <v>55</v>
      </c>
      <c r="E179" s="2" t="s">
        <v>672</v>
      </c>
      <c r="F179" s="2" t="s">
        <v>673</v>
      </c>
      <c r="G179" s="2" t="s">
        <v>58</v>
      </c>
      <c r="H179" s="2" t="s">
        <v>25</v>
      </c>
      <c r="I179" s="2" t="s">
        <v>474</v>
      </c>
      <c r="J179" s="2" t="s">
        <v>475</v>
      </c>
      <c r="K179" s="2" t="s">
        <v>28</v>
      </c>
      <c r="L179" s="2" t="s">
        <v>228</v>
      </c>
      <c r="M179" s="2" t="s">
        <v>30</v>
      </c>
      <c r="N179" s="2" t="s">
        <v>42</v>
      </c>
      <c r="O179" s="2" t="s">
        <v>229</v>
      </c>
      <c r="P179" s="4">
        <v>198.96449999999999</v>
      </c>
      <c r="Q179" s="4">
        <v>3</v>
      </c>
      <c r="R179" s="4">
        <v>9.1138999999999992</v>
      </c>
      <c r="S179" s="2" t="s">
        <v>65</v>
      </c>
      <c r="T179" s="2" t="s">
        <v>115</v>
      </c>
    </row>
    <row r="180" spans="1:20" x14ac:dyDescent="0.25">
      <c r="A180" s="2" t="s">
        <v>674</v>
      </c>
      <c r="B180" s="3">
        <v>42417</v>
      </c>
      <c r="C180" s="3">
        <v>42417</v>
      </c>
      <c r="D180" s="2" t="s">
        <v>142</v>
      </c>
      <c r="E180" s="2" t="s">
        <v>675</v>
      </c>
      <c r="F180" s="2" t="s">
        <v>676</v>
      </c>
      <c r="G180" s="2" t="s">
        <v>38</v>
      </c>
      <c r="H180" s="2" t="s">
        <v>25</v>
      </c>
      <c r="I180" s="2" t="s">
        <v>386</v>
      </c>
      <c r="J180" s="2" t="s">
        <v>387</v>
      </c>
      <c r="K180" s="2" t="s">
        <v>61</v>
      </c>
      <c r="L180" s="2" t="s">
        <v>677</v>
      </c>
      <c r="M180" s="2" t="s">
        <v>30</v>
      </c>
      <c r="N180" s="2" t="s">
        <v>162</v>
      </c>
      <c r="O180" s="2" t="s">
        <v>678</v>
      </c>
      <c r="P180" s="4">
        <v>176.714</v>
      </c>
      <c r="Q180" s="4">
        <v>5</v>
      </c>
      <c r="R180" s="4">
        <v>33.701799999999999</v>
      </c>
      <c r="S180" s="2" t="s">
        <v>121</v>
      </c>
      <c r="T180" s="2" t="s">
        <v>101</v>
      </c>
    </row>
    <row r="181" spans="1:20" x14ac:dyDescent="0.25">
      <c r="A181" s="2" t="s">
        <v>679</v>
      </c>
      <c r="B181" s="3">
        <v>42361</v>
      </c>
      <c r="C181" s="3">
        <v>42362</v>
      </c>
      <c r="D181" s="2" t="s">
        <v>55</v>
      </c>
      <c r="E181" s="2" t="s">
        <v>680</v>
      </c>
      <c r="F181" s="2" t="s">
        <v>681</v>
      </c>
      <c r="G181" s="2" t="s">
        <v>38</v>
      </c>
      <c r="H181" s="2" t="s">
        <v>25</v>
      </c>
      <c r="I181" s="2" t="s">
        <v>682</v>
      </c>
      <c r="J181" s="2" t="s">
        <v>632</v>
      </c>
      <c r="K181" s="2" t="s">
        <v>82</v>
      </c>
      <c r="L181" s="2" t="s">
        <v>174</v>
      </c>
      <c r="M181" s="2" t="s">
        <v>30</v>
      </c>
      <c r="N181" s="2" t="s">
        <v>31</v>
      </c>
      <c r="O181" s="2" t="s">
        <v>175</v>
      </c>
      <c r="P181" s="4">
        <v>18.4557</v>
      </c>
      <c r="Q181" s="4">
        <v>4</v>
      </c>
      <c r="R181" s="4">
        <v>4.0201000000000002</v>
      </c>
      <c r="S181" s="2" t="s">
        <v>33</v>
      </c>
      <c r="T181" s="2" t="s">
        <v>76</v>
      </c>
    </row>
    <row r="182" spans="1:20" x14ac:dyDescent="0.25">
      <c r="A182" s="2" t="s">
        <v>679</v>
      </c>
      <c r="B182" s="3">
        <v>42361</v>
      </c>
      <c r="C182" s="3">
        <v>42362</v>
      </c>
      <c r="D182" s="2" t="s">
        <v>55</v>
      </c>
      <c r="E182" s="2" t="s">
        <v>680</v>
      </c>
      <c r="F182" s="2" t="s">
        <v>681</v>
      </c>
      <c r="G182" s="2" t="s">
        <v>38</v>
      </c>
      <c r="H182" s="2" t="s">
        <v>25</v>
      </c>
      <c r="I182" s="2" t="s">
        <v>682</v>
      </c>
      <c r="J182" s="2" t="s">
        <v>632</v>
      </c>
      <c r="K182" s="2" t="s">
        <v>82</v>
      </c>
      <c r="L182" s="2" t="s">
        <v>161</v>
      </c>
      <c r="M182" s="2" t="s">
        <v>30</v>
      </c>
      <c r="N182" s="2" t="s">
        <v>162</v>
      </c>
      <c r="O182" s="2" t="s">
        <v>163</v>
      </c>
      <c r="P182" s="4">
        <v>197.86500000000001</v>
      </c>
      <c r="Q182" s="4">
        <v>4</v>
      </c>
      <c r="R182" s="4">
        <v>-129.3493</v>
      </c>
      <c r="S182" s="2" t="s">
        <v>33</v>
      </c>
      <c r="T182" s="2" t="s">
        <v>76</v>
      </c>
    </row>
    <row r="183" spans="1:20" x14ac:dyDescent="0.25">
      <c r="A183" s="2" t="s">
        <v>683</v>
      </c>
      <c r="B183" s="3">
        <v>42113</v>
      </c>
      <c r="C183" s="3">
        <v>42117</v>
      </c>
      <c r="D183" s="2" t="s">
        <v>21</v>
      </c>
      <c r="E183" s="2" t="s">
        <v>684</v>
      </c>
      <c r="F183" s="2" t="s">
        <v>685</v>
      </c>
      <c r="G183" s="2" t="s">
        <v>58</v>
      </c>
      <c r="H183" s="2" t="s">
        <v>25</v>
      </c>
      <c r="I183" s="2" t="s">
        <v>80</v>
      </c>
      <c r="J183" s="2" t="s">
        <v>81</v>
      </c>
      <c r="K183" s="2" t="s">
        <v>82</v>
      </c>
      <c r="L183" s="2" t="s">
        <v>174</v>
      </c>
      <c r="M183" s="2" t="s">
        <v>30</v>
      </c>
      <c r="N183" s="2" t="s">
        <v>31</v>
      </c>
      <c r="O183" s="2" t="s">
        <v>175</v>
      </c>
      <c r="P183" s="4">
        <v>365.4923</v>
      </c>
      <c r="Q183" s="4">
        <v>1</v>
      </c>
      <c r="R183" s="4">
        <v>-37.606099999999998</v>
      </c>
      <c r="S183" s="2" t="s">
        <v>75</v>
      </c>
      <c r="T183" s="2" t="s">
        <v>108</v>
      </c>
    </row>
    <row r="184" spans="1:20" x14ac:dyDescent="0.25">
      <c r="A184" s="2" t="s">
        <v>683</v>
      </c>
      <c r="B184" s="3">
        <v>42113</v>
      </c>
      <c r="C184" s="3">
        <v>42117</v>
      </c>
      <c r="D184" s="2" t="s">
        <v>21</v>
      </c>
      <c r="E184" s="2" t="s">
        <v>684</v>
      </c>
      <c r="F184" s="2" t="s">
        <v>685</v>
      </c>
      <c r="G184" s="2" t="s">
        <v>58</v>
      </c>
      <c r="H184" s="2" t="s">
        <v>25</v>
      </c>
      <c r="I184" s="2" t="s">
        <v>80</v>
      </c>
      <c r="J184" s="2" t="s">
        <v>81</v>
      </c>
      <c r="K184" s="2" t="s">
        <v>82</v>
      </c>
      <c r="L184" s="2" t="s">
        <v>513</v>
      </c>
      <c r="M184" s="2" t="s">
        <v>30</v>
      </c>
      <c r="N184" s="2" t="s">
        <v>63</v>
      </c>
      <c r="O184" s="2" t="s">
        <v>514</v>
      </c>
      <c r="P184" s="4">
        <v>67.992800000000003</v>
      </c>
      <c r="Q184" s="4">
        <v>4</v>
      </c>
      <c r="R184" s="4">
        <v>25.0854</v>
      </c>
      <c r="S184" s="2" t="s">
        <v>75</v>
      </c>
      <c r="T184" s="2" t="s">
        <v>108</v>
      </c>
    </row>
    <row r="185" spans="1:20" x14ac:dyDescent="0.25">
      <c r="A185" s="2" t="s">
        <v>686</v>
      </c>
      <c r="B185" s="3">
        <v>42482</v>
      </c>
      <c r="C185" s="3">
        <v>42488</v>
      </c>
      <c r="D185" s="2" t="s">
        <v>55</v>
      </c>
      <c r="E185" s="2" t="s">
        <v>687</v>
      </c>
      <c r="F185" s="2" t="s">
        <v>688</v>
      </c>
      <c r="G185" s="2" t="s">
        <v>38</v>
      </c>
      <c r="H185" s="2" t="s">
        <v>25</v>
      </c>
      <c r="I185" s="2" t="s">
        <v>26</v>
      </c>
      <c r="J185" s="2" t="s">
        <v>91</v>
      </c>
      <c r="K185" s="2" t="s">
        <v>61</v>
      </c>
      <c r="L185" s="2" t="s">
        <v>252</v>
      </c>
      <c r="M185" s="2" t="s">
        <v>30</v>
      </c>
      <c r="N185" s="2" t="s">
        <v>31</v>
      </c>
      <c r="O185" s="2" t="s">
        <v>253</v>
      </c>
      <c r="P185" s="4">
        <v>4.7507000000000001</v>
      </c>
      <c r="Q185" s="4">
        <v>1</v>
      </c>
      <c r="R185" s="4">
        <v>-0.10199999999999999</v>
      </c>
      <c r="S185" s="2" t="s">
        <v>65</v>
      </c>
      <c r="T185" s="2" t="s">
        <v>108</v>
      </c>
    </row>
    <row r="186" spans="1:20" x14ac:dyDescent="0.25">
      <c r="A186" s="2" t="s">
        <v>689</v>
      </c>
      <c r="B186" s="3">
        <v>41837</v>
      </c>
      <c r="C186" s="3">
        <v>41837</v>
      </c>
      <c r="D186" s="2" t="s">
        <v>48</v>
      </c>
      <c r="E186" s="2" t="s">
        <v>690</v>
      </c>
      <c r="F186" s="2" t="s">
        <v>691</v>
      </c>
      <c r="G186" s="2" t="s">
        <v>58</v>
      </c>
      <c r="H186" s="2" t="s">
        <v>25</v>
      </c>
      <c r="I186" s="2" t="s">
        <v>505</v>
      </c>
      <c r="J186" s="2" t="s">
        <v>244</v>
      </c>
      <c r="K186" s="2" t="s">
        <v>61</v>
      </c>
      <c r="L186" s="2" t="s">
        <v>612</v>
      </c>
      <c r="M186" s="2" t="s">
        <v>30</v>
      </c>
      <c r="N186" s="2" t="s">
        <v>162</v>
      </c>
      <c r="O186" s="2" t="s">
        <v>613</v>
      </c>
      <c r="P186" s="4">
        <v>304.07119999999998</v>
      </c>
      <c r="Q186" s="4">
        <v>4</v>
      </c>
      <c r="R186" s="4">
        <v>74.320999999999998</v>
      </c>
      <c r="S186" s="2" t="s">
        <v>121</v>
      </c>
      <c r="T186" s="2" t="s">
        <v>86</v>
      </c>
    </row>
    <row r="187" spans="1:20" x14ac:dyDescent="0.25">
      <c r="A187" s="2" t="s">
        <v>692</v>
      </c>
      <c r="B187" s="3">
        <v>42138</v>
      </c>
      <c r="C187" s="3">
        <v>42144</v>
      </c>
      <c r="D187" s="2" t="s">
        <v>55</v>
      </c>
      <c r="E187" s="2" t="s">
        <v>693</v>
      </c>
      <c r="F187" s="2" t="s">
        <v>694</v>
      </c>
      <c r="G187" s="2" t="s">
        <v>38</v>
      </c>
      <c r="H187" s="2" t="s">
        <v>25</v>
      </c>
      <c r="I187" s="2" t="s">
        <v>695</v>
      </c>
      <c r="J187" s="2" t="s">
        <v>180</v>
      </c>
      <c r="K187" s="2" t="s">
        <v>147</v>
      </c>
      <c r="L187" s="2" t="s">
        <v>161</v>
      </c>
      <c r="M187" s="2" t="s">
        <v>30</v>
      </c>
      <c r="N187" s="2" t="s">
        <v>162</v>
      </c>
      <c r="O187" s="2" t="s">
        <v>163</v>
      </c>
      <c r="P187" s="4">
        <v>459.05079999999998</v>
      </c>
      <c r="Q187" s="4">
        <v>3</v>
      </c>
      <c r="R187" s="4">
        <v>170.60849999999999</v>
      </c>
      <c r="S187" s="2" t="s">
        <v>65</v>
      </c>
      <c r="T187" s="2" t="s">
        <v>122</v>
      </c>
    </row>
    <row r="188" spans="1:20" x14ac:dyDescent="0.25">
      <c r="A188" s="2" t="s">
        <v>696</v>
      </c>
      <c r="B188" s="3">
        <v>41659</v>
      </c>
      <c r="C188" s="3">
        <v>41660</v>
      </c>
      <c r="D188" s="2" t="s">
        <v>55</v>
      </c>
      <c r="E188" s="2" t="s">
        <v>697</v>
      </c>
      <c r="F188" s="2" t="s">
        <v>698</v>
      </c>
      <c r="G188" s="2" t="s">
        <v>58</v>
      </c>
      <c r="H188" s="2" t="s">
        <v>25</v>
      </c>
      <c r="I188" s="2" t="s">
        <v>699</v>
      </c>
      <c r="J188" s="2" t="s">
        <v>339</v>
      </c>
      <c r="K188" s="2" t="s">
        <v>82</v>
      </c>
      <c r="L188" s="2" t="s">
        <v>207</v>
      </c>
      <c r="M188" s="2" t="s">
        <v>30</v>
      </c>
      <c r="N188" s="2" t="s">
        <v>31</v>
      </c>
      <c r="O188" s="2" t="s">
        <v>208</v>
      </c>
      <c r="P188" s="4">
        <v>73.196399999999997</v>
      </c>
      <c r="Q188" s="4">
        <v>1</v>
      </c>
      <c r="R188" s="4">
        <v>-3.2833000000000001</v>
      </c>
      <c r="S188" s="2" t="s">
        <v>33</v>
      </c>
      <c r="T188" s="2" t="s">
        <v>115</v>
      </c>
    </row>
    <row r="189" spans="1:20" x14ac:dyDescent="0.25">
      <c r="A189" s="2" t="s">
        <v>696</v>
      </c>
      <c r="B189" s="3">
        <v>41659</v>
      </c>
      <c r="C189" s="3">
        <v>41660</v>
      </c>
      <c r="D189" s="2" t="s">
        <v>55</v>
      </c>
      <c r="E189" s="2" t="s">
        <v>697</v>
      </c>
      <c r="F189" s="2" t="s">
        <v>698</v>
      </c>
      <c r="G189" s="2" t="s">
        <v>58</v>
      </c>
      <c r="H189" s="2" t="s">
        <v>25</v>
      </c>
      <c r="I189" s="2" t="s">
        <v>699</v>
      </c>
      <c r="J189" s="2" t="s">
        <v>339</v>
      </c>
      <c r="K189" s="2" t="s">
        <v>82</v>
      </c>
      <c r="L189" s="2" t="s">
        <v>154</v>
      </c>
      <c r="M189" s="2" t="s">
        <v>30</v>
      </c>
      <c r="N189" s="2" t="s">
        <v>42</v>
      </c>
      <c r="O189" s="2" t="s">
        <v>155</v>
      </c>
      <c r="P189" s="4">
        <v>259.18</v>
      </c>
      <c r="Q189" s="4">
        <v>1</v>
      </c>
      <c r="R189" s="4">
        <v>28.0486</v>
      </c>
      <c r="S189" s="2" t="s">
        <v>33</v>
      </c>
      <c r="T189" s="2" t="s">
        <v>115</v>
      </c>
    </row>
    <row r="190" spans="1:20" x14ac:dyDescent="0.25">
      <c r="A190" s="2" t="s">
        <v>700</v>
      </c>
      <c r="B190" s="3">
        <v>42800</v>
      </c>
      <c r="C190" s="3">
        <v>42802</v>
      </c>
      <c r="D190" s="2" t="s">
        <v>48</v>
      </c>
      <c r="E190" s="2" t="s">
        <v>701</v>
      </c>
      <c r="F190" s="2" t="s">
        <v>702</v>
      </c>
      <c r="G190" s="2" t="s">
        <v>58</v>
      </c>
      <c r="H190" s="2" t="s">
        <v>25</v>
      </c>
      <c r="I190" s="2" t="s">
        <v>179</v>
      </c>
      <c r="J190" s="2" t="s">
        <v>180</v>
      </c>
      <c r="K190" s="2" t="s">
        <v>147</v>
      </c>
      <c r="L190" s="2" t="s">
        <v>245</v>
      </c>
      <c r="M190" s="2" t="s">
        <v>30</v>
      </c>
      <c r="N190" s="2" t="s">
        <v>42</v>
      </c>
      <c r="O190" s="2" t="s">
        <v>246</v>
      </c>
      <c r="P190" s="4">
        <v>437.42149999999998</v>
      </c>
      <c r="Q190" s="4">
        <v>2</v>
      </c>
      <c r="R190" s="4">
        <v>272.2971</v>
      </c>
      <c r="S190" s="2" t="s">
        <v>53</v>
      </c>
      <c r="T190" s="2" t="s">
        <v>44</v>
      </c>
    </row>
    <row r="191" spans="1:20" x14ac:dyDescent="0.25">
      <c r="A191" s="2" t="s">
        <v>703</v>
      </c>
      <c r="B191" s="3">
        <v>41672</v>
      </c>
      <c r="C191" s="3">
        <v>41675</v>
      </c>
      <c r="D191" s="2" t="s">
        <v>55</v>
      </c>
      <c r="E191" s="2" t="s">
        <v>704</v>
      </c>
      <c r="F191" s="2" t="s">
        <v>705</v>
      </c>
      <c r="G191" s="2" t="s">
        <v>58</v>
      </c>
      <c r="H191" s="2" t="s">
        <v>25</v>
      </c>
      <c r="I191" s="2" t="s">
        <v>706</v>
      </c>
      <c r="J191" s="2" t="s">
        <v>127</v>
      </c>
      <c r="K191" s="2" t="s">
        <v>82</v>
      </c>
      <c r="L191" s="2" t="s">
        <v>235</v>
      </c>
      <c r="M191" s="2" t="s">
        <v>30</v>
      </c>
      <c r="N191" s="2" t="s">
        <v>31</v>
      </c>
      <c r="O191" s="2" t="s">
        <v>236</v>
      </c>
      <c r="P191" s="4">
        <v>115.06180000000001</v>
      </c>
      <c r="Q191" s="4">
        <v>2</v>
      </c>
      <c r="R191" s="4">
        <v>34.527900000000002</v>
      </c>
      <c r="S191" s="2" t="s">
        <v>92</v>
      </c>
      <c r="T191" s="2" t="s">
        <v>101</v>
      </c>
    </row>
    <row r="192" spans="1:20" x14ac:dyDescent="0.25">
      <c r="A192" s="2" t="s">
        <v>707</v>
      </c>
      <c r="B192" s="3">
        <v>42747</v>
      </c>
      <c r="C192" s="3">
        <v>42752</v>
      </c>
      <c r="D192" s="2" t="s">
        <v>55</v>
      </c>
      <c r="E192" s="2" t="s">
        <v>708</v>
      </c>
      <c r="F192" s="2" t="s">
        <v>709</v>
      </c>
      <c r="G192" s="2" t="s">
        <v>38</v>
      </c>
      <c r="H192" s="2" t="s">
        <v>25</v>
      </c>
      <c r="I192" s="2" t="s">
        <v>617</v>
      </c>
      <c r="J192" s="2" t="s">
        <v>168</v>
      </c>
      <c r="K192" s="2" t="s">
        <v>28</v>
      </c>
      <c r="L192" s="2" t="s">
        <v>301</v>
      </c>
      <c r="M192" s="2" t="s">
        <v>30</v>
      </c>
      <c r="N192" s="2" t="s">
        <v>162</v>
      </c>
      <c r="O192" s="2" t="s">
        <v>302</v>
      </c>
      <c r="P192" s="4">
        <v>577.76030000000003</v>
      </c>
      <c r="Q192" s="4">
        <v>5</v>
      </c>
      <c r="R192" s="4">
        <v>-246.86410000000001</v>
      </c>
      <c r="S192" s="2" t="s">
        <v>85</v>
      </c>
      <c r="T192" s="2" t="s">
        <v>115</v>
      </c>
    </row>
    <row r="193" spans="1:20" x14ac:dyDescent="0.25">
      <c r="A193" s="2" t="s">
        <v>710</v>
      </c>
      <c r="B193" s="3">
        <v>42337</v>
      </c>
      <c r="C193" s="3">
        <v>42343</v>
      </c>
      <c r="D193" s="2" t="s">
        <v>55</v>
      </c>
      <c r="E193" s="2" t="s">
        <v>711</v>
      </c>
      <c r="F193" s="2" t="s">
        <v>712</v>
      </c>
      <c r="G193" s="2" t="s">
        <v>58</v>
      </c>
      <c r="H193" s="2" t="s">
        <v>25</v>
      </c>
      <c r="I193" s="2" t="s">
        <v>414</v>
      </c>
      <c r="J193" s="2" t="s">
        <v>206</v>
      </c>
      <c r="K193" s="2" t="s">
        <v>61</v>
      </c>
      <c r="L193" s="2" t="s">
        <v>235</v>
      </c>
      <c r="M193" s="2" t="s">
        <v>30</v>
      </c>
      <c r="N193" s="2" t="s">
        <v>31</v>
      </c>
      <c r="O193" s="2" t="s">
        <v>236</v>
      </c>
      <c r="P193" s="4">
        <v>91.529200000000003</v>
      </c>
      <c r="Q193" s="4">
        <v>3</v>
      </c>
      <c r="R193" s="4">
        <v>35.145200000000003</v>
      </c>
      <c r="S193" s="2" t="s">
        <v>65</v>
      </c>
      <c r="T193" s="2" t="s">
        <v>93</v>
      </c>
    </row>
    <row r="194" spans="1:20" x14ac:dyDescent="0.25">
      <c r="A194" s="2" t="s">
        <v>713</v>
      </c>
      <c r="B194" s="3">
        <v>42418</v>
      </c>
      <c r="C194" s="3">
        <v>42420</v>
      </c>
      <c r="D194" s="2" t="s">
        <v>55</v>
      </c>
      <c r="E194" s="2" t="s">
        <v>714</v>
      </c>
      <c r="F194" s="2" t="s">
        <v>715</v>
      </c>
      <c r="G194" s="2" t="s">
        <v>58</v>
      </c>
      <c r="H194" s="2" t="s">
        <v>25</v>
      </c>
      <c r="I194" s="2" t="s">
        <v>474</v>
      </c>
      <c r="J194" s="2" t="s">
        <v>475</v>
      </c>
      <c r="K194" s="2" t="s">
        <v>28</v>
      </c>
      <c r="L194" s="2" t="s">
        <v>323</v>
      </c>
      <c r="M194" s="2" t="s">
        <v>30</v>
      </c>
      <c r="N194" s="2" t="s">
        <v>31</v>
      </c>
      <c r="O194" s="2" t="s">
        <v>324</v>
      </c>
      <c r="P194" s="4">
        <v>26.146799999999999</v>
      </c>
      <c r="Q194" s="4">
        <v>3</v>
      </c>
      <c r="R194" s="4">
        <v>0.98299999999999998</v>
      </c>
      <c r="S194" s="2" t="s">
        <v>53</v>
      </c>
      <c r="T194" s="2" t="s">
        <v>101</v>
      </c>
    </row>
    <row r="195" spans="1:20" x14ac:dyDescent="0.25">
      <c r="A195" s="2" t="s">
        <v>716</v>
      </c>
      <c r="B195" s="3">
        <v>42437</v>
      </c>
      <c r="C195" s="3">
        <v>42441</v>
      </c>
      <c r="D195" s="2" t="s">
        <v>55</v>
      </c>
      <c r="E195" s="2" t="s">
        <v>717</v>
      </c>
      <c r="F195" s="2" t="s">
        <v>718</v>
      </c>
      <c r="G195" s="2" t="s">
        <v>58</v>
      </c>
      <c r="H195" s="2" t="s">
        <v>25</v>
      </c>
      <c r="I195" s="2" t="s">
        <v>259</v>
      </c>
      <c r="J195" s="2" t="s">
        <v>260</v>
      </c>
      <c r="K195" s="2" t="s">
        <v>147</v>
      </c>
      <c r="L195" s="2" t="s">
        <v>719</v>
      </c>
      <c r="M195" s="2" t="s">
        <v>30</v>
      </c>
      <c r="N195" s="2" t="s">
        <v>63</v>
      </c>
      <c r="O195" s="2" t="s">
        <v>720</v>
      </c>
      <c r="P195" s="4">
        <v>379.00439999999998</v>
      </c>
      <c r="Q195" s="4">
        <v>1</v>
      </c>
      <c r="R195" s="4">
        <v>59.097000000000001</v>
      </c>
      <c r="S195" s="2" t="s">
        <v>75</v>
      </c>
      <c r="T195" s="2" t="s">
        <v>44</v>
      </c>
    </row>
    <row r="196" spans="1:20" x14ac:dyDescent="0.25">
      <c r="A196" s="2" t="s">
        <v>721</v>
      </c>
      <c r="B196" s="3">
        <v>42559</v>
      </c>
      <c r="C196" s="3">
        <v>42564</v>
      </c>
      <c r="D196" s="2" t="s">
        <v>55</v>
      </c>
      <c r="E196" s="2" t="s">
        <v>405</v>
      </c>
      <c r="F196" s="2" t="s">
        <v>406</v>
      </c>
      <c r="G196" s="2" t="s">
        <v>58</v>
      </c>
      <c r="H196" s="2" t="s">
        <v>25</v>
      </c>
      <c r="I196" s="2" t="s">
        <v>90</v>
      </c>
      <c r="J196" s="2" t="s">
        <v>91</v>
      </c>
      <c r="K196" s="2" t="s">
        <v>61</v>
      </c>
      <c r="L196" s="2" t="s">
        <v>719</v>
      </c>
      <c r="M196" s="2" t="s">
        <v>30</v>
      </c>
      <c r="N196" s="2" t="s">
        <v>63</v>
      </c>
      <c r="O196" s="2" t="s">
        <v>720</v>
      </c>
      <c r="P196" s="4">
        <v>126.3973</v>
      </c>
      <c r="Q196" s="4">
        <v>1</v>
      </c>
      <c r="R196" s="4">
        <v>19.423400000000001</v>
      </c>
      <c r="S196" s="2" t="s">
        <v>85</v>
      </c>
      <c r="T196" s="2" t="s">
        <v>86</v>
      </c>
    </row>
    <row r="197" spans="1:20" x14ac:dyDescent="0.25">
      <c r="A197" s="2" t="s">
        <v>721</v>
      </c>
      <c r="B197" s="3">
        <v>42559</v>
      </c>
      <c r="C197" s="3">
        <v>42564</v>
      </c>
      <c r="D197" s="2" t="s">
        <v>55</v>
      </c>
      <c r="E197" s="2" t="s">
        <v>405</v>
      </c>
      <c r="F197" s="2" t="s">
        <v>406</v>
      </c>
      <c r="G197" s="2" t="s">
        <v>58</v>
      </c>
      <c r="H197" s="2" t="s">
        <v>25</v>
      </c>
      <c r="I197" s="2" t="s">
        <v>90</v>
      </c>
      <c r="J197" s="2" t="s">
        <v>91</v>
      </c>
      <c r="K197" s="2" t="s">
        <v>61</v>
      </c>
      <c r="L197" s="2" t="s">
        <v>73</v>
      </c>
      <c r="M197" s="2" t="s">
        <v>30</v>
      </c>
      <c r="N197" s="2" t="s">
        <v>42</v>
      </c>
      <c r="O197" s="2" t="s">
        <v>74</v>
      </c>
      <c r="P197" s="4">
        <v>83.028000000000006</v>
      </c>
      <c r="Q197" s="4">
        <v>9</v>
      </c>
      <c r="R197" s="4">
        <v>-0.1021</v>
      </c>
      <c r="S197" s="2" t="s">
        <v>85</v>
      </c>
      <c r="T197" s="2" t="s">
        <v>86</v>
      </c>
    </row>
    <row r="198" spans="1:20" x14ac:dyDescent="0.25">
      <c r="A198" s="2" t="s">
        <v>722</v>
      </c>
      <c r="B198" s="3">
        <v>42785</v>
      </c>
      <c r="C198" s="3">
        <v>42789</v>
      </c>
      <c r="D198" s="2" t="s">
        <v>55</v>
      </c>
      <c r="E198" s="2" t="s">
        <v>231</v>
      </c>
      <c r="F198" s="2" t="s">
        <v>232</v>
      </c>
      <c r="G198" s="2" t="s">
        <v>38</v>
      </c>
      <c r="H198" s="2" t="s">
        <v>25</v>
      </c>
      <c r="I198" s="2" t="s">
        <v>631</v>
      </c>
      <c r="J198" s="2" t="s">
        <v>632</v>
      </c>
      <c r="K198" s="2" t="s">
        <v>82</v>
      </c>
      <c r="L198" s="2" t="s">
        <v>719</v>
      </c>
      <c r="M198" s="2" t="s">
        <v>30</v>
      </c>
      <c r="N198" s="2" t="s">
        <v>63</v>
      </c>
      <c r="O198" s="2" t="s">
        <v>720</v>
      </c>
      <c r="P198" s="4">
        <v>134.68469999999999</v>
      </c>
      <c r="Q198" s="4">
        <v>5</v>
      </c>
      <c r="R198" s="4">
        <v>22.145</v>
      </c>
      <c r="S198" s="2" t="s">
        <v>75</v>
      </c>
      <c r="T198" s="2" t="s">
        <v>101</v>
      </c>
    </row>
    <row r="199" spans="1:20" x14ac:dyDescent="0.25">
      <c r="A199" s="2" t="s">
        <v>723</v>
      </c>
      <c r="B199" s="3">
        <v>42205</v>
      </c>
      <c r="C199" s="3">
        <v>42205</v>
      </c>
      <c r="D199" s="2" t="s">
        <v>142</v>
      </c>
      <c r="E199" s="2" t="s">
        <v>724</v>
      </c>
      <c r="F199" s="2" t="s">
        <v>725</v>
      </c>
      <c r="G199" s="2" t="s">
        <v>58</v>
      </c>
      <c r="H199" s="2" t="s">
        <v>25</v>
      </c>
      <c r="I199" s="2" t="s">
        <v>350</v>
      </c>
      <c r="J199" s="2" t="s">
        <v>351</v>
      </c>
      <c r="K199" s="2" t="s">
        <v>147</v>
      </c>
      <c r="L199" s="2" t="s">
        <v>612</v>
      </c>
      <c r="M199" s="2" t="s">
        <v>30</v>
      </c>
      <c r="N199" s="2" t="s">
        <v>162</v>
      </c>
      <c r="O199" s="2" t="s">
        <v>613</v>
      </c>
      <c r="P199" s="4">
        <v>139.27760000000001</v>
      </c>
      <c r="Q199" s="4">
        <v>3</v>
      </c>
      <c r="R199" s="4">
        <v>-43.173499999999997</v>
      </c>
      <c r="S199" s="2" t="s">
        <v>121</v>
      </c>
      <c r="T199" s="2" t="s">
        <v>86</v>
      </c>
    </row>
    <row r="200" spans="1:20" x14ac:dyDescent="0.25">
      <c r="A200" s="2" t="s">
        <v>726</v>
      </c>
      <c r="B200" s="3">
        <v>42040</v>
      </c>
      <c r="C200" s="3">
        <v>42041</v>
      </c>
      <c r="D200" s="2" t="s">
        <v>48</v>
      </c>
      <c r="E200" s="2" t="s">
        <v>268</v>
      </c>
      <c r="F200" s="2" t="s">
        <v>269</v>
      </c>
      <c r="G200" s="2" t="s">
        <v>58</v>
      </c>
      <c r="H200" s="2" t="s">
        <v>25</v>
      </c>
      <c r="I200" s="2" t="s">
        <v>727</v>
      </c>
      <c r="J200" s="2" t="s">
        <v>728</v>
      </c>
      <c r="K200" s="2" t="s">
        <v>147</v>
      </c>
      <c r="L200" s="2" t="s">
        <v>245</v>
      </c>
      <c r="M200" s="2" t="s">
        <v>30</v>
      </c>
      <c r="N200" s="2" t="s">
        <v>42</v>
      </c>
      <c r="O200" s="2" t="s">
        <v>246</v>
      </c>
      <c r="P200" s="4">
        <v>985.96090000000004</v>
      </c>
      <c r="Q200" s="4">
        <v>2</v>
      </c>
      <c r="R200" s="4">
        <v>127.7394</v>
      </c>
      <c r="S200" s="2" t="s">
        <v>33</v>
      </c>
      <c r="T200" s="2" t="s">
        <v>101</v>
      </c>
    </row>
    <row r="201" spans="1:20" x14ac:dyDescent="0.25">
      <c r="A201" s="2" t="s">
        <v>729</v>
      </c>
      <c r="B201" s="3">
        <v>42521</v>
      </c>
      <c r="C201" s="3">
        <v>42527</v>
      </c>
      <c r="D201" s="2" t="s">
        <v>55</v>
      </c>
      <c r="E201" s="2" t="s">
        <v>693</v>
      </c>
      <c r="F201" s="2" t="s">
        <v>694</v>
      </c>
      <c r="G201" s="2" t="s">
        <v>58</v>
      </c>
      <c r="H201" s="2" t="s">
        <v>25</v>
      </c>
      <c r="I201" s="2" t="s">
        <v>309</v>
      </c>
      <c r="J201" s="2" t="s">
        <v>310</v>
      </c>
      <c r="K201" s="2" t="s">
        <v>28</v>
      </c>
      <c r="L201" s="2" t="s">
        <v>154</v>
      </c>
      <c r="M201" s="2" t="s">
        <v>30</v>
      </c>
      <c r="N201" s="2" t="s">
        <v>42</v>
      </c>
      <c r="O201" s="2" t="s">
        <v>155</v>
      </c>
      <c r="P201" s="4">
        <v>278.25029999999998</v>
      </c>
      <c r="Q201" s="4">
        <v>8</v>
      </c>
      <c r="R201" s="4">
        <v>18.987400000000001</v>
      </c>
      <c r="S201" s="2" t="s">
        <v>65</v>
      </c>
      <c r="T201" s="2" t="s">
        <v>122</v>
      </c>
    </row>
    <row r="202" spans="1:20" x14ac:dyDescent="0.25">
      <c r="A202" s="2" t="s">
        <v>729</v>
      </c>
      <c r="B202" s="3">
        <v>42521</v>
      </c>
      <c r="C202" s="3">
        <v>42527</v>
      </c>
      <c r="D202" s="2" t="s">
        <v>55</v>
      </c>
      <c r="E202" s="2" t="s">
        <v>693</v>
      </c>
      <c r="F202" s="2" t="s">
        <v>694</v>
      </c>
      <c r="G202" s="2" t="s">
        <v>58</v>
      </c>
      <c r="H202" s="2" t="s">
        <v>25</v>
      </c>
      <c r="I202" s="2" t="s">
        <v>309</v>
      </c>
      <c r="J202" s="2" t="s">
        <v>310</v>
      </c>
      <c r="K202" s="2" t="s">
        <v>28</v>
      </c>
      <c r="L202" s="2" t="s">
        <v>29</v>
      </c>
      <c r="M202" s="2" t="s">
        <v>30</v>
      </c>
      <c r="N202" s="2" t="s">
        <v>31</v>
      </c>
      <c r="O202" s="2" t="s">
        <v>32</v>
      </c>
      <c r="P202" s="4">
        <v>113.8188</v>
      </c>
      <c r="Q202" s="4">
        <v>2</v>
      </c>
      <c r="R202" s="4">
        <v>-20.980699999999999</v>
      </c>
      <c r="S202" s="2" t="s">
        <v>65</v>
      </c>
      <c r="T202" s="2" t="s">
        <v>122</v>
      </c>
    </row>
    <row r="203" spans="1:20" x14ac:dyDescent="0.25">
      <c r="A203" s="2" t="s">
        <v>729</v>
      </c>
      <c r="B203" s="3">
        <v>42521</v>
      </c>
      <c r="C203" s="3">
        <v>42527</v>
      </c>
      <c r="D203" s="2" t="s">
        <v>55</v>
      </c>
      <c r="E203" s="2" t="s">
        <v>693</v>
      </c>
      <c r="F203" s="2" t="s">
        <v>694</v>
      </c>
      <c r="G203" s="2" t="s">
        <v>58</v>
      </c>
      <c r="H203" s="2" t="s">
        <v>25</v>
      </c>
      <c r="I203" s="2" t="s">
        <v>309</v>
      </c>
      <c r="J203" s="2" t="s">
        <v>310</v>
      </c>
      <c r="K203" s="2" t="s">
        <v>28</v>
      </c>
      <c r="L203" s="2" t="s">
        <v>186</v>
      </c>
      <c r="M203" s="2" t="s">
        <v>30</v>
      </c>
      <c r="N203" s="2" t="s">
        <v>31</v>
      </c>
      <c r="O203" s="2" t="s">
        <v>187</v>
      </c>
      <c r="P203" s="4">
        <v>145.3802</v>
      </c>
      <c r="Q203" s="4">
        <v>1</v>
      </c>
      <c r="R203" s="4">
        <v>70.544399999999996</v>
      </c>
      <c r="S203" s="2" t="s">
        <v>65</v>
      </c>
      <c r="T203" s="2" t="s">
        <v>122</v>
      </c>
    </row>
    <row r="204" spans="1:20" x14ac:dyDescent="0.25">
      <c r="A204" s="2" t="s">
        <v>730</v>
      </c>
      <c r="B204" s="3">
        <v>42410</v>
      </c>
      <c r="C204" s="3">
        <v>42414</v>
      </c>
      <c r="D204" s="2" t="s">
        <v>21</v>
      </c>
      <c r="E204" s="2" t="s">
        <v>731</v>
      </c>
      <c r="F204" s="2" t="s">
        <v>732</v>
      </c>
      <c r="G204" s="2" t="s">
        <v>58</v>
      </c>
      <c r="H204" s="2" t="s">
        <v>25</v>
      </c>
      <c r="I204" s="2" t="s">
        <v>623</v>
      </c>
      <c r="J204" s="2" t="s">
        <v>40</v>
      </c>
      <c r="K204" s="2" t="s">
        <v>28</v>
      </c>
      <c r="L204" s="2" t="s">
        <v>218</v>
      </c>
      <c r="M204" s="2" t="s">
        <v>30</v>
      </c>
      <c r="N204" s="2" t="s">
        <v>31</v>
      </c>
      <c r="O204" s="2" t="s">
        <v>219</v>
      </c>
      <c r="P204" s="4">
        <v>48.001800000000003</v>
      </c>
      <c r="Q204" s="4">
        <v>4</v>
      </c>
      <c r="R204" s="4">
        <v>22.146599999999999</v>
      </c>
      <c r="S204" s="2" t="s">
        <v>75</v>
      </c>
      <c r="T204" s="2" t="s">
        <v>101</v>
      </c>
    </row>
    <row r="205" spans="1:20" x14ac:dyDescent="0.25">
      <c r="A205" s="2" t="s">
        <v>733</v>
      </c>
      <c r="B205" s="3">
        <v>42069</v>
      </c>
      <c r="C205" s="3">
        <v>42073</v>
      </c>
      <c r="D205" s="2" t="s">
        <v>55</v>
      </c>
      <c r="E205" s="2" t="s">
        <v>734</v>
      </c>
      <c r="F205" s="2" t="s">
        <v>735</v>
      </c>
      <c r="G205" s="2" t="s">
        <v>24</v>
      </c>
      <c r="H205" s="2" t="s">
        <v>25</v>
      </c>
      <c r="I205" s="2" t="s">
        <v>736</v>
      </c>
      <c r="J205" s="2" t="s">
        <v>728</v>
      </c>
      <c r="K205" s="2" t="s">
        <v>147</v>
      </c>
      <c r="L205" s="2" t="s">
        <v>218</v>
      </c>
      <c r="M205" s="2" t="s">
        <v>30</v>
      </c>
      <c r="N205" s="2" t="s">
        <v>31</v>
      </c>
      <c r="O205" s="2" t="s">
        <v>219</v>
      </c>
      <c r="P205" s="4">
        <v>59.466700000000003</v>
      </c>
      <c r="Q205" s="4">
        <v>5</v>
      </c>
      <c r="R205" s="4">
        <v>19.481200000000001</v>
      </c>
      <c r="S205" s="2" t="s">
        <v>75</v>
      </c>
      <c r="T205" s="2" t="s">
        <v>44</v>
      </c>
    </row>
    <row r="206" spans="1:20" x14ac:dyDescent="0.25">
      <c r="A206" s="2" t="s">
        <v>737</v>
      </c>
      <c r="B206" s="3">
        <v>42506</v>
      </c>
      <c r="C206" s="3">
        <v>42512</v>
      </c>
      <c r="D206" s="2" t="s">
        <v>55</v>
      </c>
      <c r="E206" s="2" t="s">
        <v>738</v>
      </c>
      <c r="F206" s="2" t="s">
        <v>739</v>
      </c>
      <c r="G206" s="2" t="s">
        <v>58</v>
      </c>
      <c r="H206" s="2" t="s">
        <v>25</v>
      </c>
      <c r="I206" s="2" t="s">
        <v>445</v>
      </c>
      <c r="J206" s="2" t="s">
        <v>138</v>
      </c>
      <c r="K206" s="2" t="s">
        <v>82</v>
      </c>
      <c r="L206" s="2" t="s">
        <v>186</v>
      </c>
      <c r="M206" s="2" t="s">
        <v>30</v>
      </c>
      <c r="N206" s="2" t="s">
        <v>31</v>
      </c>
      <c r="O206" s="2" t="s">
        <v>187</v>
      </c>
      <c r="P206" s="4">
        <v>130.82669999999999</v>
      </c>
      <c r="Q206" s="4">
        <v>4</v>
      </c>
      <c r="R206" s="4">
        <v>-41.3367</v>
      </c>
      <c r="S206" s="2" t="s">
        <v>65</v>
      </c>
      <c r="T206" s="2" t="s">
        <v>122</v>
      </c>
    </row>
    <row r="207" spans="1:20" x14ac:dyDescent="0.25">
      <c r="A207" s="2" t="s">
        <v>740</v>
      </c>
      <c r="B207" s="3">
        <v>43076</v>
      </c>
      <c r="C207" s="3">
        <v>43082</v>
      </c>
      <c r="D207" s="2" t="s">
        <v>55</v>
      </c>
      <c r="E207" s="2" t="s">
        <v>741</v>
      </c>
      <c r="F207" s="2" t="s">
        <v>742</v>
      </c>
      <c r="G207" s="2" t="s">
        <v>38</v>
      </c>
      <c r="H207" s="2" t="s">
        <v>25</v>
      </c>
      <c r="I207" s="2" t="s">
        <v>434</v>
      </c>
      <c r="J207" s="2" t="s">
        <v>435</v>
      </c>
      <c r="K207" s="2" t="s">
        <v>61</v>
      </c>
      <c r="L207" s="2" t="s">
        <v>193</v>
      </c>
      <c r="M207" s="2" t="s">
        <v>30</v>
      </c>
      <c r="N207" s="2" t="s">
        <v>42</v>
      </c>
      <c r="O207" s="2" t="s">
        <v>194</v>
      </c>
      <c r="P207" s="4">
        <v>352.33980000000003</v>
      </c>
      <c r="Q207" s="4">
        <v>5</v>
      </c>
      <c r="R207" s="4">
        <v>41.2727</v>
      </c>
      <c r="S207" s="2" t="s">
        <v>65</v>
      </c>
      <c r="T207" s="2" t="s">
        <v>76</v>
      </c>
    </row>
    <row r="208" spans="1:20" x14ac:dyDescent="0.25">
      <c r="A208" s="2" t="s">
        <v>740</v>
      </c>
      <c r="B208" s="3">
        <v>43076</v>
      </c>
      <c r="C208" s="3">
        <v>43082</v>
      </c>
      <c r="D208" s="2" t="s">
        <v>55</v>
      </c>
      <c r="E208" s="2" t="s">
        <v>741</v>
      </c>
      <c r="F208" s="2" t="s">
        <v>742</v>
      </c>
      <c r="G208" s="2" t="s">
        <v>38</v>
      </c>
      <c r="H208" s="2" t="s">
        <v>25</v>
      </c>
      <c r="I208" s="2" t="s">
        <v>434</v>
      </c>
      <c r="J208" s="2" t="s">
        <v>435</v>
      </c>
      <c r="K208" s="2" t="s">
        <v>61</v>
      </c>
      <c r="L208" s="2" t="s">
        <v>415</v>
      </c>
      <c r="M208" s="2" t="s">
        <v>30</v>
      </c>
      <c r="N208" s="2" t="s">
        <v>63</v>
      </c>
      <c r="O208" s="2" t="s">
        <v>416</v>
      </c>
      <c r="P208" s="4">
        <v>108.3035</v>
      </c>
      <c r="Q208" s="4">
        <v>6</v>
      </c>
      <c r="R208" s="4">
        <v>35.8812</v>
      </c>
      <c r="S208" s="2" t="s">
        <v>65</v>
      </c>
      <c r="T208" s="2" t="s">
        <v>76</v>
      </c>
    </row>
    <row r="209" spans="1:20" x14ac:dyDescent="0.25">
      <c r="A209" s="2" t="s">
        <v>740</v>
      </c>
      <c r="B209" s="3">
        <v>43076</v>
      </c>
      <c r="C209" s="3">
        <v>43082</v>
      </c>
      <c r="D209" s="2" t="s">
        <v>55</v>
      </c>
      <c r="E209" s="2" t="s">
        <v>741</v>
      </c>
      <c r="F209" s="2" t="s">
        <v>742</v>
      </c>
      <c r="G209" s="2" t="s">
        <v>38</v>
      </c>
      <c r="H209" s="2" t="s">
        <v>25</v>
      </c>
      <c r="I209" s="2" t="s">
        <v>434</v>
      </c>
      <c r="J209" s="2" t="s">
        <v>435</v>
      </c>
      <c r="K209" s="2" t="s">
        <v>61</v>
      </c>
      <c r="L209" s="2" t="s">
        <v>453</v>
      </c>
      <c r="M209" s="2" t="s">
        <v>30</v>
      </c>
      <c r="N209" s="2" t="s">
        <v>42</v>
      </c>
      <c r="O209" s="2" t="s">
        <v>454</v>
      </c>
      <c r="P209" s="4">
        <v>345.64330000000001</v>
      </c>
      <c r="Q209" s="4">
        <v>2</v>
      </c>
      <c r="R209" s="4">
        <v>110.7302</v>
      </c>
      <c r="S209" s="2" t="s">
        <v>65</v>
      </c>
      <c r="T209" s="2" t="s">
        <v>76</v>
      </c>
    </row>
    <row r="210" spans="1:20" x14ac:dyDescent="0.25">
      <c r="A210" s="2" t="s">
        <v>743</v>
      </c>
      <c r="B210" s="3">
        <v>42702</v>
      </c>
      <c r="C210" s="3">
        <v>42702</v>
      </c>
      <c r="D210" s="2" t="s">
        <v>55</v>
      </c>
      <c r="E210" s="2" t="s">
        <v>744</v>
      </c>
      <c r="F210" s="2" t="s">
        <v>745</v>
      </c>
      <c r="G210" s="2" t="s">
        <v>58</v>
      </c>
      <c r="H210" s="2" t="s">
        <v>25</v>
      </c>
      <c r="I210" s="2" t="s">
        <v>338</v>
      </c>
      <c r="J210" s="2" t="s">
        <v>339</v>
      </c>
      <c r="K210" s="2" t="s">
        <v>82</v>
      </c>
      <c r="L210" s="2" t="s">
        <v>73</v>
      </c>
      <c r="M210" s="2" t="s">
        <v>30</v>
      </c>
      <c r="N210" s="2" t="s">
        <v>42</v>
      </c>
      <c r="O210" s="2" t="s">
        <v>74</v>
      </c>
      <c r="P210" s="4">
        <v>401.77429999999998</v>
      </c>
      <c r="Q210" s="4">
        <v>2</v>
      </c>
      <c r="R210" s="4">
        <v>-80.5441</v>
      </c>
      <c r="S210" s="2" t="s">
        <v>121</v>
      </c>
      <c r="T210" s="2" t="s">
        <v>93</v>
      </c>
    </row>
    <row r="211" spans="1:20" x14ac:dyDescent="0.25">
      <c r="A211" s="2" t="s">
        <v>746</v>
      </c>
      <c r="B211" s="3">
        <v>41877</v>
      </c>
      <c r="C211" s="3">
        <v>41878</v>
      </c>
      <c r="D211" s="2" t="s">
        <v>55</v>
      </c>
      <c r="E211" s="2" t="s">
        <v>747</v>
      </c>
      <c r="F211" s="2" t="s">
        <v>748</v>
      </c>
      <c r="G211" s="2" t="s">
        <v>58</v>
      </c>
      <c r="H211" s="2" t="s">
        <v>25</v>
      </c>
      <c r="I211" s="2" t="s">
        <v>216</v>
      </c>
      <c r="J211" s="2" t="s">
        <v>217</v>
      </c>
      <c r="K211" s="2" t="s">
        <v>82</v>
      </c>
      <c r="L211" s="2" t="s">
        <v>186</v>
      </c>
      <c r="M211" s="2" t="s">
        <v>30</v>
      </c>
      <c r="N211" s="2" t="s">
        <v>31</v>
      </c>
      <c r="O211" s="2" t="s">
        <v>187</v>
      </c>
      <c r="P211" s="4">
        <v>213.56960000000001</v>
      </c>
      <c r="Q211" s="4">
        <v>3</v>
      </c>
      <c r="R211" s="4">
        <v>38.975499999999997</v>
      </c>
      <c r="S211" s="2" t="s">
        <v>33</v>
      </c>
      <c r="T211" s="2" t="s">
        <v>34</v>
      </c>
    </row>
    <row r="212" spans="1:20" x14ac:dyDescent="0.25">
      <c r="A212" s="2" t="s">
        <v>749</v>
      </c>
      <c r="B212" s="3">
        <v>41777</v>
      </c>
      <c r="C212" s="3">
        <v>41778</v>
      </c>
      <c r="D212" s="2" t="s">
        <v>21</v>
      </c>
      <c r="E212" s="2" t="s">
        <v>750</v>
      </c>
      <c r="F212" s="2" t="s">
        <v>751</v>
      </c>
      <c r="G212" s="2" t="s">
        <v>24</v>
      </c>
      <c r="H212" s="2" t="s">
        <v>25</v>
      </c>
      <c r="I212" s="2" t="s">
        <v>752</v>
      </c>
      <c r="J212" s="2" t="s">
        <v>753</v>
      </c>
      <c r="K212" s="2" t="s">
        <v>147</v>
      </c>
      <c r="L212" s="2" t="s">
        <v>113</v>
      </c>
      <c r="M212" s="2" t="s">
        <v>30</v>
      </c>
      <c r="N212" s="2" t="s">
        <v>31</v>
      </c>
      <c r="O212" s="2" t="s">
        <v>114</v>
      </c>
      <c r="P212" s="4">
        <v>257.38170000000002</v>
      </c>
      <c r="Q212" s="4">
        <v>4</v>
      </c>
      <c r="R212" s="4">
        <v>103.5523</v>
      </c>
      <c r="S212" s="2" t="s">
        <v>33</v>
      </c>
      <c r="T212" s="2" t="s">
        <v>122</v>
      </c>
    </row>
    <row r="213" spans="1:20" x14ac:dyDescent="0.25">
      <c r="A213" s="2" t="s">
        <v>749</v>
      </c>
      <c r="B213" s="3">
        <v>41777</v>
      </c>
      <c r="C213" s="3">
        <v>41778</v>
      </c>
      <c r="D213" s="2" t="s">
        <v>21</v>
      </c>
      <c r="E213" s="2" t="s">
        <v>750</v>
      </c>
      <c r="F213" s="2" t="s">
        <v>751</v>
      </c>
      <c r="G213" s="2" t="s">
        <v>24</v>
      </c>
      <c r="H213" s="2" t="s">
        <v>25</v>
      </c>
      <c r="I213" s="2" t="s">
        <v>752</v>
      </c>
      <c r="J213" s="2" t="s">
        <v>753</v>
      </c>
      <c r="K213" s="2" t="s">
        <v>147</v>
      </c>
      <c r="L213" s="2" t="s">
        <v>316</v>
      </c>
      <c r="M213" s="2" t="s">
        <v>30</v>
      </c>
      <c r="N213" s="2" t="s">
        <v>42</v>
      </c>
      <c r="O213" s="2" t="s">
        <v>317</v>
      </c>
      <c r="P213" s="4">
        <v>471.16910000000001</v>
      </c>
      <c r="Q213" s="4">
        <v>1</v>
      </c>
      <c r="R213" s="4">
        <v>112.6499</v>
      </c>
      <c r="S213" s="2" t="s">
        <v>33</v>
      </c>
      <c r="T213" s="2" t="s">
        <v>122</v>
      </c>
    </row>
    <row r="214" spans="1:20" x14ac:dyDescent="0.25">
      <c r="A214" s="2" t="s">
        <v>754</v>
      </c>
      <c r="B214" s="3">
        <v>42317</v>
      </c>
      <c r="C214" s="3">
        <v>42323</v>
      </c>
      <c r="D214" s="2" t="s">
        <v>55</v>
      </c>
      <c r="E214" s="2" t="s">
        <v>755</v>
      </c>
      <c r="F214" s="2" t="s">
        <v>756</v>
      </c>
      <c r="G214" s="2" t="s">
        <v>58</v>
      </c>
      <c r="H214" s="2" t="s">
        <v>25</v>
      </c>
      <c r="I214" s="2" t="s">
        <v>338</v>
      </c>
      <c r="J214" s="2" t="s">
        <v>339</v>
      </c>
      <c r="K214" s="2" t="s">
        <v>82</v>
      </c>
      <c r="L214" s="2" t="s">
        <v>207</v>
      </c>
      <c r="M214" s="2" t="s">
        <v>30</v>
      </c>
      <c r="N214" s="2" t="s">
        <v>31</v>
      </c>
      <c r="O214" s="2" t="s">
        <v>208</v>
      </c>
      <c r="P214" s="4">
        <v>57.066699999999997</v>
      </c>
      <c r="Q214" s="4">
        <v>6</v>
      </c>
      <c r="R214" s="4">
        <v>29.0442</v>
      </c>
      <c r="S214" s="2" t="s">
        <v>65</v>
      </c>
      <c r="T214" s="2" t="s">
        <v>93</v>
      </c>
    </row>
    <row r="215" spans="1:20" x14ac:dyDescent="0.25">
      <c r="A215" s="2" t="s">
        <v>757</v>
      </c>
      <c r="B215" s="3">
        <v>42560</v>
      </c>
      <c r="C215" s="3">
        <v>42560</v>
      </c>
      <c r="D215" s="2" t="s">
        <v>21</v>
      </c>
      <c r="E215" s="2" t="s">
        <v>758</v>
      </c>
      <c r="F215" s="2" t="s">
        <v>759</v>
      </c>
      <c r="G215" s="2" t="s">
        <v>58</v>
      </c>
      <c r="H215" s="2" t="s">
        <v>25</v>
      </c>
      <c r="I215" s="2" t="s">
        <v>760</v>
      </c>
      <c r="J215" s="2" t="s">
        <v>112</v>
      </c>
      <c r="K215" s="2" t="s">
        <v>28</v>
      </c>
      <c r="L215" s="2" t="s">
        <v>113</v>
      </c>
      <c r="M215" s="2" t="s">
        <v>30</v>
      </c>
      <c r="N215" s="2" t="s">
        <v>31</v>
      </c>
      <c r="O215" s="2" t="s">
        <v>114</v>
      </c>
      <c r="P215" s="4">
        <v>24.508700000000001</v>
      </c>
      <c r="Q215" s="4">
        <v>2</v>
      </c>
      <c r="R215" s="4">
        <v>-14.7881</v>
      </c>
      <c r="S215" s="2" t="s">
        <v>121</v>
      </c>
      <c r="T215" s="2" t="s">
        <v>86</v>
      </c>
    </row>
    <row r="216" spans="1:20" x14ac:dyDescent="0.25">
      <c r="A216" s="2" t="s">
        <v>761</v>
      </c>
      <c r="B216" s="3">
        <v>42022</v>
      </c>
      <c r="C216" s="3">
        <v>42024</v>
      </c>
      <c r="D216" s="2" t="s">
        <v>48</v>
      </c>
      <c r="E216" s="2" t="s">
        <v>762</v>
      </c>
      <c r="F216" s="2" t="s">
        <v>763</v>
      </c>
      <c r="G216" s="2" t="s">
        <v>58</v>
      </c>
      <c r="H216" s="2" t="s">
        <v>25</v>
      </c>
      <c r="I216" s="2" t="s">
        <v>293</v>
      </c>
      <c r="J216" s="2" t="s">
        <v>260</v>
      </c>
      <c r="K216" s="2" t="s">
        <v>147</v>
      </c>
      <c r="L216" s="2" t="s">
        <v>193</v>
      </c>
      <c r="M216" s="2" t="s">
        <v>30</v>
      </c>
      <c r="N216" s="2" t="s">
        <v>42</v>
      </c>
      <c r="O216" s="2" t="s">
        <v>194</v>
      </c>
      <c r="P216" s="4">
        <v>253.2054</v>
      </c>
      <c r="Q216" s="4">
        <v>7</v>
      </c>
      <c r="R216" s="4">
        <v>-39.148200000000003</v>
      </c>
      <c r="S216" s="2" t="s">
        <v>53</v>
      </c>
      <c r="T216" s="2" t="s">
        <v>115</v>
      </c>
    </row>
    <row r="217" spans="1:20" x14ac:dyDescent="0.25">
      <c r="A217" s="2" t="s">
        <v>761</v>
      </c>
      <c r="B217" s="3">
        <v>42022</v>
      </c>
      <c r="C217" s="3">
        <v>42024</v>
      </c>
      <c r="D217" s="2" t="s">
        <v>48</v>
      </c>
      <c r="E217" s="2" t="s">
        <v>762</v>
      </c>
      <c r="F217" s="2" t="s">
        <v>763</v>
      </c>
      <c r="G217" s="2" t="s">
        <v>58</v>
      </c>
      <c r="H217" s="2" t="s">
        <v>25</v>
      </c>
      <c r="I217" s="2" t="s">
        <v>293</v>
      </c>
      <c r="J217" s="2" t="s">
        <v>260</v>
      </c>
      <c r="K217" s="2" t="s">
        <v>147</v>
      </c>
      <c r="L217" s="2" t="s">
        <v>29</v>
      </c>
      <c r="M217" s="2" t="s">
        <v>30</v>
      </c>
      <c r="N217" s="2" t="s">
        <v>31</v>
      </c>
      <c r="O217" s="2" t="s">
        <v>32</v>
      </c>
      <c r="P217" s="4">
        <v>125.1397</v>
      </c>
      <c r="Q217" s="4">
        <v>3</v>
      </c>
      <c r="R217" s="4">
        <v>-12.4434</v>
      </c>
      <c r="S217" s="2" t="s">
        <v>53</v>
      </c>
      <c r="T217" s="2" t="s">
        <v>115</v>
      </c>
    </row>
    <row r="218" spans="1:20" x14ac:dyDescent="0.25">
      <c r="A218" s="2" t="s">
        <v>761</v>
      </c>
      <c r="B218" s="3">
        <v>42022</v>
      </c>
      <c r="C218" s="3">
        <v>42024</v>
      </c>
      <c r="D218" s="2" t="s">
        <v>48</v>
      </c>
      <c r="E218" s="2" t="s">
        <v>762</v>
      </c>
      <c r="F218" s="2" t="s">
        <v>763</v>
      </c>
      <c r="G218" s="2" t="s">
        <v>58</v>
      </c>
      <c r="H218" s="2" t="s">
        <v>25</v>
      </c>
      <c r="I218" s="2" t="s">
        <v>293</v>
      </c>
      <c r="J218" s="2" t="s">
        <v>260</v>
      </c>
      <c r="K218" s="2" t="s">
        <v>147</v>
      </c>
      <c r="L218" s="2" t="s">
        <v>245</v>
      </c>
      <c r="M218" s="2" t="s">
        <v>30</v>
      </c>
      <c r="N218" s="2" t="s">
        <v>42</v>
      </c>
      <c r="O218" s="2" t="s">
        <v>246</v>
      </c>
      <c r="P218" s="4">
        <v>157.27680000000001</v>
      </c>
      <c r="Q218" s="4">
        <v>2</v>
      </c>
      <c r="R218" s="4">
        <v>-69.373699999999999</v>
      </c>
      <c r="S218" s="2" t="s">
        <v>53</v>
      </c>
      <c r="T218" s="2" t="s">
        <v>115</v>
      </c>
    </row>
    <row r="219" spans="1:20" x14ac:dyDescent="0.25">
      <c r="A219" s="2" t="s">
        <v>764</v>
      </c>
      <c r="B219" s="3">
        <v>42577</v>
      </c>
      <c r="C219" s="3">
        <v>42579</v>
      </c>
      <c r="D219" s="2" t="s">
        <v>21</v>
      </c>
      <c r="E219" s="2" t="s">
        <v>765</v>
      </c>
      <c r="F219" s="2" t="s">
        <v>766</v>
      </c>
      <c r="G219" s="2" t="s">
        <v>38</v>
      </c>
      <c r="H219" s="2" t="s">
        <v>25</v>
      </c>
      <c r="I219" s="2" t="s">
        <v>533</v>
      </c>
      <c r="J219" s="2" t="s">
        <v>72</v>
      </c>
      <c r="K219" s="2" t="s">
        <v>61</v>
      </c>
      <c r="L219" s="2" t="s">
        <v>316</v>
      </c>
      <c r="M219" s="2" t="s">
        <v>30</v>
      </c>
      <c r="N219" s="2" t="s">
        <v>42</v>
      </c>
      <c r="O219" s="2" t="s">
        <v>317</v>
      </c>
      <c r="P219" s="4">
        <v>132.25729999999999</v>
      </c>
      <c r="Q219" s="4">
        <v>2</v>
      </c>
      <c r="R219" s="4">
        <v>35.088999999999999</v>
      </c>
      <c r="S219" s="2" t="s">
        <v>53</v>
      </c>
      <c r="T219" s="2" t="s">
        <v>86</v>
      </c>
    </row>
    <row r="220" spans="1:20" x14ac:dyDescent="0.25">
      <c r="A220" s="2" t="s">
        <v>767</v>
      </c>
      <c r="B220" s="3">
        <v>42404</v>
      </c>
      <c r="C220" s="3">
        <v>42411</v>
      </c>
      <c r="D220" s="2" t="s">
        <v>55</v>
      </c>
      <c r="E220" s="2" t="s">
        <v>768</v>
      </c>
      <c r="F220" s="2" t="s">
        <v>769</v>
      </c>
      <c r="G220" s="2" t="s">
        <v>58</v>
      </c>
      <c r="H220" s="2" t="s">
        <v>25</v>
      </c>
      <c r="I220" s="2" t="s">
        <v>441</v>
      </c>
      <c r="J220" s="2" t="s">
        <v>40</v>
      </c>
      <c r="K220" s="2" t="s">
        <v>28</v>
      </c>
      <c r="L220" s="2" t="s">
        <v>235</v>
      </c>
      <c r="M220" s="2" t="s">
        <v>30</v>
      </c>
      <c r="N220" s="2" t="s">
        <v>31</v>
      </c>
      <c r="O220" s="2" t="s">
        <v>236</v>
      </c>
      <c r="P220" s="4">
        <v>154.4522</v>
      </c>
      <c r="Q220" s="4">
        <v>3</v>
      </c>
      <c r="R220" s="4">
        <v>128.9547</v>
      </c>
      <c r="S220" s="2" t="s">
        <v>107</v>
      </c>
      <c r="T220" s="2" t="s">
        <v>101</v>
      </c>
    </row>
    <row r="221" spans="1:20" x14ac:dyDescent="0.25">
      <c r="A221" s="2" t="s">
        <v>770</v>
      </c>
      <c r="B221" s="3">
        <v>41994</v>
      </c>
      <c r="C221" s="3">
        <v>41996</v>
      </c>
      <c r="D221" s="2" t="s">
        <v>21</v>
      </c>
      <c r="E221" s="2" t="s">
        <v>771</v>
      </c>
      <c r="F221" s="2" t="s">
        <v>772</v>
      </c>
      <c r="G221" s="2" t="s">
        <v>58</v>
      </c>
      <c r="H221" s="2" t="s">
        <v>25</v>
      </c>
      <c r="I221" s="2" t="s">
        <v>773</v>
      </c>
      <c r="J221" s="2" t="s">
        <v>322</v>
      </c>
      <c r="K221" s="2" t="s">
        <v>28</v>
      </c>
      <c r="L221" s="2" t="s">
        <v>333</v>
      </c>
      <c r="M221" s="2" t="s">
        <v>30</v>
      </c>
      <c r="N221" s="2" t="s">
        <v>162</v>
      </c>
      <c r="O221" s="2" t="s">
        <v>334</v>
      </c>
      <c r="P221" s="4">
        <v>276.41699999999997</v>
      </c>
      <c r="Q221" s="4">
        <v>6</v>
      </c>
      <c r="R221" s="4">
        <v>128.58279999999999</v>
      </c>
      <c r="S221" s="2" t="s">
        <v>53</v>
      </c>
      <c r="T221" s="2" t="s">
        <v>76</v>
      </c>
    </row>
    <row r="222" spans="1:20" x14ac:dyDescent="0.25">
      <c r="A222" s="2" t="s">
        <v>770</v>
      </c>
      <c r="B222" s="3">
        <v>41994</v>
      </c>
      <c r="C222" s="3">
        <v>41996</v>
      </c>
      <c r="D222" s="2" t="s">
        <v>21</v>
      </c>
      <c r="E222" s="2" t="s">
        <v>771</v>
      </c>
      <c r="F222" s="2" t="s">
        <v>772</v>
      </c>
      <c r="G222" s="2" t="s">
        <v>58</v>
      </c>
      <c r="H222" s="2" t="s">
        <v>25</v>
      </c>
      <c r="I222" s="2" t="s">
        <v>773</v>
      </c>
      <c r="J222" s="2" t="s">
        <v>322</v>
      </c>
      <c r="K222" s="2" t="s">
        <v>28</v>
      </c>
      <c r="L222" s="2" t="s">
        <v>113</v>
      </c>
      <c r="M222" s="2" t="s">
        <v>30</v>
      </c>
      <c r="N222" s="2" t="s">
        <v>31</v>
      </c>
      <c r="O222" s="2" t="s">
        <v>114</v>
      </c>
      <c r="P222" s="4">
        <v>25.776499999999999</v>
      </c>
      <c r="Q222" s="4">
        <v>2</v>
      </c>
      <c r="R222" s="4">
        <v>7.9550000000000001</v>
      </c>
      <c r="S222" s="2" t="s">
        <v>53</v>
      </c>
      <c r="T222" s="2" t="s">
        <v>76</v>
      </c>
    </row>
    <row r="223" spans="1:20" x14ac:dyDescent="0.25">
      <c r="A223" s="2" t="s">
        <v>770</v>
      </c>
      <c r="B223" s="3">
        <v>41994</v>
      </c>
      <c r="C223" s="3">
        <v>41996</v>
      </c>
      <c r="D223" s="2" t="s">
        <v>21</v>
      </c>
      <c r="E223" s="2" t="s">
        <v>771</v>
      </c>
      <c r="F223" s="2" t="s">
        <v>772</v>
      </c>
      <c r="G223" s="2" t="s">
        <v>58</v>
      </c>
      <c r="H223" s="2" t="s">
        <v>25</v>
      </c>
      <c r="I223" s="2" t="s">
        <v>773</v>
      </c>
      <c r="J223" s="2" t="s">
        <v>322</v>
      </c>
      <c r="K223" s="2" t="s">
        <v>28</v>
      </c>
      <c r="L223" s="2" t="s">
        <v>200</v>
      </c>
      <c r="M223" s="2" t="s">
        <v>30</v>
      </c>
      <c r="N223" s="2" t="s">
        <v>162</v>
      </c>
      <c r="O223" s="2" t="s">
        <v>201</v>
      </c>
      <c r="P223" s="4">
        <v>285.65649999999999</v>
      </c>
      <c r="Q223" s="4">
        <v>2</v>
      </c>
      <c r="R223" s="4">
        <v>-40.894300000000001</v>
      </c>
      <c r="S223" s="2" t="s">
        <v>53</v>
      </c>
      <c r="T223" s="2" t="s">
        <v>76</v>
      </c>
    </row>
    <row r="224" spans="1:20" x14ac:dyDescent="0.25">
      <c r="A224" s="2" t="s">
        <v>774</v>
      </c>
      <c r="B224" s="3">
        <v>42477</v>
      </c>
      <c r="C224" s="3">
        <v>42477</v>
      </c>
      <c r="D224" s="2" t="s">
        <v>55</v>
      </c>
      <c r="E224" s="2" t="s">
        <v>214</v>
      </c>
      <c r="F224" s="2" t="s">
        <v>215</v>
      </c>
      <c r="G224" s="2" t="s">
        <v>38</v>
      </c>
      <c r="H224" s="2" t="s">
        <v>25</v>
      </c>
      <c r="I224" s="2" t="s">
        <v>97</v>
      </c>
      <c r="J224" s="2" t="s">
        <v>98</v>
      </c>
      <c r="K224" s="2" t="s">
        <v>82</v>
      </c>
      <c r="L224" s="2" t="s">
        <v>41</v>
      </c>
      <c r="M224" s="2" t="s">
        <v>30</v>
      </c>
      <c r="N224" s="2" t="s">
        <v>42</v>
      </c>
      <c r="O224" s="2" t="s">
        <v>43</v>
      </c>
      <c r="P224" s="4">
        <v>1242.423</v>
      </c>
      <c r="Q224" s="4">
        <v>2</v>
      </c>
      <c r="R224" s="4">
        <v>215.90459999999999</v>
      </c>
      <c r="S224" s="2" t="s">
        <v>121</v>
      </c>
      <c r="T224" s="2" t="s">
        <v>108</v>
      </c>
    </row>
    <row r="225" spans="1:20" x14ac:dyDescent="0.25">
      <c r="A225" s="2" t="s">
        <v>775</v>
      </c>
      <c r="B225" s="3">
        <v>42202</v>
      </c>
      <c r="C225" s="3">
        <v>42205</v>
      </c>
      <c r="D225" s="2" t="s">
        <v>21</v>
      </c>
      <c r="E225" s="2" t="s">
        <v>654</v>
      </c>
      <c r="F225" s="2" t="s">
        <v>655</v>
      </c>
      <c r="G225" s="2" t="s">
        <v>58</v>
      </c>
      <c r="H225" s="2" t="s">
        <v>25</v>
      </c>
      <c r="I225" s="2" t="s">
        <v>137</v>
      </c>
      <c r="J225" s="2" t="s">
        <v>138</v>
      </c>
      <c r="K225" s="2" t="s">
        <v>82</v>
      </c>
      <c r="L225" s="2" t="s">
        <v>73</v>
      </c>
      <c r="M225" s="2" t="s">
        <v>30</v>
      </c>
      <c r="N225" s="2" t="s">
        <v>42</v>
      </c>
      <c r="O225" s="2" t="s">
        <v>74</v>
      </c>
      <c r="P225" s="4">
        <v>268.5333</v>
      </c>
      <c r="Q225" s="4">
        <v>2</v>
      </c>
      <c r="R225" s="4">
        <v>-29.264099999999999</v>
      </c>
      <c r="S225" s="2" t="s">
        <v>92</v>
      </c>
      <c r="T225" s="2" t="s">
        <v>86</v>
      </c>
    </row>
    <row r="226" spans="1:20" x14ac:dyDescent="0.25">
      <c r="A226" s="2" t="s">
        <v>776</v>
      </c>
      <c r="B226" s="3">
        <v>42188</v>
      </c>
      <c r="C226" s="3">
        <v>42194</v>
      </c>
      <c r="D226" s="2" t="s">
        <v>55</v>
      </c>
      <c r="E226" s="2" t="s">
        <v>777</v>
      </c>
      <c r="F226" s="2" t="s">
        <v>778</v>
      </c>
      <c r="G226" s="2" t="s">
        <v>24</v>
      </c>
      <c r="H226" s="2" t="s">
        <v>25</v>
      </c>
      <c r="I226" s="2" t="s">
        <v>779</v>
      </c>
      <c r="J226" s="2" t="s">
        <v>356</v>
      </c>
      <c r="K226" s="2" t="s">
        <v>147</v>
      </c>
      <c r="L226" s="2" t="s">
        <v>207</v>
      </c>
      <c r="M226" s="2" t="s">
        <v>30</v>
      </c>
      <c r="N226" s="2" t="s">
        <v>31</v>
      </c>
      <c r="O226" s="2" t="s">
        <v>208</v>
      </c>
      <c r="P226" s="4">
        <v>287.58589999999998</v>
      </c>
      <c r="Q226" s="4">
        <v>8</v>
      </c>
      <c r="R226" s="4">
        <v>9.5592000000000006</v>
      </c>
      <c r="S226" s="2" t="s">
        <v>65</v>
      </c>
      <c r="T226" s="2" t="s">
        <v>86</v>
      </c>
    </row>
    <row r="227" spans="1:20" x14ac:dyDescent="0.25">
      <c r="A227" s="2" t="s">
        <v>780</v>
      </c>
      <c r="B227" s="3">
        <v>42249</v>
      </c>
      <c r="C227" s="3">
        <v>42250</v>
      </c>
      <c r="D227" s="2" t="s">
        <v>21</v>
      </c>
      <c r="E227" s="2" t="s">
        <v>781</v>
      </c>
      <c r="F227" s="2" t="s">
        <v>782</v>
      </c>
      <c r="G227" s="2" t="s">
        <v>58</v>
      </c>
      <c r="H227" s="2" t="s">
        <v>25</v>
      </c>
      <c r="I227" s="2" t="s">
        <v>212</v>
      </c>
      <c r="J227" s="2" t="s">
        <v>185</v>
      </c>
      <c r="K227" s="2" t="s">
        <v>147</v>
      </c>
      <c r="L227" s="2" t="s">
        <v>218</v>
      </c>
      <c r="M227" s="2" t="s">
        <v>30</v>
      </c>
      <c r="N227" s="2" t="s">
        <v>31</v>
      </c>
      <c r="O227" s="2" t="s">
        <v>219</v>
      </c>
      <c r="P227" s="4">
        <v>99.264799999999994</v>
      </c>
      <c r="Q227" s="4">
        <v>4</v>
      </c>
      <c r="R227" s="4">
        <v>46.364899999999999</v>
      </c>
      <c r="S227" s="2" t="s">
        <v>33</v>
      </c>
      <c r="T227" s="2" t="s">
        <v>148</v>
      </c>
    </row>
    <row r="228" spans="1:20" x14ac:dyDescent="0.25">
      <c r="A228" s="2" t="s">
        <v>783</v>
      </c>
      <c r="B228" s="3">
        <v>42358</v>
      </c>
      <c r="C228" s="3">
        <v>42360</v>
      </c>
      <c r="D228" s="2" t="s">
        <v>48</v>
      </c>
      <c r="E228" s="2" t="s">
        <v>784</v>
      </c>
      <c r="F228" s="2" t="s">
        <v>785</v>
      </c>
      <c r="G228" s="2" t="s">
        <v>38</v>
      </c>
      <c r="H228" s="2" t="s">
        <v>25</v>
      </c>
      <c r="I228" s="2" t="s">
        <v>26</v>
      </c>
      <c r="J228" s="2" t="s">
        <v>27</v>
      </c>
      <c r="K228" s="2" t="s">
        <v>28</v>
      </c>
      <c r="L228" s="2" t="s">
        <v>453</v>
      </c>
      <c r="M228" s="2" t="s">
        <v>30</v>
      </c>
      <c r="N228" s="2" t="s">
        <v>42</v>
      </c>
      <c r="O228" s="2" t="s">
        <v>454</v>
      </c>
      <c r="P228" s="4">
        <v>318.34070000000003</v>
      </c>
      <c r="Q228" s="4">
        <v>2</v>
      </c>
      <c r="R228" s="4">
        <v>101.7758</v>
      </c>
      <c r="S228" s="2" t="s">
        <v>53</v>
      </c>
      <c r="T228" s="2" t="s">
        <v>76</v>
      </c>
    </row>
    <row r="229" spans="1:20" x14ac:dyDescent="0.25">
      <c r="A229" s="2" t="s">
        <v>786</v>
      </c>
      <c r="B229" s="3">
        <v>41984</v>
      </c>
      <c r="C229" s="3">
        <v>41984</v>
      </c>
      <c r="D229" s="2" t="s">
        <v>48</v>
      </c>
      <c r="E229" s="2" t="s">
        <v>787</v>
      </c>
      <c r="F229" s="2" t="s">
        <v>788</v>
      </c>
      <c r="G229" s="2" t="s">
        <v>58</v>
      </c>
      <c r="H229" s="2" t="s">
        <v>25</v>
      </c>
      <c r="I229" s="2" t="s">
        <v>539</v>
      </c>
      <c r="J229" s="2" t="s">
        <v>91</v>
      </c>
      <c r="K229" s="2" t="s">
        <v>61</v>
      </c>
      <c r="L229" s="2" t="s">
        <v>174</v>
      </c>
      <c r="M229" s="2" t="s">
        <v>30</v>
      </c>
      <c r="N229" s="2" t="s">
        <v>31</v>
      </c>
      <c r="O229" s="2" t="s">
        <v>175</v>
      </c>
      <c r="P229" s="4">
        <v>18.247699999999998</v>
      </c>
      <c r="Q229" s="4">
        <v>2</v>
      </c>
      <c r="R229" s="4">
        <v>2.5459000000000001</v>
      </c>
      <c r="S229" s="2" t="s">
        <v>121</v>
      </c>
      <c r="T229" s="2" t="s">
        <v>76</v>
      </c>
    </row>
    <row r="230" spans="1:20" x14ac:dyDescent="0.25">
      <c r="A230" s="2" t="s">
        <v>786</v>
      </c>
      <c r="B230" s="3">
        <v>41984</v>
      </c>
      <c r="C230" s="3">
        <v>41984</v>
      </c>
      <c r="D230" s="2" t="s">
        <v>48</v>
      </c>
      <c r="E230" s="2" t="s">
        <v>787</v>
      </c>
      <c r="F230" s="2" t="s">
        <v>788</v>
      </c>
      <c r="G230" s="2" t="s">
        <v>58</v>
      </c>
      <c r="H230" s="2" t="s">
        <v>25</v>
      </c>
      <c r="I230" s="2" t="s">
        <v>539</v>
      </c>
      <c r="J230" s="2" t="s">
        <v>91</v>
      </c>
      <c r="K230" s="2" t="s">
        <v>61</v>
      </c>
      <c r="L230" s="2" t="s">
        <v>235</v>
      </c>
      <c r="M230" s="2" t="s">
        <v>30</v>
      </c>
      <c r="N230" s="2" t="s">
        <v>31</v>
      </c>
      <c r="O230" s="2" t="s">
        <v>236</v>
      </c>
      <c r="P230" s="4">
        <v>29.4314</v>
      </c>
      <c r="Q230" s="4">
        <v>4</v>
      </c>
      <c r="R230" s="4">
        <v>-26.554300000000001</v>
      </c>
      <c r="S230" s="2" t="s">
        <v>121</v>
      </c>
      <c r="T230" s="2" t="s">
        <v>76</v>
      </c>
    </row>
    <row r="231" spans="1:20" x14ac:dyDescent="0.25">
      <c r="A231" s="2" t="s">
        <v>786</v>
      </c>
      <c r="B231" s="3">
        <v>41984</v>
      </c>
      <c r="C231" s="3">
        <v>41984</v>
      </c>
      <c r="D231" s="2" t="s">
        <v>48</v>
      </c>
      <c r="E231" s="2" t="s">
        <v>787</v>
      </c>
      <c r="F231" s="2" t="s">
        <v>788</v>
      </c>
      <c r="G231" s="2" t="s">
        <v>58</v>
      </c>
      <c r="H231" s="2" t="s">
        <v>25</v>
      </c>
      <c r="I231" s="2" t="s">
        <v>539</v>
      </c>
      <c r="J231" s="2" t="s">
        <v>91</v>
      </c>
      <c r="K231" s="2" t="s">
        <v>61</v>
      </c>
      <c r="L231" s="2" t="s">
        <v>316</v>
      </c>
      <c r="M231" s="2" t="s">
        <v>30</v>
      </c>
      <c r="N231" s="2" t="s">
        <v>42</v>
      </c>
      <c r="O231" s="2" t="s">
        <v>317</v>
      </c>
      <c r="P231" s="4">
        <v>176.2955</v>
      </c>
      <c r="Q231" s="4">
        <v>6</v>
      </c>
      <c r="R231" s="4">
        <v>30.613099999999999</v>
      </c>
      <c r="S231" s="2" t="s">
        <v>121</v>
      </c>
      <c r="T231" s="2" t="s">
        <v>76</v>
      </c>
    </row>
    <row r="232" spans="1:20" x14ac:dyDescent="0.25">
      <c r="A232" s="2" t="s">
        <v>789</v>
      </c>
      <c r="B232" s="3">
        <v>42151</v>
      </c>
      <c r="C232" s="3">
        <v>42155</v>
      </c>
      <c r="D232" s="2" t="s">
        <v>55</v>
      </c>
      <c r="E232" s="2" t="s">
        <v>341</v>
      </c>
      <c r="F232" s="2" t="s">
        <v>342</v>
      </c>
      <c r="G232" s="2" t="s">
        <v>24</v>
      </c>
      <c r="H232" s="2" t="s">
        <v>25</v>
      </c>
      <c r="I232" s="2" t="s">
        <v>97</v>
      </c>
      <c r="J232" s="2" t="s">
        <v>98</v>
      </c>
      <c r="K232" s="2" t="s">
        <v>82</v>
      </c>
      <c r="L232" s="2" t="s">
        <v>73</v>
      </c>
      <c r="M232" s="2" t="s">
        <v>30</v>
      </c>
      <c r="N232" s="2" t="s">
        <v>42</v>
      </c>
      <c r="O232" s="2" t="s">
        <v>74</v>
      </c>
      <c r="P232" s="4">
        <v>661.96450000000004</v>
      </c>
      <c r="Q232" s="4">
        <v>8</v>
      </c>
      <c r="R232" s="4">
        <v>96.518500000000003</v>
      </c>
      <c r="S232" s="2" t="s">
        <v>75</v>
      </c>
      <c r="T232" s="2" t="s">
        <v>122</v>
      </c>
    </row>
    <row r="233" spans="1:20" x14ac:dyDescent="0.25">
      <c r="A233" s="2" t="s">
        <v>790</v>
      </c>
      <c r="B233" s="3">
        <v>42937</v>
      </c>
      <c r="C233" s="3">
        <v>42937</v>
      </c>
      <c r="D233" s="2" t="s">
        <v>142</v>
      </c>
      <c r="E233" s="2" t="s">
        <v>791</v>
      </c>
      <c r="F233" s="2" t="s">
        <v>792</v>
      </c>
      <c r="G233" s="2" t="s">
        <v>38</v>
      </c>
      <c r="H233" s="2" t="s">
        <v>25</v>
      </c>
      <c r="I233" s="2" t="s">
        <v>505</v>
      </c>
      <c r="J233" s="2" t="s">
        <v>244</v>
      </c>
      <c r="K233" s="2" t="s">
        <v>61</v>
      </c>
      <c r="L233" s="2" t="s">
        <v>793</v>
      </c>
      <c r="M233" s="2" t="s">
        <v>30</v>
      </c>
      <c r="N233" s="2" t="s">
        <v>63</v>
      </c>
      <c r="O233" s="2" t="s">
        <v>794</v>
      </c>
      <c r="P233" s="4">
        <v>420.85390000000001</v>
      </c>
      <c r="Q233" s="4">
        <v>5</v>
      </c>
      <c r="R233" s="4">
        <v>44.164099999999998</v>
      </c>
      <c r="S233" s="2" t="s">
        <v>121</v>
      </c>
      <c r="T233" s="2" t="s">
        <v>86</v>
      </c>
    </row>
    <row r="234" spans="1:20" x14ac:dyDescent="0.25">
      <c r="A234" s="2" t="s">
        <v>795</v>
      </c>
      <c r="B234" s="3">
        <v>41830</v>
      </c>
      <c r="C234" s="3">
        <v>41836</v>
      </c>
      <c r="D234" s="2" t="s">
        <v>55</v>
      </c>
      <c r="E234" s="2" t="s">
        <v>182</v>
      </c>
      <c r="F234" s="2" t="s">
        <v>183</v>
      </c>
      <c r="G234" s="2" t="s">
        <v>38</v>
      </c>
      <c r="H234" s="2" t="s">
        <v>25</v>
      </c>
      <c r="I234" s="2" t="s">
        <v>59</v>
      </c>
      <c r="J234" s="2" t="s">
        <v>60</v>
      </c>
      <c r="K234" s="2" t="s">
        <v>61</v>
      </c>
      <c r="L234" s="2" t="s">
        <v>283</v>
      </c>
      <c r="M234" s="2" t="s">
        <v>30</v>
      </c>
      <c r="N234" s="2" t="s">
        <v>162</v>
      </c>
      <c r="O234" s="2" t="s">
        <v>284</v>
      </c>
      <c r="P234" s="4">
        <v>908.25300000000004</v>
      </c>
      <c r="Q234" s="4">
        <v>4</v>
      </c>
      <c r="R234" s="4">
        <v>233.32749999999999</v>
      </c>
      <c r="S234" s="2" t="s">
        <v>65</v>
      </c>
      <c r="T234" s="2" t="s">
        <v>86</v>
      </c>
    </row>
    <row r="235" spans="1:20" x14ac:dyDescent="0.25">
      <c r="A235" s="2" t="s">
        <v>795</v>
      </c>
      <c r="B235" s="3">
        <v>41830</v>
      </c>
      <c r="C235" s="3">
        <v>41836</v>
      </c>
      <c r="D235" s="2" t="s">
        <v>55</v>
      </c>
      <c r="E235" s="2" t="s">
        <v>182</v>
      </c>
      <c r="F235" s="2" t="s">
        <v>183</v>
      </c>
      <c r="G235" s="2" t="s">
        <v>38</v>
      </c>
      <c r="H235" s="2" t="s">
        <v>25</v>
      </c>
      <c r="I235" s="2" t="s">
        <v>59</v>
      </c>
      <c r="J235" s="2" t="s">
        <v>60</v>
      </c>
      <c r="K235" s="2" t="s">
        <v>61</v>
      </c>
      <c r="L235" s="2" t="s">
        <v>186</v>
      </c>
      <c r="M235" s="2" t="s">
        <v>30</v>
      </c>
      <c r="N235" s="2" t="s">
        <v>31</v>
      </c>
      <c r="O235" s="2" t="s">
        <v>187</v>
      </c>
      <c r="P235" s="4">
        <v>282.60879999999997</v>
      </c>
      <c r="Q235" s="4">
        <v>2</v>
      </c>
      <c r="R235" s="4">
        <v>80.873800000000003</v>
      </c>
      <c r="S235" s="2" t="s">
        <v>65</v>
      </c>
      <c r="T235" s="2" t="s">
        <v>86</v>
      </c>
    </row>
    <row r="236" spans="1:20" x14ac:dyDescent="0.25">
      <c r="A236" s="2" t="s">
        <v>796</v>
      </c>
      <c r="B236" s="3">
        <v>42760</v>
      </c>
      <c r="C236" s="3">
        <v>42767</v>
      </c>
      <c r="D236" s="2" t="s">
        <v>55</v>
      </c>
      <c r="E236" s="2" t="s">
        <v>797</v>
      </c>
      <c r="F236" s="2" t="s">
        <v>798</v>
      </c>
      <c r="G236" s="2" t="s">
        <v>24</v>
      </c>
      <c r="H236" s="2" t="s">
        <v>25</v>
      </c>
      <c r="I236" s="2" t="s">
        <v>799</v>
      </c>
      <c r="J236" s="2" t="s">
        <v>160</v>
      </c>
      <c r="K236" s="2" t="s">
        <v>61</v>
      </c>
      <c r="L236" s="2" t="s">
        <v>323</v>
      </c>
      <c r="M236" s="2" t="s">
        <v>30</v>
      </c>
      <c r="N236" s="2" t="s">
        <v>31</v>
      </c>
      <c r="O236" s="2" t="s">
        <v>324</v>
      </c>
      <c r="P236" s="4">
        <v>43.333799999999997</v>
      </c>
      <c r="Q236" s="4">
        <v>3</v>
      </c>
      <c r="R236" s="4">
        <v>-2.8107000000000002</v>
      </c>
      <c r="S236" s="2" t="s">
        <v>107</v>
      </c>
      <c r="T236" s="2" t="s">
        <v>115</v>
      </c>
    </row>
    <row r="237" spans="1:20" x14ac:dyDescent="0.25">
      <c r="A237" s="2" t="s">
        <v>800</v>
      </c>
      <c r="B237" s="3">
        <v>42543</v>
      </c>
      <c r="C237" s="3">
        <v>42544</v>
      </c>
      <c r="D237" s="2" t="s">
        <v>48</v>
      </c>
      <c r="E237" s="2" t="s">
        <v>801</v>
      </c>
      <c r="F237" s="2" t="s">
        <v>802</v>
      </c>
      <c r="G237" s="2" t="s">
        <v>24</v>
      </c>
      <c r="H237" s="2" t="s">
        <v>25</v>
      </c>
      <c r="I237" s="2" t="s">
        <v>437</v>
      </c>
      <c r="J237" s="2" t="s">
        <v>217</v>
      </c>
      <c r="K237" s="2" t="s">
        <v>82</v>
      </c>
      <c r="L237" s="2" t="s">
        <v>131</v>
      </c>
      <c r="M237" s="2" t="s">
        <v>30</v>
      </c>
      <c r="N237" s="2" t="s">
        <v>31</v>
      </c>
      <c r="O237" s="2" t="s">
        <v>132</v>
      </c>
      <c r="P237" s="4">
        <v>89.992400000000004</v>
      </c>
      <c r="Q237" s="4">
        <v>4</v>
      </c>
      <c r="R237" s="4">
        <v>23.589099999999998</v>
      </c>
      <c r="S237" s="2" t="s">
        <v>33</v>
      </c>
      <c r="T237" s="2" t="s">
        <v>133</v>
      </c>
    </row>
    <row r="238" spans="1:20" x14ac:dyDescent="0.25">
      <c r="A238" s="2" t="s">
        <v>803</v>
      </c>
      <c r="B238" s="3">
        <v>41831</v>
      </c>
      <c r="C238" s="3">
        <v>41832</v>
      </c>
      <c r="D238" s="2" t="s">
        <v>21</v>
      </c>
      <c r="E238" s="2" t="s">
        <v>451</v>
      </c>
      <c r="F238" s="2" t="s">
        <v>452</v>
      </c>
      <c r="G238" s="2" t="s">
        <v>58</v>
      </c>
      <c r="H238" s="2" t="s">
        <v>25</v>
      </c>
      <c r="I238" s="2" t="s">
        <v>605</v>
      </c>
      <c r="J238" s="2" t="s">
        <v>424</v>
      </c>
      <c r="K238" s="2" t="s">
        <v>28</v>
      </c>
      <c r="L238" s="2" t="s">
        <v>415</v>
      </c>
      <c r="M238" s="2" t="s">
        <v>30</v>
      </c>
      <c r="N238" s="2" t="s">
        <v>63</v>
      </c>
      <c r="O238" s="2" t="s">
        <v>416</v>
      </c>
      <c r="P238" s="4">
        <v>376.24700000000001</v>
      </c>
      <c r="Q238" s="4">
        <v>3</v>
      </c>
      <c r="R238" s="4">
        <v>79.409700000000001</v>
      </c>
      <c r="S238" s="2" t="s">
        <v>33</v>
      </c>
      <c r="T238" s="2" t="s">
        <v>86</v>
      </c>
    </row>
    <row r="239" spans="1:20" x14ac:dyDescent="0.25">
      <c r="A239" s="2" t="s">
        <v>804</v>
      </c>
      <c r="B239" s="3">
        <v>41642</v>
      </c>
      <c r="C239" s="3">
        <v>41647</v>
      </c>
      <c r="D239" s="2" t="s">
        <v>55</v>
      </c>
      <c r="E239" s="2" t="s">
        <v>603</v>
      </c>
      <c r="F239" s="2" t="s">
        <v>604</v>
      </c>
      <c r="G239" s="2" t="s">
        <v>58</v>
      </c>
      <c r="H239" s="2" t="s">
        <v>25</v>
      </c>
      <c r="I239" s="2" t="s">
        <v>805</v>
      </c>
      <c r="J239" s="2" t="s">
        <v>806</v>
      </c>
      <c r="K239" s="2" t="s">
        <v>28</v>
      </c>
      <c r="L239" s="2" t="s">
        <v>45</v>
      </c>
      <c r="M239" s="2" t="s">
        <v>30</v>
      </c>
      <c r="N239" s="2" t="s">
        <v>31</v>
      </c>
      <c r="O239" s="2" t="s">
        <v>46</v>
      </c>
      <c r="P239" s="4">
        <v>11.74</v>
      </c>
      <c r="Q239" s="4">
        <v>7</v>
      </c>
      <c r="R239" s="4">
        <v>2.4195000000000002</v>
      </c>
      <c r="S239" s="2" t="s">
        <v>85</v>
      </c>
      <c r="T239" s="2" t="s">
        <v>115</v>
      </c>
    </row>
    <row r="240" spans="1:20" x14ac:dyDescent="0.25">
      <c r="A240" s="2" t="s">
        <v>807</v>
      </c>
      <c r="B240" s="3">
        <v>43061</v>
      </c>
      <c r="C240" s="3">
        <v>43066</v>
      </c>
      <c r="D240" s="2" t="s">
        <v>55</v>
      </c>
      <c r="E240" s="2" t="s">
        <v>808</v>
      </c>
      <c r="F240" s="2" t="s">
        <v>809</v>
      </c>
      <c r="G240" s="2" t="s">
        <v>58</v>
      </c>
      <c r="H240" s="2" t="s">
        <v>25</v>
      </c>
      <c r="I240" s="2" t="s">
        <v>126</v>
      </c>
      <c r="J240" s="2" t="s">
        <v>127</v>
      </c>
      <c r="K240" s="2" t="s">
        <v>82</v>
      </c>
      <c r="L240" s="2" t="s">
        <v>316</v>
      </c>
      <c r="M240" s="2" t="s">
        <v>30</v>
      </c>
      <c r="N240" s="2" t="s">
        <v>42</v>
      </c>
      <c r="O240" s="2" t="s">
        <v>317</v>
      </c>
      <c r="P240" s="4">
        <v>457.8467</v>
      </c>
      <c r="Q240" s="4">
        <v>7</v>
      </c>
      <c r="R240" s="4">
        <v>186.53819999999999</v>
      </c>
      <c r="S240" s="2" t="s">
        <v>85</v>
      </c>
      <c r="T240" s="2" t="s">
        <v>93</v>
      </c>
    </row>
    <row r="241" spans="1:20" x14ac:dyDescent="0.25">
      <c r="A241" s="2" t="s">
        <v>807</v>
      </c>
      <c r="B241" s="3">
        <v>43061</v>
      </c>
      <c r="C241" s="3">
        <v>43066</v>
      </c>
      <c r="D241" s="2" t="s">
        <v>55</v>
      </c>
      <c r="E241" s="2" t="s">
        <v>808</v>
      </c>
      <c r="F241" s="2" t="s">
        <v>809</v>
      </c>
      <c r="G241" s="2" t="s">
        <v>58</v>
      </c>
      <c r="H241" s="2" t="s">
        <v>25</v>
      </c>
      <c r="I241" s="2" t="s">
        <v>126</v>
      </c>
      <c r="J241" s="2" t="s">
        <v>127</v>
      </c>
      <c r="K241" s="2" t="s">
        <v>82</v>
      </c>
      <c r="L241" s="2" t="s">
        <v>235</v>
      </c>
      <c r="M241" s="2" t="s">
        <v>30</v>
      </c>
      <c r="N241" s="2" t="s">
        <v>31</v>
      </c>
      <c r="O241" s="2" t="s">
        <v>236</v>
      </c>
      <c r="P241" s="4">
        <v>10.6152</v>
      </c>
      <c r="Q241" s="4">
        <v>3</v>
      </c>
      <c r="R241" s="4">
        <v>2.8083</v>
      </c>
      <c r="S241" s="2" t="s">
        <v>85</v>
      </c>
      <c r="T241" s="2" t="s">
        <v>93</v>
      </c>
    </row>
    <row r="242" spans="1:20" x14ac:dyDescent="0.25">
      <c r="A242" s="2" t="s">
        <v>810</v>
      </c>
      <c r="B242" s="3">
        <v>41932</v>
      </c>
      <c r="C242" s="3">
        <v>41933</v>
      </c>
      <c r="D242" s="2" t="s">
        <v>21</v>
      </c>
      <c r="E242" s="2" t="s">
        <v>811</v>
      </c>
      <c r="F242" s="2" t="s">
        <v>812</v>
      </c>
      <c r="G242" s="2" t="s">
        <v>38</v>
      </c>
      <c r="H242" s="2" t="s">
        <v>25</v>
      </c>
      <c r="I242" s="2" t="s">
        <v>309</v>
      </c>
      <c r="J242" s="2" t="s">
        <v>310</v>
      </c>
      <c r="K242" s="2" t="s">
        <v>28</v>
      </c>
      <c r="L242" s="2" t="s">
        <v>66</v>
      </c>
      <c r="M242" s="2" t="s">
        <v>30</v>
      </c>
      <c r="N242" s="2" t="s">
        <v>31</v>
      </c>
      <c r="O242" s="2" t="s">
        <v>67</v>
      </c>
      <c r="P242" s="4">
        <v>170.4537</v>
      </c>
      <c r="Q242" s="4">
        <v>2</v>
      </c>
      <c r="R242" s="4">
        <v>-68.349800000000002</v>
      </c>
      <c r="S242" s="2" t="s">
        <v>33</v>
      </c>
      <c r="T242" s="2" t="s">
        <v>224</v>
      </c>
    </row>
    <row r="243" spans="1:20" x14ac:dyDescent="0.25">
      <c r="A243" s="2" t="s">
        <v>810</v>
      </c>
      <c r="B243" s="3">
        <v>41932</v>
      </c>
      <c r="C243" s="3">
        <v>41933</v>
      </c>
      <c r="D243" s="2" t="s">
        <v>21</v>
      </c>
      <c r="E243" s="2" t="s">
        <v>811</v>
      </c>
      <c r="F243" s="2" t="s">
        <v>812</v>
      </c>
      <c r="G243" s="2" t="s">
        <v>38</v>
      </c>
      <c r="H243" s="2" t="s">
        <v>25</v>
      </c>
      <c r="I243" s="2" t="s">
        <v>309</v>
      </c>
      <c r="J243" s="2" t="s">
        <v>310</v>
      </c>
      <c r="K243" s="2" t="s">
        <v>28</v>
      </c>
      <c r="L243" s="2" t="s">
        <v>252</v>
      </c>
      <c r="M243" s="2" t="s">
        <v>30</v>
      </c>
      <c r="N243" s="2" t="s">
        <v>31</v>
      </c>
      <c r="O243" s="2" t="s">
        <v>253</v>
      </c>
      <c r="P243" s="4">
        <v>151.19540000000001</v>
      </c>
      <c r="Q243" s="4">
        <v>2</v>
      </c>
      <c r="R243" s="4">
        <v>27.2667</v>
      </c>
      <c r="S243" s="2" t="s">
        <v>33</v>
      </c>
      <c r="T243" s="2" t="s">
        <v>224</v>
      </c>
    </row>
    <row r="244" spans="1:20" x14ac:dyDescent="0.25">
      <c r="A244" s="2" t="s">
        <v>813</v>
      </c>
      <c r="B244" s="3">
        <v>41845</v>
      </c>
      <c r="C244" s="3">
        <v>41847</v>
      </c>
      <c r="D244" s="2" t="s">
        <v>55</v>
      </c>
      <c r="E244" s="2" t="s">
        <v>814</v>
      </c>
      <c r="F244" s="2" t="s">
        <v>815</v>
      </c>
      <c r="G244" s="2" t="s">
        <v>38</v>
      </c>
      <c r="H244" s="2" t="s">
        <v>25</v>
      </c>
      <c r="I244" s="2" t="s">
        <v>223</v>
      </c>
      <c r="J244" s="2" t="s">
        <v>81</v>
      </c>
      <c r="K244" s="2" t="s">
        <v>82</v>
      </c>
      <c r="L244" s="2" t="s">
        <v>207</v>
      </c>
      <c r="M244" s="2" t="s">
        <v>30</v>
      </c>
      <c r="N244" s="2" t="s">
        <v>31</v>
      </c>
      <c r="O244" s="2" t="s">
        <v>208</v>
      </c>
      <c r="P244" s="4">
        <v>28.119499999999999</v>
      </c>
      <c r="Q244" s="4">
        <v>4</v>
      </c>
      <c r="R244" s="4">
        <v>2.8875000000000002</v>
      </c>
      <c r="S244" s="2" t="s">
        <v>53</v>
      </c>
      <c r="T244" s="2" t="s">
        <v>86</v>
      </c>
    </row>
    <row r="245" spans="1:20" x14ac:dyDescent="0.25">
      <c r="A245" s="2" t="s">
        <v>816</v>
      </c>
      <c r="B245" s="3">
        <v>42773</v>
      </c>
      <c r="C245" s="3">
        <v>42774</v>
      </c>
      <c r="D245" s="2" t="s">
        <v>21</v>
      </c>
      <c r="E245" s="2" t="s">
        <v>817</v>
      </c>
      <c r="F245" s="2" t="s">
        <v>818</v>
      </c>
      <c r="G245" s="2" t="s">
        <v>24</v>
      </c>
      <c r="H245" s="2" t="s">
        <v>25</v>
      </c>
      <c r="I245" s="2" t="s">
        <v>482</v>
      </c>
      <c r="J245" s="2" t="s">
        <v>120</v>
      </c>
      <c r="K245" s="2" t="s">
        <v>61</v>
      </c>
      <c r="L245" s="2" t="s">
        <v>41</v>
      </c>
      <c r="M245" s="2" t="s">
        <v>30</v>
      </c>
      <c r="N245" s="2" t="s">
        <v>42</v>
      </c>
      <c r="O245" s="2" t="s">
        <v>43</v>
      </c>
      <c r="P245" s="4">
        <v>65.305700000000002</v>
      </c>
      <c r="Q245" s="4">
        <v>5</v>
      </c>
      <c r="R245" s="4">
        <v>24.334099999999999</v>
      </c>
      <c r="S245" s="2" t="s">
        <v>33</v>
      </c>
      <c r="T245" s="2" t="s">
        <v>101</v>
      </c>
    </row>
    <row r="246" spans="1:20" x14ac:dyDescent="0.25">
      <c r="A246" s="2" t="s">
        <v>819</v>
      </c>
      <c r="B246" s="3">
        <v>42130</v>
      </c>
      <c r="C246" s="3">
        <v>42130</v>
      </c>
      <c r="D246" s="2" t="s">
        <v>55</v>
      </c>
      <c r="E246" s="2" t="s">
        <v>489</v>
      </c>
      <c r="F246" s="2" t="s">
        <v>490</v>
      </c>
      <c r="G246" s="2" t="s">
        <v>58</v>
      </c>
      <c r="H246" s="2" t="s">
        <v>25</v>
      </c>
      <c r="I246" s="2" t="s">
        <v>338</v>
      </c>
      <c r="J246" s="2" t="s">
        <v>339</v>
      </c>
      <c r="K246" s="2" t="s">
        <v>82</v>
      </c>
      <c r="L246" s="2" t="s">
        <v>323</v>
      </c>
      <c r="M246" s="2" t="s">
        <v>30</v>
      </c>
      <c r="N246" s="2" t="s">
        <v>31</v>
      </c>
      <c r="O246" s="2" t="s">
        <v>324</v>
      </c>
      <c r="P246" s="4">
        <v>10.539099999999999</v>
      </c>
      <c r="Q246" s="4">
        <v>1</v>
      </c>
      <c r="R246" s="4">
        <v>3.5474000000000001</v>
      </c>
      <c r="S246" s="2" t="s">
        <v>121</v>
      </c>
      <c r="T246" s="2" t="s">
        <v>122</v>
      </c>
    </row>
    <row r="247" spans="1:20" x14ac:dyDescent="0.25">
      <c r="A247" s="2" t="s">
        <v>819</v>
      </c>
      <c r="B247" s="3">
        <v>42130</v>
      </c>
      <c r="C247" s="3">
        <v>42130</v>
      </c>
      <c r="D247" s="2" t="s">
        <v>55</v>
      </c>
      <c r="E247" s="2" t="s">
        <v>489</v>
      </c>
      <c r="F247" s="2" t="s">
        <v>490</v>
      </c>
      <c r="G247" s="2" t="s">
        <v>58</v>
      </c>
      <c r="H247" s="2" t="s">
        <v>25</v>
      </c>
      <c r="I247" s="2" t="s">
        <v>338</v>
      </c>
      <c r="J247" s="2" t="s">
        <v>339</v>
      </c>
      <c r="K247" s="2" t="s">
        <v>82</v>
      </c>
      <c r="L247" s="2" t="s">
        <v>344</v>
      </c>
      <c r="M247" s="2" t="s">
        <v>30</v>
      </c>
      <c r="N247" s="2" t="s">
        <v>42</v>
      </c>
      <c r="O247" s="2" t="s">
        <v>345</v>
      </c>
      <c r="P247" s="4">
        <v>858.81650000000002</v>
      </c>
      <c r="Q247" s="4">
        <v>6</v>
      </c>
      <c r="R247" s="4">
        <v>373.45359999999999</v>
      </c>
      <c r="S247" s="2" t="s">
        <v>121</v>
      </c>
      <c r="T247" s="2" t="s">
        <v>122</v>
      </c>
    </row>
    <row r="248" spans="1:20" x14ac:dyDescent="0.25">
      <c r="A248" s="2" t="s">
        <v>819</v>
      </c>
      <c r="B248" s="3">
        <v>42130</v>
      </c>
      <c r="C248" s="3">
        <v>42130</v>
      </c>
      <c r="D248" s="2" t="s">
        <v>55</v>
      </c>
      <c r="E248" s="2" t="s">
        <v>489</v>
      </c>
      <c r="F248" s="2" t="s">
        <v>490</v>
      </c>
      <c r="G248" s="2" t="s">
        <v>58</v>
      </c>
      <c r="H248" s="2" t="s">
        <v>25</v>
      </c>
      <c r="I248" s="2" t="s">
        <v>338</v>
      </c>
      <c r="J248" s="2" t="s">
        <v>339</v>
      </c>
      <c r="K248" s="2" t="s">
        <v>82</v>
      </c>
      <c r="L248" s="2" t="s">
        <v>820</v>
      </c>
      <c r="M248" s="2" t="s">
        <v>30</v>
      </c>
      <c r="N248" s="2" t="s">
        <v>162</v>
      </c>
      <c r="O248" s="2" t="s">
        <v>821</v>
      </c>
      <c r="P248" s="4">
        <v>792.39200000000005</v>
      </c>
      <c r="Q248" s="4">
        <v>3</v>
      </c>
      <c r="R248" s="4">
        <v>-398.78579999999999</v>
      </c>
      <c r="S248" s="2" t="s">
        <v>121</v>
      </c>
      <c r="T248" s="2" t="s">
        <v>122</v>
      </c>
    </row>
    <row r="249" spans="1:20" x14ac:dyDescent="0.25">
      <c r="A249" s="2" t="s">
        <v>822</v>
      </c>
      <c r="B249" s="3">
        <v>43038</v>
      </c>
      <c r="C249" s="3">
        <v>43041</v>
      </c>
      <c r="D249" s="2" t="s">
        <v>55</v>
      </c>
      <c r="E249" s="2" t="s">
        <v>823</v>
      </c>
      <c r="F249" s="2" t="s">
        <v>824</v>
      </c>
      <c r="G249" s="2" t="s">
        <v>24</v>
      </c>
      <c r="H249" s="2" t="s">
        <v>25</v>
      </c>
      <c r="I249" s="2" t="s">
        <v>825</v>
      </c>
      <c r="J249" s="2" t="s">
        <v>753</v>
      </c>
      <c r="K249" s="2" t="s">
        <v>147</v>
      </c>
      <c r="L249" s="2" t="s">
        <v>719</v>
      </c>
      <c r="M249" s="2" t="s">
        <v>30</v>
      </c>
      <c r="N249" s="2" t="s">
        <v>63</v>
      </c>
      <c r="O249" s="2" t="s">
        <v>720</v>
      </c>
      <c r="P249" s="4">
        <v>1584.9072000000001</v>
      </c>
      <c r="Q249" s="4">
        <v>5</v>
      </c>
      <c r="R249" s="4">
        <v>-152.31190000000001</v>
      </c>
      <c r="S249" s="2" t="s">
        <v>92</v>
      </c>
      <c r="T249" s="2" t="s">
        <v>224</v>
      </c>
    </row>
    <row r="250" spans="1:20" x14ac:dyDescent="0.25">
      <c r="A250" s="2" t="s">
        <v>826</v>
      </c>
      <c r="B250" s="3">
        <v>42677</v>
      </c>
      <c r="C250" s="3">
        <v>42679</v>
      </c>
      <c r="D250" s="2" t="s">
        <v>55</v>
      </c>
      <c r="E250" s="2" t="s">
        <v>827</v>
      </c>
      <c r="F250" s="2" t="s">
        <v>828</v>
      </c>
      <c r="G250" s="2" t="s">
        <v>38</v>
      </c>
      <c r="H250" s="2" t="s">
        <v>25</v>
      </c>
      <c r="I250" s="2" t="s">
        <v>829</v>
      </c>
      <c r="J250" s="2" t="s">
        <v>199</v>
      </c>
      <c r="K250" s="2" t="s">
        <v>82</v>
      </c>
      <c r="L250" s="2" t="s">
        <v>453</v>
      </c>
      <c r="M250" s="2" t="s">
        <v>30</v>
      </c>
      <c r="N250" s="2" t="s">
        <v>42</v>
      </c>
      <c r="O250" s="2" t="s">
        <v>454</v>
      </c>
      <c r="P250" s="4">
        <v>127.37309999999999</v>
      </c>
      <c r="Q250" s="4">
        <v>7</v>
      </c>
      <c r="R250" s="4">
        <v>27.701799999999999</v>
      </c>
      <c r="S250" s="2" t="s">
        <v>53</v>
      </c>
      <c r="T250" s="2" t="s">
        <v>93</v>
      </c>
    </row>
    <row r="251" spans="1:20" x14ac:dyDescent="0.25">
      <c r="A251" s="2" t="s">
        <v>830</v>
      </c>
      <c r="B251" s="3">
        <v>42056</v>
      </c>
      <c r="C251" s="3">
        <v>42059</v>
      </c>
      <c r="D251" s="2" t="s">
        <v>55</v>
      </c>
      <c r="E251" s="2" t="s">
        <v>831</v>
      </c>
      <c r="F251" s="2" t="s">
        <v>832</v>
      </c>
      <c r="G251" s="2" t="s">
        <v>58</v>
      </c>
      <c r="H251" s="2" t="s">
        <v>25</v>
      </c>
      <c r="I251" s="2" t="s">
        <v>293</v>
      </c>
      <c r="J251" s="2" t="s">
        <v>260</v>
      </c>
      <c r="K251" s="2" t="s">
        <v>147</v>
      </c>
      <c r="L251" s="2" t="s">
        <v>719</v>
      </c>
      <c r="M251" s="2" t="s">
        <v>30</v>
      </c>
      <c r="N251" s="2" t="s">
        <v>63</v>
      </c>
      <c r="O251" s="2" t="s">
        <v>720</v>
      </c>
      <c r="P251" s="4">
        <v>303.34339999999997</v>
      </c>
      <c r="Q251" s="4">
        <v>4</v>
      </c>
      <c r="R251" s="4">
        <v>-31.431899999999999</v>
      </c>
      <c r="S251" s="2" t="s">
        <v>92</v>
      </c>
      <c r="T251" s="2" t="s">
        <v>101</v>
      </c>
    </row>
    <row r="252" spans="1:20" x14ac:dyDescent="0.25">
      <c r="A252" s="2" t="s">
        <v>833</v>
      </c>
      <c r="B252" s="3">
        <v>41877</v>
      </c>
      <c r="C252" s="3">
        <v>41878</v>
      </c>
      <c r="D252" s="2" t="s">
        <v>21</v>
      </c>
      <c r="E252" s="2" t="s">
        <v>519</v>
      </c>
      <c r="F252" s="2" t="s">
        <v>520</v>
      </c>
      <c r="G252" s="2" t="s">
        <v>38</v>
      </c>
      <c r="H252" s="2" t="s">
        <v>25</v>
      </c>
      <c r="I252" s="2" t="s">
        <v>159</v>
      </c>
      <c r="J252" s="2" t="s">
        <v>160</v>
      </c>
      <c r="K252" s="2" t="s">
        <v>61</v>
      </c>
      <c r="L252" s="2" t="s">
        <v>218</v>
      </c>
      <c r="M252" s="2" t="s">
        <v>30</v>
      </c>
      <c r="N252" s="2" t="s">
        <v>31</v>
      </c>
      <c r="O252" s="2" t="s">
        <v>219</v>
      </c>
      <c r="P252" s="4">
        <v>97.739099999999993</v>
      </c>
      <c r="Q252" s="4">
        <v>4</v>
      </c>
      <c r="R252" s="4">
        <v>-13.8116</v>
      </c>
      <c r="S252" s="2" t="s">
        <v>33</v>
      </c>
      <c r="T252" s="2" t="s">
        <v>34</v>
      </c>
    </row>
    <row r="253" spans="1:20" x14ac:dyDescent="0.25">
      <c r="A253" s="2" t="s">
        <v>834</v>
      </c>
      <c r="B253" s="3">
        <v>41663</v>
      </c>
      <c r="C253" s="3">
        <v>41667</v>
      </c>
      <c r="D253" s="2" t="s">
        <v>55</v>
      </c>
      <c r="E253" s="2" t="s">
        <v>835</v>
      </c>
      <c r="F253" s="2" t="s">
        <v>836</v>
      </c>
      <c r="G253" s="2" t="s">
        <v>24</v>
      </c>
      <c r="H253" s="2" t="s">
        <v>25</v>
      </c>
      <c r="I253" s="2" t="s">
        <v>531</v>
      </c>
      <c r="J253" s="2" t="s">
        <v>435</v>
      </c>
      <c r="K253" s="2" t="s">
        <v>61</v>
      </c>
      <c r="L253" s="2" t="s">
        <v>41</v>
      </c>
      <c r="M253" s="2" t="s">
        <v>30</v>
      </c>
      <c r="N253" s="2" t="s">
        <v>42</v>
      </c>
      <c r="O253" s="2" t="s">
        <v>43</v>
      </c>
      <c r="P253" s="4">
        <v>487.60019999999997</v>
      </c>
      <c r="Q253" s="4">
        <v>6</v>
      </c>
      <c r="R253" s="4">
        <v>104.19</v>
      </c>
      <c r="S253" s="2" t="s">
        <v>75</v>
      </c>
      <c r="T253" s="2" t="s">
        <v>115</v>
      </c>
    </row>
    <row r="254" spans="1:20" x14ac:dyDescent="0.25">
      <c r="A254" s="2" t="s">
        <v>837</v>
      </c>
      <c r="B254" s="3">
        <v>42326</v>
      </c>
      <c r="C254" s="3">
        <v>42331</v>
      </c>
      <c r="D254" s="2" t="s">
        <v>55</v>
      </c>
      <c r="E254" s="2" t="s">
        <v>172</v>
      </c>
      <c r="F254" s="2" t="s">
        <v>173</v>
      </c>
      <c r="G254" s="2" t="s">
        <v>38</v>
      </c>
      <c r="H254" s="2" t="s">
        <v>25</v>
      </c>
      <c r="I254" s="2" t="s">
        <v>533</v>
      </c>
      <c r="J254" s="2" t="s">
        <v>72</v>
      </c>
      <c r="K254" s="2" t="s">
        <v>61</v>
      </c>
      <c r="L254" s="2" t="s">
        <v>323</v>
      </c>
      <c r="M254" s="2" t="s">
        <v>30</v>
      </c>
      <c r="N254" s="2" t="s">
        <v>31</v>
      </c>
      <c r="O254" s="2" t="s">
        <v>324</v>
      </c>
      <c r="P254" s="4">
        <v>24.6999</v>
      </c>
      <c r="Q254" s="4">
        <v>8</v>
      </c>
      <c r="R254" s="4">
        <v>-1.9822</v>
      </c>
      <c r="S254" s="2" t="s">
        <v>85</v>
      </c>
      <c r="T254" s="2" t="s">
        <v>93</v>
      </c>
    </row>
    <row r="255" spans="1:20" x14ac:dyDescent="0.25">
      <c r="A255" s="2" t="s">
        <v>838</v>
      </c>
      <c r="B255" s="3">
        <v>42393</v>
      </c>
      <c r="C255" s="3">
        <v>42393</v>
      </c>
      <c r="D255" s="2" t="s">
        <v>55</v>
      </c>
      <c r="E255" s="2" t="s">
        <v>657</v>
      </c>
      <c r="F255" s="2" t="s">
        <v>658</v>
      </c>
      <c r="G255" s="2" t="s">
        <v>38</v>
      </c>
      <c r="H255" s="2" t="s">
        <v>25</v>
      </c>
      <c r="I255" s="2" t="s">
        <v>250</v>
      </c>
      <c r="J255" s="2" t="s">
        <v>251</v>
      </c>
      <c r="K255" s="2" t="s">
        <v>147</v>
      </c>
      <c r="L255" s="2" t="s">
        <v>839</v>
      </c>
      <c r="M255" s="2" t="s">
        <v>30</v>
      </c>
      <c r="N255" s="2" t="s">
        <v>63</v>
      </c>
      <c r="O255" s="2" t="s">
        <v>840</v>
      </c>
      <c r="P255" s="4">
        <v>307.72059999999999</v>
      </c>
      <c r="Q255" s="4">
        <v>1</v>
      </c>
      <c r="R255" s="4">
        <v>46.3748</v>
      </c>
      <c r="S255" s="2" t="s">
        <v>121</v>
      </c>
      <c r="T255" s="2" t="s">
        <v>115</v>
      </c>
    </row>
    <row r="256" spans="1:20" x14ac:dyDescent="0.25">
      <c r="A256" s="2" t="s">
        <v>838</v>
      </c>
      <c r="B256" s="3">
        <v>42393</v>
      </c>
      <c r="C256" s="3">
        <v>42393</v>
      </c>
      <c r="D256" s="2" t="s">
        <v>55</v>
      </c>
      <c r="E256" s="2" t="s">
        <v>657</v>
      </c>
      <c r="F256" s="2" t="s">
        <v>658</v>
      </c>
      <c r="G256" s="2" t="s">
        <v>38</v>
      </c>
      <c r="H256" s="2" t="s">
        <v>25</v>
      </c>
      <c r="I256" s="2" t="s">
        <v>250</v>
      </c>
      <c r="J256" s="2" t="s">
        <v>251</v>
      </c>
      <c r="K256" s="2" t="s">
        <v>147</v>
      </c>
      <c r="L256" s="2" t="s">
        <v>372</v>
      </c>
      <c r="M256" s="2" t="s">
        <v>30</v>
      </c>
      <c r="N256" s="2" t="s">
        <v>162</v>
      </c>
      <c r="O256" s="2" t="s">
        <v>373</v>
      </c>
      <c r="P256" s="4">
        <v>329.1096</v>
      </c>
      <c r="Q256" s="4">
        <v>1</v>
      </c>
      <c r="R256" s="4">
        <v>-47.665599999999998</v>
      </c>
      <c r="S256" s="2" t="s">
        <v>121</v>
      </c>
      <c r="T256" s="2" t="s">
        <v>115</v>
      </c>
    </row>
    <row r="257" spans="1:20" x14ac:dyDescent="0.25">
      <c r="A257" s="2" t="s">
        <v>841</v>
      </c>
      <c r="B257" s="3">
        <v>41947</v>
      </c>
      <c r="C257" s="3">
        <v>41952</v>
      </c>
      <c r="D257" s="2" t="s">
        <v>55</v>
      </c>
      <c r="E257" s="2" t="s">
        <v>842</v>
      </c>
      <c r="F257" s="2" t="s">
        <v>843</v>
      </c>
      <c r="G257" s="2" t="s">
        <v>38</v>
      </c>
      <c r="H257" s="2" t="s">
        <v>25</v>
      </c>
      <c r="I257" s="2" t="s">
        <v>216</v>
      </c>
      <c r="J257" s="2" t="s">
        <v>217</v>
      </c>
      <c r="K257" s="2" t="s">
        <v>82</v>
      </c>
      <c r="L257" s="2" t="s">
        <v>62</v>
      </c>
      <c r="M257" s="2" t="s">
        <v>30</v>
      </c>
      <c r="N257" s="2" t="s">
        <v>63</v>
      </c>
      <c r="O257" s="2" t="s">
        <v>64</v>
      </c>
      <c r="P257" s="4">
        <v>159.10159999999999</v>
      </c>
      <c r="Q257" s="4">
        <v>10</v>
      </c>
      <c r="R257" s="4">
        <v>-30.018799999999999</v>
      </c>
      <c r="S257" s="2" t="s">
        <v>85</v>
      </c>
      <c r="T257" s="2" t="s">
        <v>93</v>
      </c>
    </row>
    <row r="258" spans="1:20" x14ac:dyDescent="0.25">
      <c r="A258" s="2" t="s">
        <v>844</v>
      </c>
      <c r="B258" s="3">
        <v>41884</v>
      </c>
      <c r="C258" s="3">
        <v>41885</v>
      </c>
      <c r="D258" s="2" t="s">
        <v>48</v>
      </c>
      <c r="E258" s="2" t="s">
        <v>845</v>
      </c>
      <c r="F258" s="2" t="s">
        <v>846</v>
      </c>
      <c r="G258" s="2" t="s">
        <v>58</v>
      </c>
      <c r="H258" s="2" t="s">
        <v>25</v>
      </c>
      <c r="I258" s="2" t="s">
        <v>847</v>
      </c>
      <c r="J258" s="2" t="s">
        <v>728</v>
      </c>
      <c r="K258" s="2" t="s">
        <v>147</v>
      </c>
      <c r="L258" s="2" t="s">
        <v>73</v>
      </c>
      <c r="M258" s="2" t="s">
        <v>30</v>
      </c>
      <c r="N258" s="2" t="s">
        <v>42</v>
      </c>
      <c r="O258" s="2" t="s">
        <v>74</v>
      </c>
      <c r="P258" s="4">
        <v>723.2722</v>
      </c>
      <c r="Q258" s="4">
        <v>4</v>
      </c>
      <c r="R258" s="4">
        <v>53.863700000000001</v>
      </c>
      <c r="S258" s="2" t="s">
        <v>33</v>
      </c>
      <c r="T258" s="2" t="s">
        <v>148</v>
      </c>
    </row>
    <row r="259" spans="1:20" x14ac:dyDescent="0.25">
      <c r="A259" s="2" t="s">
        <v>848</v>
      </c>
      <c r="B259" s="3">
        <v>42772</v>
      </c>
      <c r="C259" s="3">
        <v>42773</v>
      </c>
      <c r="D259" s="2" t="s">
        <v>21</v>
      </c>
      <c r="E259" s="2" t="s">
        <v>272</v>
      </c>
      <c r="F259" s="2" t="s">
        <v>273</v>
      </c>
      <c r="G259" s="2" t="s">
        <v>58</v>
      </c>
      <c r="H259" s="2" t="s">
        <v>25</v>
      </c>
      <c r="I259" s="2" t="s">
        <v>270</v>
      </c>
      <c r="J259" s="2" t="s">
        <v>72</v>
      </c>
      <c r="K259" s="2" t="s">
        <v>61</v>
      </c>
      <c r="L259" s="2" t="s">
        <v>66</v>
      </c>
      <c r="M259" s="2" t="s">
        <v>30</v>
      </c>
      <c r="N259" s="2" t="s">
        <v>31</v>
      </c>
      <c r="O259" s="2" t="s">
        <v>67</v>
      </c>
      <c r="P259" s="4">
        <v>27.7469</v>
      </c>
      <c r="Q259" s="4">
        <v>3</v>
      </c>
      <c r="R259" s="4">
        <v>0.58299999999999996</v>
      </c>
      <c r="S259" s="2" t="s">
        <v>33</v>
      </c>
      <c r="T259" s="2" t="s">
        <v>101</v>
      </c>
    </row>
    <row r="260" spans="1:20" x14ac:dyDescent="0.25">
      <c r="A260" s="2" t="s">
        <v>849</v>
      </c>
      <c r="B260" s="3">
        <v>42040</v>
      </c>
      <c r="C260" s="3">
        <v>42040</v>
      </c>
      <c r="D260" s="2" t="s">
        <v>55</v>
      </c>
      <c r="E260" s="2" t="s">
        <v>684</v>
      </c>
      <c r="F260" s="2" t="s">
        <v>685</v>
      </c>
      <c r="G260" s="2" t="s">
        <v>58</v>
      </c>
      <c r="H260" s="2" t="s">
        <v>25</v>
      </c>
      <c r="I260" s="2" t="s">
        <v>501</v>
      </c>
      <c r="J260" s="2" t="s">
        <v>234</v>
      </c>
      <c r="K260" s="2" t="s">
        <v>82</v>
      </c>
      <c r="L260" s="2" t="s">
        <v>311</v>
      </c>
      <c r="M260" s="2" t="s">
        <v>30</v>
      </c>
      <c r="N260" s="2" t="s">
        <v>63</v>
      </c>
      <c r="O260" s="2" t="s">
        <v>312</v>
      </c>
      <c r="P260" s="4">
        <v>310.95659999999998</v>
      </c>
      <c r="Q260" s="4">
        <v>1</v>
      </c>
      <c r="R260" s="4">
        <v>42.9009</v>
      </c>
      <c r="S260" s="2" t="s">
        <v>121</v>
      </c>
      <c r="T260" s="2" t="s">
        <v>101</v>
      </c>
    </row>
    <row r="261" spans="1:20" x14ac:dyDescent="0.25">
      <c r="A261" s="2" t="s">
        <v>849</v>
      </c>
      <c r="B261" s="3">
        <v>42040</v>
      </c>
      <c r="C261" s="3">
        <v>42040</v>
      </c>
      <c r="D261" s="2" t="s">
        <v>55</v>
      </c>
      <c r="E261" s="2" t="s">
        <v>684</v>
      </c>
      <c r="F261" s="2" t="s">
        <v>685</v>
      </c>
      <c r="G261" s="2" t="s">
        <v>58</v>
      </c>
      <c r="H261" s="2" t="s">
        <v>25</v>
      </c>
      <c r="I261" s="2" t="s">
        <v>501</v>
      </c>
      <c r="J261" s="2" t="s">
        <v>234</v>
      </c>
      <c r="K261" s="2" t="s">
        <v>82</v>
      </c>
      <c r="L261" s="2" t="s">
        <v>154</v>
      </c>
      <c r="M261" s="2" t="s">
        <v>30</v>
      </c>
      <c r="N261" s="2" t="s">
        <v>42</v>
      </c>
      <c r="O261" s="2" t="s">
        <v>155</v>
      </c>
      <c r="P261" s="4">
        <v>1690.2719999999999</v>
      </c>
      <c r="Q261" s="4">
        <v>2</v>
      </c>
      <c r="R261" s="4">
        <v>154.0992</v>
      </c>
      <c r="S261" s="2" t="s">
        <v>121</v>
      </c>
      <c r="T261" s="2" t="s">
        <v>101</v>
      </c>
    </row>
    <row r="262" spans="1:20" x14ac:dyDescent="0.25">
      <c r="A262" s="2" t="s">
        <v>849</v>
      </c>
      <c r="B262" s="3">
        <v>42040</v>
      </c>
      <c r="C262" s="3">
        <v>42040</v>
      </c>
      <c r="D262" s="2" t="s">
        <v>55</v>
      </c>
      <c r="E262" s="2" t="s">
        <v>684</v>
      </c>
      <c r="F262" s="2" t="s">
        <v>685</v>
      </c>
      <c r="G262" s="2" t="s">
        <v>58</v>
      </c>
      <c r="H262" s="2" t="s">
        <v>25</v>
      </c>
      <c r="I262" s="2" t="s">
        <v>501</v>
      </c>
      <c r="J262" s="2" t="s">
        <v>234</v>
      </c>
      <c r="K262" s="2" t="s">
        <v>82</v>
      </c>
      <c r="L262" s="2" t="s">
        <v>252</v>
      </c>
      <c r="M262" s="2" t="s">
        <v>30</v>
      </c>
      <c r="N262" s="2" t="s">
        <v>31</v>
      </c>
      <c r="O262" s="2" t="s">
        <v>253</v>
      </c>
      <c r="P262" s="4">
        <v>17.2501</v>
      </c>
      <c r="Q262" s="4">
        <v>3</v>
      </c>
      <c r="R262" s="4">
        <v>7.5670000000000002</v>
      </c>
      <c r="S262" s="2" t="s">
        <v>121</v>
      </c>
      <c r="T262" s="2" t="s">
        <v>101</v>
      </c>
    </row>
    <row r="263" spans="1:20" x14ac:dyDescent="0.25">
      <c r="A263" s="2" t="s">
        <v>850</v>
      </c>
      <c r="B263" s="3">
        <v>42060</v>
      </c>
      <c r="C263" s="3">
        <v>42063</v>
      </c>
      <c r="D263" s="2" t="s">
        <v>55</v>
      </c>
      <c r="E263" s="2" t="s">
        <v>851</v>
      </c>
      <c r="F263" s="2" t="s">
        <v>852</v>
      </c>
      <c r="G263" s="2" t="s">
        <v>58</v>
      </c>
      <c r="H263" s="2" t="s">
        <v>25</v>
      </c>
      <c r="I263" s="2" t="s">
        <v>343</v>
      </c>
      <c r="J263" s="2" t="s">
        <v>153</v>
      </c>
      <c r="K263" s="2" t="s">
        <v>147</v>
      </c>
      <c r="L263" s="2" t="s">
        <v>254</v>
      </c>
      <c r="M263" s="2" t="s">
        <v>30</v>
      </c>
      <c r="N263" s="2" t="s">
        <v>162</v>
      </c>
      <c r="O263" s="2" t="s">
        <v>255</v>
      </c>
      <c r="P263" s="4">
        <v>775.49760000000003</v>
      </c>
      <c r="Q263" s="4">
        <v>2</v>
      </c>
      <c r="R263" s="4">
        <v>-184.02119999999999</v>
      </c>
      <c r="S263" s="2" t="s">
        <v>92</v>
      </c>
      <c r="T263" s="2" t="s">
        <v>101</v>
      </c>
    </row>
    <row r="264" spans="1:20" x14ac:dyDescent="0.25">
      <c r="A264" s="2" t="s">
        <v>850</v>
      </c>
      <c r="B264" s="3">
        <v>42060</v>
      </c>
      <c r="C264" s="3">
        <v>42063</v>
      </c>
      <c r="D264" s="2" t="s">
        <v>55</v>
      </c>
      <c r="E264" s="2" t="s">
        <v>851</v>
      </c>
      <c r="F264" s="2" t="s">
        <v>852</v>
      </c>
      <c r="G264" s="2" t="s">
        <v>58</v>
      </c>
      <c r="H264" s="2" t="s">
        <v>25</v>
      </c>
      <c r="I264" s="2" t="s">
        <v>343</v>
      </c>
      <c r="J264" s="2" t="s">
        <v>153</v>
      </c>
      <c r="K264" s="2" t="s">
        <v>147</v>
      </c>
      <c r="L264" s="2" t="s">
        <v>66</v>
      </c>
      <c r="M264" s="2" t="s">
        <v>30</v>
      </c>
      <c r="N264" s="2" t="s">
        <v>31</v>
      </c>
      <c r="O264" s="2" t="s">
        <v>67</v>
      </c>
      <c r="P264" s="4">
        <v>244.20179999999999</v>
      </c>
      <c r="Q264" s="4">
        <v>5</v>
      </c>
      <c r="R264" s="4">
        <v>167.42330000000001</v>
      </c>
      <c r="S264" s="2" t="s">
        <v>92</v>
      </c>
      <c r="T264" s="2" t="s">
        <v>101</v>
      </c>
    </row>
    <row r="265" spans="1:20" x14ac:dyDescent="0.25">
      <c r="A265" s="2" t="s">
        <v>853</v>
      </c>
      <c r="B265" s="3">
        <v>41813</v>
      </c>
      <c r="C265" s="3">
        <v>41819</v>
      </c>
      <c r="D265" s="2" t="s">
        <v>55</v>
      </c>
      <c r="E265" s="2" t="s">
        <v>854</v>
      </c>
      <c r="F265" s="2" t="s">
        <v>855</v>
      </c>
      <c r="G265" s="2" t="s">
        <v>58</v>
      </c>
      <c r="H265" s="2" t="s">
        <v>25</v>
      </c>
      <c r="I265" s="2" t="s">
        <v>856</v>
      </c>
      <c r="J265" s="2" t="s">
        <v>127</v>
      </c>
      <c r="K265" s="2" t="s">
        <v>82</v>
      </c>
      <c r="L265" s="2" t="s">
        <v>83</v>
      </c>
      <c r="M265" s="2" t="s">
        <v>30</v>
      </c>
      <c r="N265" s="2" t="s">
        <v>42</v>
      </c>
      <c r="O265" s="2" t="s">
        <v>84</v>
      </c>
      <c r="P265" s="4">
        <v>502.22969999999998</v>
      </c>
      <c r="Q265" s="4">
        <v>4</v>
      </c>
      <c r="R265" s="4">
        <v>133.08590000000001</v>
      </c>
      <c r="S265" s="2" t="s">
        <v>65</v>
      </c>
      <c r="T265" s="2" t="s">
        <v>133</v>
      </c>
    </row>
    <row r="266" spans="1:20" x14ac:dyDescent="0.25">
      <c r="A266" s="2" t="s">
        <v>857</v>
      </c>
      <c r="B266" s="3">
        <v>42174</v>
      </c>
      <c r="C266" s="3">
        <v>42175</v>
      </c>
      <c r="D266" s="2" t="s">
        <v>55</v>
      </c>
      <c r="E266" s="2" t="s">
        <v>731</v>
      </c>
      <c r="F266" s="2" t="s">
        <v>732</v>
      </c>
      <c r="G266" s="2" t="s">
        <v>38</v>
      </c>
      <c r="H266" s="2" t="s">
        <v>25</v>
      </c>
      <c r="I266" s="2" t="s">
        <v>505</v>
      </c>
      <c r="J266" s="2" t="s">
        <v>244</v>
      </c>
      <c r="K266" s="2" t="s">
        <v>61</v>
      </c>
      <c r="L266" s="2" t="s">
        <v>344</v>
      </c>
      <c r="M266" s="2" t="s">
        <v>30</v>
      </c>
      <c r="N266" s="2" t="s">
        <v>42</v>
      </c>
      <c r="O266" s="2" t="s">
        <v>345</v>
      </c>
      <c r="P266" s="4">
        <v>905.61389999999994</v>
      </c>
      <c r="Q266" s="4">
        <v>2</v>
      </c>
      <c r="R266" s="4">
        <v>101.3599</v>
      </c>
      <c r="S266" s="2" t="s">
        <v>33</v>
      </c>
      <c r="T266" s="2" t="s">
        <v>133</v>
      </c>
    </row>
    <row r="267" spans="1:20" x14ac:dyDescent="0.25">
      <c r="A267" s="2" t="s">
        <v>857</v>
      </c>
      <c r="B267" s="3">
        <v>42174</v>
      </c>
      <c r="C267" s="3">
        <v>42175</v>
      </c>
      <c r="D267" s="2" t="s">
        <v>55</v>
      </c>
      <c r="E267" s="2" t="s">
        <v>731</v>
      </c>
      <c r="F267" s="2" t="s">
        <v>732</v>
      </c>
      <c r="G267" s="2" t="s">
        <v>38</v>
      </c>
      <c r="H267" s="2" t="s">
        <v>25</v>
      </c>
      <c r="I267" s="2" t="s">
        <v>505</v>
      </c>
      <c r="J267" s="2" t="s">
        <v>244</v>
      </c>
      <c r="K267" s="2" t="s">
        <v>61</v>
      </c>
      <c r="L267" s="2" t="s">
        <v>73</v>
      </c>
      <c r="M267" s="2" t="s">
        <v>30</v>
      </c>
      <c r="N267" s="2" t="s">
        <v>42</v>
      </c>
      <c r="O267" s="2" t="s">
        <v>74</v>
      </c>
      <c r="P267" s="4">
        <v>832.03660000000002</v>
      </c>
      <c r="Q267" s="4">
        <v>3</v>
      </c>
      <c r="R267" s="4">
        <v>363.32139999999998</v>
      </c>
      <c r="S267" s="2" t="s">
        <v>33</v>
      </c>
      <c r="T267" s="2" t="s">
        <v>133</v>
      </c>
    </row>
    <row r="268" spans="1:20" x14ac:dyDescent="0.25">
      <c r="A268" s="2" t="s">
        <v>858</v>
      </c>
      <c r="B268" s="3">
        <v>41976</v>
      </c>
      <c r="C268" s="3">
        <v>41976</v>
      </c>
      <c r="D268" s="2" t="s">
        <v>142</v>
      </c>
      <c r="E268" s="2" t="s">
        <v>859</v>
      </c>
      <c r="F268" s="2" t="s">
        <v>860</v>
      </c>
      <c r="G268" s="2" t="s">
        <v>58</v>
      </c>
      <c r="H268" s="2" t="s">
        <v>25</v>
      </c>
      <c r="I268" s="2" t="s">
        <v>861</v>
      </c>
      <c r="J268" s="2" t="s">
        <v>403</v>
      </c>
      <c r="K268" s="2" t="s">
        <v>147</v>
      </c>
      <c r="L268" s="2" t="s">
        <v>83</v>
      </c>
      <c r="M268" s="2" t="s">
        <v>30</v>
      </c>
      <c r="N268" s="2" t="s">
        <v>42</v>
      </c>
      <c r="O268" s="2" t="s">
        <v>84</v>
      </c>
      <c r="P268" s="4">
        <v>1625.7463</v>
      </c>
      <c r="Q268" s="4">
        <v>4</v>
      </c>
      <c r="R268" s="4">
        <v>-321.12650000000002</v>
      </c>
      <c r="S268" s="2" t="s">
        <v>121</v>
      </c>
      <c r="T268" s="2" t="s">
        <v>76</v>
      </c>
    </row>
    <row r="269" spans="1:20" x14ac:dyDescent="0.25">
      <c r="A269" s="2" t="s">
        <v>862</v>
      </c>
      <c r="B269" s="3">
        <v>41885</v>
      </c>
      <c r="C269" s="3">
        <v>41890</v>
      </c>
      <c r="D269" s="2" t="s">
        <v>55</v>
      </c>
      <c r="E269" s="2" t="s">
        <v>863</v>
      </c>
      <c r="F269" s="2" t="s">
        <v>864</v>
      </c>
      <c r="G269" s="2" t="s">
        <v>38</v>
      </c>
      <c r="H269" s="2" t="s">
        <v>25</v>
      </c>
      <c r="I269" s="2" t="s">
        <v>533</v>
      </c>
      <c r="J269" s="2" t="s">
        <v>72</v>
      </c>
      <c r="K269" s="2" t="s">
        <v>61</v>
      </c>
      <c r="L269" s="2" t="s">
        <v>186</v>
      </c>
      <c r="M269" s="2" t="s">
        <v>30</v>
      </c>
      <c r="N269" s="2" t="s">
        <v>31</v>
      </c>
      <c r="O269" s="2" t="s">
        <v>187</v>
      </c>
      <c r="P269" s="4">
        <v>29.054099999999998</v>
      </c>
      <c r="Q269" s="4">
        <v>4</v>
      </c>
      <c r="R269" s="4">
        <v>13.969099999999999</v>
      </c>
      <c r="S269" s="2" t="s">
        <v>85</v>
      </c>
      <c r="T269" s="2" t="s">
        <v>148</v>
      </c>
    </row>
    <row r="270" spans="1:20" x14ac:dyDescent="0.25">
      <c r="A270" s="2" t="s">
        <v>865</v>
      </c>
      <c r="B270" s="3">
        <v>42451</v>
      </c>
      <c r="C270" s="3">
        <v>42453</v>
      </c>
      <c r="D270" s="2" t="s">
        <v>48</v>
      </c>
      <c r="E270" s="2" t="s">
        <v>866</v>
      </c>
      <c r="F270" s="2" t="s">
        <v>867</v>
      </c>
      <c r="G270" s="2" t="s">
        <v>58</v>
      </c>
      <c r="H270" s="2" t="s">
        <v>25</v>
      </c>
      <c r="I270" s="2" t="s">
        <v>605</v>
      </c>
      <c r="J270" s="2" t="s">
        <v>424</v>
      </c>
      <c r="K270" s="2" t="s">
        <v>28</v>
      </c>
      <c r="L270" s="2" t="s">
        <v>139</v>
      </c>
      <c r="M270" s="2" t="s">
        <v>30</v>
      </c>
      <c r="N270" s="2" t="s">
        <v>42</v>
      </c>
      <c r="O270" s="2" t="s">
        <v>140</v>
      </c>
      <c r="P270" s="4">
        <v>1614.1186</v>
      </c>
      <c r="Q270" s="4">
        <v>4</v>
      </c>
      <c r="R270" s="4">
        <v>-360.77710000000002</v>
      </c>
      <c r="S270" s="2" t="s">
        <v>53</v>
      </c>
      <c r="T270" s="2" t="s">
        <v>44</v>
      </c>
    </row>
    <row r="271" spans="1:20" x14ac:dyDescent="0.25">
      <c r="A271" s="2" t="s">
        <v>868</v>
      </c>
      <c r="B271" s="3">
        <v>41848</v>
      </c>
      <c r="C271" s="3">
        <v>41849</v>
      </c>
      <c r="D271" s="2" t="s">
        <v>48</v>
      </c>
      <c r="E271" s="2" t="s">
        <v>869</v>
      </c>
      <c r="F271" s="2" t="s">
        <v>870</v>
      </c>
      <c r="G271" s="2" t="s">
        <v>58</v>
      </c>
      <c r="H271" s="2" t="s">
        <v>25</v>
      </c>
      <c r="I271" s="2" t="s">
        <v>138</v>
      </c>
      <c r="J271" s="2" t="s">
        <v>407</v>
      </c>
      <c r="K271" s="2" t="s">
        <v>28</v>
      </c>
      <c r="L271" s="2" t="s">
        <v>252</v>
      </c>
      <c r="M271" s="2" t="s">
        <v>30</v>
      </c>
      <c r="N271" s="2" t="s">
        <v>31</v>
      </c>
      <c r="O271" s="2" t="s">
        <v>253</v>
      </c>
      <c r="P271" s="4">
        <v>97.148600000000002</v>
      </c>
      <c r="Q271" s="4">
        <v>2</v>
      </c>
      <c r="R271" s="4">
        <v>19.9619</v>
      </c>
      <c r="S271" s="2" t="s">
        <v>33</v>
      </c>
      <c r="T271" s="2" t="s">
        <v>86</v>
      </c>
    </row>
    <row r="272" spans="1:20" x14ac:dyDescent="0.25">
      <c r="A272" s="2" t="s">
        <v>871</v>
      </c>
      <c r="B272" s="3">
        <v>42832</v>
      </c>
      <c r="C272" s="3">
        <v>42834</v>
      </c>
      <c r="D272" s="2" t="s">
        <v>55</v>
      </c>
      <c r="E272" s="2" t="s">
        <v>872</v>
      </c>
      <c r="F272" s="2" t="s">
        <v>873</v>
      </c>
      <c r="G272" s="2" t="s">
        <v>58</v>
      </c>
      <c r="H272" s="2" t="s">
        <v>25</v>
      </c>
      <c r="I272" s="2" t="s">
        <v>250</v>
      </c>
      <c r="J272" s="2" t="s">
        <v>251</v>
      </c>
      <c r="K272" s="2" t="s">
        <v>147</v>
      </c>
      <c r="L272" s="2" t="s">
        <v>186</v>
      </c>
      <c r="M272" s="2" t="s">
        <v>30</v>
      </c>
      <c r="N272" s="2" t="s">
        <v>31</v>
      </c>
      <c r="O272" s="2" t="s">
        <v>187</v>
      </c>
      <c r="P272" s="4">
        <v>39.224699999999999</v>
      </c>
      <c r="Q272" s="4">
        <v>1</v>
      </c>
      <c r="R272" s="4">
        <v>16.547499999999999</v>
      </c>
      <c r="S272" s="2" t="s">
        <v>53</v>
      </c>
      <c r="T272" s="2" t="s">
        <v>108</v>
      </c>
    </row>
    <row r="273" spans="1:20" x14ac:dyDescent="0.25">
      <c r="A273" s="2" t="s">
        <v>874</v>
      </c>
      <c r="B273" s="3">
        <v>41890</v>
      </c>
      <c r="C273" s="3">
        <v>41896</v>
      </c>
      <c r="D273" s="2" t="s">
        <v>55</v>
      </c>
      <c r="E273" s="2" t="s">
        <v>875</v>
      </c>
      <c r="F273" s="2" t="s">
        <v>876</v>
      </c>
      <c r="G273" s="2" t="s">
        <v>58</v>
      </c>
      <c r="H273" s="2" t="s">
        <v>25</v>
      </c>
      <c r="I273" s="2" t="s">
        <v>829</v>
      </c>
      <c r="J273" s="2" t="s">
        <v>199</v>
      </c>
      <c r="K273" s="2" t="s">
        <v>82</v>
      </c>
      <c r="L273" s="2" t="s">
        <v>316</v>
      </c>
      <c r="M273" s="2" t="s">
        <v>30</v>
      </c>
      <c r="N273" s="2" t="s">
        <v>42</v>
      </c>
      <c r="O273" s="2" t="s">
        <v>317</v>
      </c>
      <c r="P273" s="4">
        <v>779.18730000000005</v>
      </c>
      <c r="Q273" s="4">
        <v>1</v>
      </c>
      <c r="R273" s="4">
        <v>-126.5651</v>
      </c>
      <c r="S273" s="2" t="s">
        <v>65</v>
      </c>
      <c r="T273" s="2" t="s">
        <v>148</v>
      </c>
    </row>
    <row r="274" spans="1:20" x14ac:dyDescent="0.25">
      <c r="A274" s="2" t="s">
        <v>877</v>
      </c>
      <c r="B274" s="3">
        <v>42203</v>
      </c>
      <c r="C274" s="3">
        <v>42206</v>
      </c>
      <c r="D274" s="2" t="s">
        <v>21</v>
      </c>
      <c r="E274" s="2" t="s">
        <v>744</v>
      </c>
      <c r="F274" s="2" t="s">
        <v>745</v>
      </c>
      <c r="G274" s="2" t="s">
        <v>24</v>
      </c>
      <c r="H274" s="2" t="s">
        <v>25</v>
      </c>
      <c r="I274" s="2" t="s">
        <v>145</v>
      </c>
      <c r="J274" s="2" t="s">
        <v>146</v>
      </c>
      <c r="K274" s="2" t="s">
        <v>147</v>
      </c>
      <c r="L274" s="2" t="s">
        <v>174</v>
      </c>
      <c r="M274" s="2" t="s">
        <v>30</v>
      </c>
      <c r="N274" s="2" t="s">
        <v>31</v>
      </c>
      <c r="O274" s="2" t="s">
        <v>175</v>
      </c>
      <c r="P274" s="4">
        <v>66.762699999999995</v>
      </c>
      <c r="Q274" s="4">
        <v>6</v>
      </c>
      <c r="R274" s="4">
        <v>7.3693999999999997</v>
      </c>
      <c r="S274" s="2" t="s">
        <v>92</v>
      </c>
      <c r="T274" s="2" t="s">
        <v>86</v>
      </c>
    </row>
    <row r="275" spans="1:20" x14ac:dyDescent="0.25">
      <c r="A275" s="2" t="s">
        <v>878</v>
      </c>
      <c r="B275" s="3">
        <v>41819</v>
      </c>
      <c r="C275" s="3">
        <v>41819</v>
      </c>
      <c r="D275" s="2" t="s">
        <v>55</v>
      </c>
      <c r="E275" s="2" t="s">
        <v>879</v>
      </c>
      <c r="F275" s="2" t="s">
        <v>880</v>
      </c>
      <c r="G275" s="2" t="s">
        <v>58</v>
      </c>
      <c r="H275" s="2" t="s">
        <v>25</v>
      </c>
      <c r="I275" s="2" t="s">
        <v>649</v>
      </c>
      <c r="J275" s="2" t="s">
        <v>279</v>
      </c>
      <c r="K275" s="2" t="s">
        <v>28</v>
      </c>
      <c r="L275" s="2" t="s">
        <v>186</v>
      </c>
      <c r="M275" s="2" t="s">
        <v>30</v>
      </c>
      <c r="N275" s="2" t="s">
        <v>31</v>
      </c>
      <c r="O275" s="2" t="s">
        <v>187</v>
      </c>
      <c r="P275" s="4">
        <v>372.06290000000001</v>
      </c>
      <c r="Q275" s="4">
        <v>1</v>
      </c>
      <c r="R275" s="4">
        <v>-11.098800000000001</v>
      </c>
      <c r="S275" s="2" t="s">
        <v>121</v>
      </c>
      <c r="T275" s="2" t="s">
        <v>133</v>
      </c>
    </row>
    <row r="276" spans="1:20" x14ac:dyDescent="0.25">
      <c r="A276" s="2" t="s">
        <v>878</v>
      </c>
      <c r="B276" s="3">
        <v>41819</v>
      </c>
      <c r="C276" s="3">
        <v>41819</v>
      </c>
      <c r="D276" s="2" t="s">
        <v>55</v>
      </c>
      <c r="E276" s="2" t="s">
        <v>879</v>
      </c>
      <c r="F276" s="2" t="s">
        <v>880</v>
      </c>
      <c r="G276" s="2" t="s">
        <v>58</v>
      </c>
      <c r="H276" s="2" t="s">
        <v>25</v>
      </c>
      <c r="I276" s="2" t="s">
        <v>649</v>
      </c>
      <c r="J276" s="2" t="s">
        <v>279</v>
      </c>
      <c r="K276" s="2" t="s">
        <v>28</v>
      </c>
      <c r="L276" s="2" t="s">
        <v>200</v>
      </c>
      <c r="M276" s="2" t="s">
        <v>30</v>
      </c>
      <c r="N276" s="2" t="s">
        <v>162</v>
      </c>
      <c r="O276" s="2" t="s">
        <v>201</v>
      </c>
      <c r="P276" s="4">
        <v>1536.5601999999999</v>
      </c>
      <c r="Q276" s="4">
        <v>6</v>
      </c>
      <c r="R276" s="4">
        <v>77.677199999999999</v>
      </c>
      <c r="S276" s="2" t="s">
        <v>121</v>
      </c>
      <c r="T276" s="2" t="s">
        <v>133</v>
      </c>
    </row>
    <row r="277" spans="1:20" x14ac:dyDescent="0.25">
      <c r="A277" s="2" t="s">
        <v>878</v>
      </c>
      <c r="B277" s="3">
        <v>41819</v>
      </c>
      <c r="C277" s="3">
        <v>41819</v>
      </c>
      <c r="D277" s="2" t="s">
        <v>55</v>
      </c>
      <c r="E277" s="2" t="s">
        <v>879</v>
      </c>
      <c r="F277" s="2" t="s">
        <v>880</v>
      </c>
      <c r="G277" s="2" t="s">
        <v>58</v>
      </c>
      <c r="H277" s="2" t="s">
        <v>25</v>
      </c>
      <c r="I277" s="2" t="s">
        <v>649</v>
      </c>
      <c r="J277" s="2" t="s">
        <v>279</v>
      </c>
      <c r="K277" s="2" t="s">
        <v>28</v>
      </c>
      <c r="L277" s="2" t="s">
        <v>344</v>
      </c>
      <c r="M277" s="2" t="s">
        <v>30</v>
      </c>
      <c r="N277" s="2" t="s">
        <v>42</v>
      </c>
      <c r="O277" s="2" t="s">
        <v>345</v>
      </c>
      <c r="P277" s="4">
        <v>206.3407</v>
      </c>
      <c r="Q277" s="4">
        <v>4</v>
      </c>
      <c r="R277" s="4">
        <v>0.47410000000000002</v>
      </c>
      <c r="S277" s="2" t="s">
        <v>121</v>
      </c>
      <c r="T277" s="2" t="s">
        <v>133</v>
      </c>
    </row>
    <row r="278" spans="1:20" x14ac:dyDescent="0.25">
      <c r="A278" s="2" t="s">
        <v>881</v>
      </c>
      <c r="B278" s="3">
        <v>42668</v>
      </c>
      <c r="C278" s="3">
        <v>42672</v>
      </c>
      <c r="D278" s="2" t="s">
        <v>55</v>
      </c>
      <c r="E278" s="2" t="s">
        <v>304</v>
      </c>
      <c r="F278" s="2" t="s">
        <v>305</v>
      </c>
      <c r="G278" s="2" t="s">
        <v>58</v>
      </c>
      <c r="H278" s="2" t="s">
        <v>25</v>
      </c>
      <c r="I278" s="2" t="s">
        <v>805</v>
      </c>
      <c r="J278" s="2" t="s">
        <v>351</v>
      </c>
      <c r="K278" s="2" t="s">
        <v>147</v>
      </c>
      <c r="L278" s="2" t="s">
        <v>113</v>
      </c>
      <c r="M278" s="2" t="s">
        <v>30</v>
      </c>
      <c r="N278" s="2" t="s">
        <v>31</v>
      </c>
      <c r="O278" s="2" t="s">
        <v>114</v>
      </c>
      <c r="P278" s="4">
        <v>94.956500000000005</v>
      </c>
      <c r="Q278" s="4">
        <v>3</v>
      </c>
      <c r="R278" s="4">
        <v>-50.168199999999999</v>
      </c>
      <c r="S278" s="2" t="s">
        <v>75</v>
      </c>
      <c r="T278" s="2" t="s">
        <v>224</v>
      </c>
    </row>
    <row r="279" spans="1:20" x14ac:dyDescent="0.25">
      <c r="A279" s="2" t="s">
        <v>882</v>
      </c>
      <c r="B279" s="3">
        <v>42372</v>
      </c>
      <c r="C279" s="3">
        <v>42374</v>
      </c>
      <c r="D279" s="2" t="s">
        <v>48</v>
      </c>
      <c r="E279" s="2" t="s">
        <v>544</v>
      </c>
      <c r="F279" s="2" t="s">
        <v>545</v>
      </c>
      <c r="G279" s="2" t="s">
        <v>58</v>
      </c>
      <c r="H279" s="2" t="s">
        <v>25</v>
      </c>
      <c r="I279" s="2" t="s">
        <v>576</v>
      </c>
      <c r="J279" s="2" t="s">
        <v>470</v>
      </c>
      <c r="K279" s="2" t="s">
        <v>28</v>
      </c>
      <c r="L279" s="2" t="s">
        <v>207</v>
      </c>
      <c r="M279" s="2" t="s">
        <v>30</v>
      </c>
      <c r="N279" s="2" t="s">
        <v>31</v>
      </c>
      <c r="O279" s="2" t="s">
        <v>208</v>
      </c>
      <c r="P279" s="4">
        <v>67.5595</v>
      </c>
      <c r="Q279" s="4">
        <v>1</v>
      </c>
      <c r="R279" s="4">
        <v>16.063400000000001</v>
      </c>
      <c r="S279" s="2" t="s">
        <v>53</v>
      </c>
      <c r="T279" s="2" t="s">
        <v>115</v>
      </c>
    </row>
    <row r="280" spans="1:20" x14ac:dyDescent="0.25">
      <c r="A280" s="2" t="s">
        <v>883</v>
      </c>
      <c r="B280" s="3">
        <v>42819</v>
      </c>
      <c r="C280" s="3">
        <v>42824</v>
      </c>
      <c r="D280" s="2" t="s">
        <v>55</v>
      </c>
      <c r="E280" s="2" t="s">
        <v>884</v>
      </c>
      <c r="F280" s="2" t="s">
        <v>885</v>
      </c>
      <c r="G280" s="2" t="s">
        <v>24</v>
      </c>
      <c r="H280" s="2" t="s">
        <v>25</v>
      </c>
      <c r="I280" s="2" t="s">
        <v>138</v>
      </c>
      <c r="J280" s="2" t="s">
        <v>407</v>
      </c>
      <c r="K280" s="2" t="s">
        <v>28</v>
      </c>
      <c r="L280" s="2" t="s">
        <v>793</v>
      </c>
      <c r="M280" s="2" t="s">
        <v>30</v>
      </c>
      <c r="N280" s="2" t="s">
        <v>63</v>
      </c>
      <c r="O280" s="2" t="s">
        <v>794</v>
      </c>
      <c r="P280" s="4">
        <v>87.866699999999994</v>
      </c>
      <c r="Q280" s="4">
        <v>6</v>
      </c>
      <c r="R280" s="4">
        <v>-46.383699999999997</v>
      </c>
      <c r="S280" s="2" t="s">
        <v>85</v>
      </c>
      <c r="T280" s="2" t="s">
        <v>44</v>
      </c>
    </row>
    <row r="281" spans="1:20" x14ac:dyDescent="0.25">
      <c r="A281" s="2" t="s">
        <v>883</v>
      </c>
      <c r="B281" s="3">
        <v>42819</v>
      </c>
      <c r="C281" s="3">
        <v>42824</v>
      </c>
      <c r="D281" s="2" t="s">
        <v>55</v>
      </c>
      <c r="E281" s="2" t="s">
        <v>884</v>
      </c>
      <c r="F281" s="2" t="s">
        <v>885</v>
      </c>
      <c r="G281" s="2" t="s">
        <v>24</v>
      </c>
      <c r="H281" s="2" t="s">
        <v>25</v>
      </c>
      <c r="I281" s="2" t="s">
        <v>138</v>
      </c>
      <c r="J281" s="2" t="s">
        <v>407</v>
      </c>
      <c r="K281" s="2" t="s">
        <v>28</v>
      </c>
      <c r="L281" s="2" t="s">
        <v>344</v>
      </c>
      <c r="M281" s="2" t="s">
        <v>30</v>
      </c>
      <c r="N281" s="2" t="s">
        <v>42</v>
      </c>
      <c r="O281" s="2" t="s">
        <v>345</v>
      </c>
      <c r="P281" s="4">
        <v>293.46550000000002</v>
      </c>
      <c r="Q281" s="4">
        <v>1</v>
      </c>
      <c r="R281" s="4">
        <v>43.910299999999999</v>
      </c>
      <c r="S281" s="2" t="s">
        <v>85</v>
      </c>
      <c r="T281" s="2" t="s">
        <v>44</v>
      </c>
    </row>
    <row r="282" spans="1:20" x14ac:dyDescent="0.25">
      <c r="A282" s="2" t="s">
        <v>886</v>
      </c>
      <c r="B282" s="3">
        <v>42794</v>
      </c>
      <c r="C282" s="3">
        <v>42794</v>
      </c>
      <c r="D282" s="2" t="s">
        <v>55</v>
      </c>
      <c r="E282" s="2" t="s">
        <v>887</v>
      </c>
      <c r="F282" s="2" t="s">
        <v>888</v>
      </c>
      <c r="G282" s="2" t="s">
        <v>24</v>
      </c>
      <c r="H282" s="2" t="s">
        <v>25</v>
      </c>
      <c r="I282" s="2" t="s">
        <v>639</v>
      </c>
      <c r="J282" s="2" t="s">
        <v>192</v>
      </c>
      <c r="K282" s="2" t="s">
        <v>82</v>
      </c>
      <c r="L282" s="2" t="s">
        <v>228</v>
      </c>
      <c r="M282" s="2" t="s">
        <v>30</v>
      </c>
      <c r="N282" s="2" t="s">
        <v>42</v>
      </c>
      <c r="O282" s="2" t="s">
        <v>229</v>
      </c>
      <c r="P282" s="4">
        <v>98.2089</v>
      </c>
      <c r="Q282" s="4">
        <v>2</v>
      </c>
      <c r="R282" s="4">
        <v>-14.2761</v>
      </c>
      <c r="S282" s="2" t="s">
        <v>121</v>
      </c>
      <c r="T282" s="2" t="s">
        <v>101</v>
      </c>
    </row>
    <row r="283" spans="1:20" x14ac:dyDescent="0.25">
      <c r="A283" s="2" t="s">
        <v>889</v>
      </c>
      <c r="B283" s="3">
        <v>41680</v>
      </c>
      <c r="C283" s="3">
        <v>41682</v>
      </c>
      <c r="D283" s="2" t="s">
        <v>55</v>
      </c>
      <c r="E283" s="2" t="s">
        <v>801</v>
      </c>
      <c r="F283" s="2" t="s">
        <v>802</v>
      </c>
      <c r="G283" s="2" t="s">
        <v>58</v>
      </c>
      <c r="H283" s="2" t="s">
        <v>25</v>
      </c>
      <c r="I283" s="2" t="s">
        <v>617</v>
      </c>
      <c r="J283" s="2" t="s">
        <v>168</v>
      </c>
      <c r="K283" s="2" t="s">
        <v>28</v>
      </c>
      <c r="L283" s="2" t="s">
        <v>186</v>
      </c>
      <c r="M283" s="2" t="s">
        <v>30</v>
      </c>
      <c r="N283" s="2" t="s">
        <v>31</v>
      </c>
      <c r="O283" s="2" t="s">
        <v>187</v>
      </c>
      <c r="P283" s="4">
        <v>92.582700000000003</v>
      </c>
      <c r="Q283" s="4">
        <v>5</v>
      </c>
      <c r="R283" s="4">
        <v>47.101500000000001</v>
      </c>
      <c r="S283" s="2" t="s">
        <v>53</v>
      </c>
      <c r="T283" s="2" t="s">
        <v>101</v>
      </c>
    </row>
    <row r="284" spans="1:20" x14ac:dyDescent="0.25">
      <c r="A284" s="2" t="s">
        <v>889</v>
      </c>
      <c r="B284" s="3">
        <v>41680</v>
      </c>
      <c r="C284" s="3">
        <v>41682</v>
      </c>
      <c r="D284" s="2" t="s">
        <v>55</v>
      </c>
      <c r="E284" s="2" t="s">
        <v>801</v>
      </c>
      <c r="F284" s="2" t="s">
        <v>802</v>
      </c>
      <c r="G284" s="2" t="s">
        <v>58</v>
      </c>
      <c r="H284" s="2" t="s">
        <v>25</v>
      </c>
      <c r="I284" s="2" t="s">
        <v>617</v>
      </c>
      <c r="J284" s="2" t="s">
        <v>168</v>
      </c>
      <c r="K284" s="2" t="s">
        <v>28</v>
      </c>
      <c r="L284" s="2" t="s">
        <v>890</v>
      </c>
      <c r="M284" s="2" t="s">
        <v>30</v>
      </c>
      <c r="N284" s="2" t="s">
        <v>63</v>
      </c>
      <c r="O284" s="2" t="s">
        <v>891</v>
      </c>
      <c r="P284" s="4">
        <v>453.52699999999999</v>
      </c>
      <c r="Q284" s="4">
        <v>4</v>
      </c>
      <c r="R284" s="4">
        <v>-57.624600000000001</v>
      </c>
      <c r="S284" s="2" t="s">
        <v>53</v>
      </c>
      <c r="T284" s="2" t="s">
        <v>101</v>
      </c>
    </row>
    <row r="285" spans="1:20" x14ac:dyDescent="0.25">
      <c r="A285" s="2" t="s">
        <v>892</v>
      </c>
      <c r="B285" s="3">
        <v>42841</v>
      </c>
      <c r="C285" s="3">
        <v>42844</v>
      </c>
      <c r="D285" s="2" t="s">
        <v>21</v>
      </c>
      <c r="E285" s="2" t="s">
        <v>467</v>
      </c>
      <c r="F285" s="2" t="s">
        <v>468</v>
      </c>
      <c r="G285" s="2" t="s">
        <v>24</v>
      </c>
      <c r="H285" s="2" t="s">
        <v>25</v>
      </c>
      <c r="I285" s="2" t="s">
        <v>59</v>
      </c>
      <c r="J285" s="2" t="s">
        <v>60</v>
      </c>
      <c r="K285" s="2" t="s">
        <v>61</v>
      </c>
      <c r="L285" s="2" t="s">
        <v>245</v>
      </c>
      <c r="M285" s="2" t="s">
        <v>30</v>
      </c>
      <c r="N285" s="2" t="s">
        <v>42</v>
      </c>
      <c r="O285" s="2" t="s">
        <v>246</v>
      </c>
      <c r="P285" s="4">
        <v>511.65</v>
      </c>
      <c r="Q285" s="4">
        <v>3</v>
      </c>
      <c r="R285" s="4">
        <v>-34.667400000000001</v>
      </c>
      <c r="S285" s="2" t="s">
        <v>92</v>
      </c>
      <c r="T285" s="2" t="s">
        <v>108</v>
      </c>
    </row>
    <row r="286" spans="1:20" x14ac:dyDescent="0.25">
      <c r="A286" s="2" t="s">
        <v>893</v>
      </c>
      <c r="B286" s="3">
        <v>41919</v>
      </c>
      <c r="C286" s="3">
        <v>41924</v>
      </c>
      <c r="D286" s="2" t="s">
        <v>55</v>
      </c>
      <c r="E286" s="2" t="s">
        <v>894</v>
      </c>
      <c r="F286" s="2" t="s">
        <v>895</v>
      </c>
      <c r="G286" s="2" t="s">
        <v>38</v>
      </c>
      <c r="H286" s="2" t="s">
        <v>25</v>
      </c>
      <c r="I286" s="2" t="s">
        <v>699</v>
      </c>
      <c r="J286" s="2" t="s">
        <v>339</v>
      </c>
      <c r="K286" s="2" t="s">
        <v>82</v>
      </c>
      <c r="L286" s="2" t="s">
        <v>323</v>
      </c>
      <c r="M286" s="2" t="s">
        <v>30</v>
      </c>
      <c r="N286" s="2" t="s">
        <v>31</v>
      </c>
      <c r="O286" s="2" t="s">
        <v>324</v>
      </c>
      <c r="P286" s="4">
        <v>116.3437</v>
      </c>
      <c r="Q286" s="4">
        <v>3</v>
      </c>
      <c r="R286" s="4">
        <v>11.9514</v>
      </c>
      <c r="S286" s="2" t="s">
        <v>85</v>
      </c>
      <c r="T286" s="2" t="s">
        <v>224</v>
      </c>
    </row>
    <row r="287" spans="1:20" x14ac:dyDescent="0.25">
      <c r="A287" s="2" t="s">
        <v>896</v>
      </c>
      <c r="B287" s="3">
        <v>42414</v>
      </c>
      <c r="C287" s="3">
        <v>42414</v>
      </c>
      <c r="D287" s="2" t="s">
        <v>142</v>
      </c>
      <c r="E287" s="2" t="s">
        <v>897</v>
      </c>
      <c r="F287" s="2" t="s">
        <v>898</v>
      </c>
      <c r="G287" s="2" t="s">
        <v>58</v>
      </c>
      <c r="H287" s="2" t="s">
        <v>25</v>
      </c>
      <c r="I287" s="2" t="s">
        <v>474</v>
      </c>
      <c r="J287" s="2" t="s">
        <v>475</v>
      </c>
      <c r="K287" s="2" t="s">
        <v>28</v>
      </c>
      <c r="L287" s="2" t="s">
        <v>344</v>
      </c>
      <c r="M287" s="2" t="s">
        <v>30</v>
      </c>
      <c r="N287" s="2" t="s">
        <v>42</v>
      </c>
      <c r="O287" s="2" t="s">
        <v>345</v>
      </c>
      <c r="P287" s="4">
        <v>153.1995</v>
      </c>
      <c r="Q287" s="4">
        <v>3</v>
      </c>
      <c r="R287" s="4">
        <v>30.956299999999999</v>
      </c>
      <c r="S287" s="2" t="s">
        <v>121</v>
      </c>
      <c r="T287" s="2" t="s">
        <v>101</v>
      </c>
    </row>
    <row r="288" spans="1:20" x14ac:dyDescent="0.25">
      <c r="A288" s="2" t="s">
        <v>896</v>
      </c>
      <c r="B288" s="3">
        <v>42414</v>
      </c>
      <c r="C288" s="3">
        <v>42414</v>
      </c>
      <c r="D288" s="2" t="s">
        <v>142</v>
      </c>
      <c r="E288" s="2" t="s">
        <v>897</v>
      </c>
      <c r="F288" s="2" t="s">
        <v>898</v>
      </c>
      <c r="G288" s="2" t="s">
        <v>58</v>
      </c>
      <c r="H288" s="2" t="s">
        <v>25</v>
      </c>
      <c r="I288" s="2" t="s">
        <v>474</v>
      </c>
      <c r="J288" s="2" t="s">
        <v>475</v>
      </c>
      <c r="K288" s="2" t="s">
        <v>28</v>
      </c>
      <c r="L288" s="2" t="s">
        <v>899</v>
      </c>
      <c r="M288" s="2" t="s">
        <v>30</v>
      </c>
      <c r="N288" s="2" t="s">
        <v>63</v>
      </c>
      <c r="O288" s="2" t="s">
        <v>900</v>
      </c>
      <c r="P288" s="4">
        <v>765.22450000000003</v>
      </c>
      <c r="Q288" s="4">
        <v>4</v>
      </c>
      <c r="R288" s="4">
        <v>-537.4126</v>
      </c>
      <c r="S288" s="2" t="s">
        <v>121</v>
      </c>
      <c r="T288" s="2" t="s">
        <v>101</v>
      </c>
    </row>
    <row r="289" spans="1:20" x14ac:dyDescent="0.25">
      <c r="A289" s="2" t="s">
        <v>901</v>
      </c>
      <c r="B289" s="3">
        <v>42291</v>
      </c>
      <c r="C289" s="3">
        <v>42292</v>
      </c>
      <c r="D289" s="2" t="s">
        <v>21</v>
      </c>
      <c r="E289" s="2" t="s">
        <v>610</v>
      </c>
      <c r="F289" s="2" t="s">
        <v>611</v>
      </c>
      <c r="G289" s="2" t="s">
        <v>38</v>
      </c>
      <c r="H289" s="2" t="s">
        <v>25</v>
      </c>
      <c r="I289" s="2" t="s">
        <v>902</v>
      </c>
      <c r="J289" s="2" t="s">
        <v>632</v>
      </c>
      <c r="K289" s="2" t="s">
        <v>82</v>
      </c>
      <c r="L289" s="2" t="s">
        <v>99</v>
      </c>
      <c r="M289" s="2" t="s">
        <v>30</v>
      </c>
      <c r="N289" s="2" t="s">
        <v>42</v>
      </c>
      <c r="O289" s="2" t="s">
        <v>100</v>
      </c>
      <c r="P289" s="4">
        <v>4400</v>
      </c>
      <c r="Q289" s="4">
        <v>2</v>
      </c>
      <c r="R289" s="4">
        <v>835.62729999999999</v>
      </c>
      <c r="S289" s="2" t="s">
        <v>33</v>
      </c>
      <c r="T289" s="2" t="s">
        <v>224</v>
      </c>
    </row>
    <row r="290" spans="1:20" x14ac:dyDescent="0.25">
      <c r="A290" s="2" t="s">
        <v>903</v>
      </c>
      <c r="B290" s="3">
        <v>41821</v>
      </c>
      <c r="C290" s="3">
        <v>41822</v>
      </c>
      <c r="D290" s="2" t="s">
        <v>55</v>
      </c>
      <c r="E290" s="2" t="s">
        <v>904</v>
      </c>
      <c r="F290" s="2" t="s">
        <v>905</v>
      </c>
      <c r="G290" s="2" t="s">
        <v>58</v>
      </c>
      <c r="H290" s="2" t="s">
        <v>25</v>
      </c>
      <c r="I290" s="2" t="s">
        <v>97</v>
      </c>
      <c r="J290" s="2" t="s">
        <v>112</v>
      </c>
      <c r="K290" s="2" t="s">
        <v>28</v>
      </c>
      <c r="L290" s="2" t="s">
        <v>618</v>
      </c>
      <c r="M290" s="2" t="s">
        <v>30</v>
      </c>
      <c r="N290" s="2" t="s">
        <v>63</v>
      </c>
      <c r="O290" s="2" t="s">
        <v>619</v>
      </c>
      <c r="P290" s="4">
        <v>923.31960000000004</v>
      </c>
      <c r="Q290" s="4">
        <v>2</v>
      </c>
      <c r="R290" s="4">
        <v>54.016199999999998</v>
      </c>
      <c r="S290" s="2" t="s">
        <v>33</v>
      </c>
      <c r="T290" s="2" t="s">
        <v>86</v>
      </c>
    </row>
    <row r="291" spans="1:20" x14ac:dyDescent="0.25">
      <c r="A291" s="2" t="s">
        <v>906</v>
      </c>
      <c r="B291" s="3">
        <v>42499</v>
      </c>
      <c r="C291" s="3">
        <v>42506</v>
      </c>
      <c r="D291" s="2" t="s">
        <v>55</v>
      </c>
      <c r="E291" s="2" t="s">
        <v>672</v>
      </c>
      <c r="F291" s="2" t="s">
        <v>673</v>
      </c>
      <c r="G291" s="2" t="s">
        <v>58</v>
      </c>
      <c r="H291" s="2" t="s">
        <v>25</v>
      </c>
      <c r="I291" s="2" t="s">
        <v>223</v>
      </c>
      <c r="J291" s="2" t="s">
        <v>81</v>
      </c>
      <c r="K291" s="2" t="s">
        <v>82</v>
      </c>
      <c r="L291" s="2" t="s">
        <v>235</v>
      </c>
      <c r="M291" s="2" t="s">
        <v>30</v>
      </c>
      <c r="N291" s="2" t="s">
        <v>31</v>
      </c>
      <c r="O291" s="2" t="s">
        <v>236</v>
      </c>
      <c r="P291" s="4">
        <v>25.41</v>
      </c>
      <c r="Q291" s="4">
        <v>6</v>
      </c>
      <c r="R291" s="4">
        <v>2.3582999999999998</v>
      </c>
      <c r="S291" s="2" t="s">
        <v>107</v>
      </c>
      <c r="T291" s="2" t="s">
        <v>122</v>
      </c>
    </row>
    <row r="292" spans="1:20" x14ac:dyDescent="0.25">
      <c r="A292" s="2" t="s">
        <v>907</v>
      </c>
      <c r="B292" s="3">
        <v>42101</v>
      </c>
      <c r="C292" s="3">
        <v>42102</v>
      </c>
      <c r="D292" s="2" t="s">
        <v>55</v>
      </c>
      <c r="E292" s="2" t="s">
        <v>908</v>
      </c>
      <c r="F292" s="2" t="s">
        <v>909</v>
      </c>
      <c r="G292" s="2" t="s">
        <v>58</v>
      </c>
      <c r="H292" s="2" t="s">
        <v>25</v>
      </c>
      <c r="I292" s="2" t="s">
        <v>910</v>
      </c>
      <c r="J292" s="2" t="s">
        <v>260</v>
      </c>
      <c r="K292" s="2" t="s">
        <v>147</v>
      </c>
      <c r="L292" s="2" t="s">
        <v>193</v>
      </c>
      <c r="M292" s="2" t="s">
        <v>30</v>
      </c>
      <c r="N292" s="2" t="s">
        <v>42</v>
      </c>
      <c r="O292" s="2" t="s">
        <v>194</v>
      </c>
      <c r="P292" s="4">
        <v>777.13710000000003</v>
      </c>
      <c r="Q292" s="4">
        <v>4</v>
      </c>
      <c r="R292" s="4">
        <v>56.466999999999999</v>
      </c>
      <c r="S292" s="2" t="s">
        <v>33</v>
      </c>
      <c r="T292" s="2" t="s">
        <v>108</v>
      </c>
    </row>
    <row r="293" spans="1:20" x14ac:dyDescent="0.25">
      <c r="A293" s="2" t="s">
        <v>911</v>
      </c>
      <c r="B293" s="3">
        <v>41969</v>
      </c>
      <c r="C293" s="3">
        <v>41969</v>
      </c>
      <c r="D293" s="2" t="s">
        <v>142</v>
      </c>
      <c r="E293" s="2" t="s">
        <v>912</v>
      </c>
      <c r="F293" s="2" t="s">
        <v>913</v>
      </c>
      <c r="G293" s="2" t="s">
        <v>24</v>
      </c>
      <c r="H293" s="2" t="s">
        <v>25</v>
      </c>
      <c r="I293" s="2" t="s">
        <v>805</v>
      </c>
      <c r="J293" s="2" t="s">
        <v>351</v>
      </c>
      <c r="K293" s="2" t="s">
        <v>147</v>
      </c>
      <c r="L293" s="2" t="s">
        <v>45</v>
      </c>
      <c r="M293" s="2" t="s">
        <v>30</v>
      </c>
      <c r="N293" s="2" t="s">
        <v>31</v>
      </c>
      <c r="O293" s="2" t="s">
        <v>46</v>
      </c>
      <c r="P293" s="4">
        <v>475.6789</v>
      </c>
      <c r="Q293" s="4">
        <v>5</v>
      </c>
      <c r="R293" s="4">
        <v>111.44499999999999</v>
      </c>
      <c r="S293" s="2" t="s">
        <v>121</v>
      </c>
      <c r="T293" s="2" t="s">
        <v>93</v>
      </c>
    </row>
    <row r="294" spans="1:20" x14ac:dyDescent="0.25">
      <c r="A294" s="2" t="s">
        <v>911</v>
      </c>
      <c r="B294" s="3">
        <v>41969</v>
      </c>
      <c r="C294" s="3">
        <v>41969</v>
      </c>
      <c r="D294" s="2" t="s">
        <v>142</v>
      </c>
      <c r="E294" s="2" t="s">
        <v>912</v>
      </c>
      <c r="F294" s="2" t="s">
        <v>913</v>
      </c>
      <c r="G294" s="2" t="s">
        <v>24</v>
      </c>
      <c r="H294" s="2" t="s">
        <v>25</v>
      </c>
      <c r="I294" s="2" t="s">
        <v>805</v>
      </c>
      <c r="J294" s="2" t="s">
        <v>351</v>
      </c>
      <c r="K294" s="2" t="s">
        <v>147</v>
      </c>
      <c r="L294" s="2" t="s">
        <v>323</v>
      </c>
      <c r="M294" s="2" t="s">
        <v>30</v>
      </c>
      <c r="N294" s="2" t="s">
        <v>31</v>
      </c>
      <c r="O294" s="2" t="s">
        <v>324</v>
      </c>
      <c r="P294" s="4">
        <v>176.56129999999999</v>
      </c>
      <c r="Q294" s="4">
        <v>6</v>
      </c>
      <c r="R294" s="4">
        <v>-32.642299999999999</v>
      </c>
      <c r="S294" s="2" t="s">
        <v>121</v>
      </c>
      <c r="T294" s="2" t="s">
        <v>93</v>
      </c>
    </row>
    <row r="295" spans="1:20" x14ac:dyDescent="0.25">
      <c r="A295" s="2" t="s">
        <v>914</v>
      </c>
      <c r="B295" s="3">
        <v>42883</v>
      </c>
      <c r="C295" s="3">
        <v>42887</v>
      </c>
      <c r="D295" s="2" t="s">
        <v>55</v>
      </c>
      <c r="E295" s="2" t="s">
        <v>915</v>
      </c>
      <c r="F295" s="2" t="s">
        <v>916</v>
      </c>
      <c r="G295" s="2" t="s">
        <v>58</v>
      </c>
      <c r="H295" s="2" t="s">
        <v>25</v>
      </c>
      <c r="I295" s="2" t="s">
        <v>917</v>
      </c>
      <c r="J295" s="2" t="s">
        <v>120</v>
      </c>
      <c r="K295" s="2" t="s">
        <v>61</v>
      </c>
      <c r="L295" s="2" t="s">
        <v>73</v>
      </c>
      <c r="M295" s="2" t="s">
        <v>30</v>
      </c>
      <c r="N295" s="2" t="s">
        <v>42</v>
      </c>
      <c r="O295" s="2" t="s">
        <v>74</v>
      </c>
      <c r="P295" s="4">
        <v>1486.7628999999999</v>
      </c>
      <c r="Q295" s="4">
        <v>2</v>
      </c>
      <c r="R295" s="4">
        <v>239.50210000000001</v>
      </c>
      <c r="S295" s="2" t="s">
        <v>75</v>
      </c>
      <c r="T295" s="2" t="s">
        <v>122</v>
      </c>
    </row>
    <row r="296" spans="1:20" x14ac:dyDescent="0.25">
      <c r="A296" s="2" t="s">
        <v>918</v>
      </c>
      <c r="B296" s="3">
        <v>41741</v>
      </c>
      <c r="C296" s="3">
        <v>41747</v>
      </c>
      <c r="D296" s="2" t="s">
        <v>55</v>
      </c>
      <c r="E296" s="2" t="s">
        <v>231</v>
      </c>
      <c r="F296" s="2" t="s">
        <v>232</v>
      </c>
      <c r="G296" s="2" t="s">
        <v>38</v>
      </c>
      <c r="H296" s="2" t="s">
        <v>25</v>
      </c>
      <c r="I296" s="2" t="s">
        <v>682</v>
      </c>
      <c r="J296" s="2" t="s">
        <v>632</v>
      </c>
      <c r="K296" s="2" t="s">
        <v>82</v>
      </c>
      <c r="L296" s="2" t="s">
        <v>235</v>
      </c>
      <c r="M296" s="2" t="s">
        <v>30</v>
      </c>
      <c r="N296" s="2" t="s">
        <v>31</v>
      </c>
      <c r="O296" s="2" t="s">
        <v>236</v>
      </c>
      <c r="P296" s="4">
        <v>48.5503</v>
      </c>
      <c r="Q296" s="4">
        <v>4</v>
      </c>
      <c r="R296" s="4">
        <v>11.855</v>
      </c>
      <c r="S296" s="2" t="s">
        <v>65</v>
      </c>
      <c r="T296" s="2" t="s">
        <v>108</v>
      </c>
    </row>
    <row r="297" spans="1:20" x14ac:dyDescent="0.25">
      <c r="A297" s="2" t="s">
        <v>919</v>
      </c>
      <c r="B297" s="3">
        <v>42869</v>
      </c>
      <c r="C297" s="3">
        <v>42869</v>
      </c>
      <c r="D297" s="2" t="s">
        <v>142</v>
      </c>
      <c r="E297" s="2" t="s">
        <v>920</v>
      </c>
      <c r="F297" s="2" t="s">
        <v>921</v>
      </c>
      <c r="G297" s="2" t="s">
        <v>58</v>
      </c>
      <c r="H297" s="2" t="s">
        <v>25</v>
      </c>
      <c r="I297" s="2" t="s">
        <v>138</v>
      </c>
      <c r="J297" s="2" t="s">
        <v>407</v>
      </c>
      <c r="K297" s="2" t="s">
        <v>28</v>
      </c>
      <c r="L297" s="2" t="s">
        <v>193</v>
      </c>
      <c r="M297" s="2" t="s">
        <v>30</v>
      </c>
      <c r="N297" s="2" t="s">
        <v>42</v>
      </c>
      <c r="O297" s="2" t="s">
        <v>194</v>
      </c>
      <c r="P297" s="4">
        <v>1258.0649000000001</v>
      </c>
      <c r="Q297" s="4">
        <v>4</v>
      </c>
      <c r="R297" s="4">
        <v>222.67580000000001</v>
      </c>
      <c r="S297" s="2" t="s">
        <v>121</v>
      </c>
      <c r="T297" s="2" t="s">
        <v>122</v>
      </c>
    </row>
    <row r="298" spans="1:20" x14ac:dyDescent="0.25">
      <c r="A298" s="2" t="s">
        <v>922</v>
      </c>
      <c r="B298" s="3">
        <v>42604</v>
      </c>
      <c r="C298" s="3">
        <v>42605</v>
      </c>
      <c r="D298" s="2" t="s">
        <v>48</v>
      </c>
      <c r="E298" s="2" t="s">
        <v>641</v>
      </c>
      <c r="F298" s="2" t="s">
        <v>642</v>
      </c>
      <c r="G298" s="2" t="s">
        <v>58</v>
      </c>
      <c r="H298" s="2" t="s">
        <v>25</v>
      </c>
      <c r="I298" s="2" t="s">
        <v>902</v>
      </c>
      <c r="J298" s="2" t="s">
        <v>632</v>
      </c>
      <c r="K298" s="2" t="s">
        <v>82</v>
      </c>
      <c r="L298" s="2" t="s">
        <v>618</v>
      </c>
      <c r="M298" s="2" t="s">
        <v>30</v>
      </c>
      <c r="N298" s="2" t="s">
        <v>63</v>
      </c>
      <c r="O298" s="2" t="s">
        <v>619</v>
      </c>
      <c r="P298" s="4">
        <v>999.79240000000004</v>
      </c>
      <c r="Q298" s="4">
        <v>1</v>
      </c>
      <c r="R298" s="4">
        <v>200.82749999999999</v>
      </c>
      <c r="S298" s="2" t="s">
        <v>33</v>
      </c>
      <c r="T298" s="2" t="s">
        <v>34</v>
      </c>
    </row>
    <row r="299" spans="1:20" x14ac:dyDescent="0.25">
      <c r="A299" s="2" t="s">
        <v>923</v>
      </c>
      <c r="B299" s="3">
        <v>42592</v>
      </c>
      <c r="C299" s="3">
        <v>42597</v>
      </c>
      <c r="D299" s="2" t="s">
        <v>55</v>
      </c>
      <c r="E299" s="2" t="s">
        <v>924</v>
      </c>
      <c r="F299" s="2" t="s">
        <v>925</v>
      </c>
      <c r="G299" s="2" t="s">
        <v>24</v>
      </c>
      <c r="H299" s="2" t="s">
        <v>25</v>
      </c>
      <c r="I299" s="2" t="s">
        <v>152</v>
      </c>
      <c r="J299" s="2" t="s">
        <v>153</v>
      </c>
      <c r="K299" s="2" t="s">
        <v>147</v>
      </c>
      <c r="L299" s="2" t="s">
        <v>612</v>
      </c>
      <c r="M299" s="2" t="s">
        <v>30</v>
      </c>
      <c r="N299" s="2" t="s">
        <v>162</v>
      </c>
      <c r="O299" s="2" t="s">
        <v>613</v>
      </c>
      <c r="P299" s="4">
        <v>783.0462</v>
      </c>
      <c r="Q299" s="4">
        <v>6</v>
      </c>
      <c r="R299" s="4">
        <v>-136.93600000000001</v>
      </c>
      <c r="S299" s="2" t="s">
        <v>85</v>
      </c>
      <c r="T299" s="2" t="s">
        <v>34</v>
      </c>
    </row>
    <row r="300" spans="1:20" x14ac:dyDescent="0.25">
      <c r="A300" s="2" t="s">
        <v>926</v>
      </c>
      <c r="B300" s="3">
        <v>42105</v>
      </c>
      <c r="C300" s="3">
        <v>42106</v>
      </c>
      <c r="D300" s="2" t="s">
        <v>48</v>
      </c>
      <c r="E300" s="2" t="s">
        <v>426</v>
      </c>
      <c r="F300" s="2" t="s">
        <v>427</v>
      </c>
      <c r="G300" s="2" t="s">
        <v>24</v>
      </c>
      <c r="H300" s="2" t="s">
        <v>25</v>
      </c>
      <c r="I300" s="2" t="s">
        <v>382</v>
      </c>
      <c r="J300" s="2" t="s">
        <v>192</v>
      </c>
      <c r="K300" s="2" t="s">
        <v>82</v>
      </c>
      <c r="L300" s="2" t="s">
        <v>83</v>
      </c>
      <c r="M300" s="2" t="s">
        <v>30</v>
      </c>
      <c r="N300" s="2" t="s">
        <v>42</v>
      </c>
      <c r="O300" s="2" t="s">
        <v>84</v>
      </c>
      <c r="P300" s="4">
        <v>319.39409999999998</v>
      </c>
      <c r="Q300" s="4">
        <v>3</v>
      </c>
      <c r="R300" s="4">
        <v>-84.341200000000001</v>
      </c>
      <c r="S300" s="2" t="s">
        <v>33</v>
      </c>
      <c r="T300" s="2" t="s">
        <v>108</v>
      </c>
    </row>
    <row r="301" spans="1:20" x14ac:dyDescent="0.25">
      <c r="A301" s="2" t="s">
        <v>927</v>
      </c>
      <c r="B301" s="3">
        <v>41801</v>
      </c>
      <c r="C301" s="3">
        <v>41803</v>
      </c>
      <c r="D301" s="2" t="s">
        <v>55</v>
      </c>
      <c r="E301" s="2" t="s">
        <v>928</v>
      </c>
      <c r="F301" s="2" t="s">
        <v>929</v>
      </c>
      <c r="G301" s="2" t="s">
        <v>58</v>
      </c>
      <c r="H301" s="2" t="s">
        <v>25</v>
      </c>
      <c r="I301" s="2" t="s">
        <v>51</v>
      </c>
      <c r="J301" s="2" t="s">
        <v>52</v>
      </c>
      <c r="K301" s="2" t="s">
        <v>28</v>
      </c>
      <c r="L301" s="2" t="s">
        <v>323</v>
      </c>
      <c r="M301" s="2" t="s">
        <v>30</v>
      </c>
      <c r="N301" s="2" t="s">
        <v>31</v>
      </c>
      <c r="O301" s="2" t="s">
        <v>324</v>
      </c>
      <c r="P301" s="4">
        <v>8.4913000000000007</v>
      </c>
      <c r="Q301" s="4">
        <v>2</v>
      </c>
      <c r="R301" s="4">
        <v>5.1607000000000003</v>
      </c>
      <c r="S301" s="2" t="s">
        <v>53</v>
      </c>
      <c r="T301" s="2" t="s">
        <v>133</v>
      </c>
    </row>
    <row r="302" spans="1:20" x14ac:dyDescent="0.25">
      <c r="A302" s="2" t="s">
        <v>927</v>
      </c>
      <c r="B302" s="3">
        <v>41801</v>
      </c>
      <c r="C302" s="3">
        <v>41803</v>
      </c>
      <c r="D302" s="2" t="s">
        <v>55</v>
      </c>
      <c r="E302" s="2" t="s">
        <v>928</v>
      </c>
      <c r="F302" s="2" t="s">
        <v>929</v>
      </c>
      <c r="G302" s="2" t="s">
        <v>58</v>
      </c>
      <c r="H302" s="2" t="s">
        <v>25</v>
      </c>
      <c r="I302" s="2" t="s">
        <v>51</v>
      </c>
      <c r="J302" s="2" t="s">
        <v>52</v>
      </c>
      <c r="K302" s="2" t="s">
        <v>28</v>
      </c>
      <c r="L302" s="2" t="s">
        <v>415</v>
      </c>
      <c r="M302" s="2" t="s">
        <v>30</v>
      </c>
      <c r="N302" s="2" t="s">
        <v>63</v>
      </c>
      <c r="O302" s="2" t="s">
        <v>416</v>
      </c>
      <c r="P302" s="4">
        <v>166.95140000000001</v>
      </c>
      <c r="Q302" s="4">
        <v>1</v>
      </c>
      <c r="R302" s="4">
        <v>4.0572999999999997</v>
      </c>
      <c r="S302" s="2" t="s">
        <v>53</v>
      </c>
      <c r="T302" s="2" t="s">
        <v>133</v>
      </c>
    </row>
    <row r="303" spans="1:20" x14ac:dyDescent="0.25">
      <c r="A303" s="2" t="s">
        <v>927</v>
      </c>
      <c r="B303" s="3">
        <v>41801</v>
      </c>
      <c r="C303" s="3">
        <v>41803</v>
      </c>
      <c r="D303" s="2" t="s">
        <v>55</v>
      </c>
      <c r="E303" s="2" t="s">
        <v>928</v>
      </c>
      <c r="F303" s="2" t="s">
        <v>929</v>
      </c>
      <c r="G303" s="2" t="s">
        <v>58</v>
      </c>
      <c r="H303" s="2" t="s">
        <v>25</v>
      </c>
      <c r="I303" s="2" t="s">
        <v>51</v>
      </c>
      <c r="J303" s="2" t="s">
        <v>52</v>
      </c>
      <c r="K303" s="2" t="s">
        <v>28</v>
      </c>
      <c r="L303" s="2" t="s">
        <v>45</v>
      </c>
      <c r="M303" s="2" t="s">
        <v>30</v>
      </c>
      <c r="N303" s="2" t="s">
        <v>31</v>
      </c>
      <c r="O303" s="2" t="s">
        <v>46</v>
      </c>
      <c r="P303" s="4">
        <v>24.061499999999999</v>
      </c>
      <c r="Q303" s="4">
        <v>6</v>
      </c>
      <c r="R303" s="4">
        <v>14.489699999999999</v>
      </c>
      <c r="S303" s="2" t="s">
        <v>53</v>
      </c>
      <c r="T303" s="2" t="s">
        <v>133</v>
      </c>
    </row>
    <row r="304" spans="1:20" x14ac:dyDescent="0.25">
      <c r="A304" s="2" t="s">
        <v>930</v>
      </c>
      <c r="B304" s="3">
        <v>42053</v>
      </c>
      <c r="C304" s="3">
        <v>42058</v>
      </c>
      <c r="D304" s="2" t="s">
        <v>55</v>
      </c>
      <c r="E304" s="2" t="s">
        <v>931</v>
      </c>
      <c r="F304" s="2" t="s">
        <v>932</v>
      </c>
      <c r="G304" s="2" t="s">
        <v>58</v>
      </c>
      <c r="H304" s="2" t="s">
        <v>25</v>
      </c>
      <c r="I304" s="2" t="s">
        <v>495</v>
      </c>
      <c r="J304" s="2" t="s">
        <v>496</v>
      </c>
      <c r="K304" s="2" t="s">
        <v>147</v>
      </c>
      <c r="L304" s="2" t="s">
        <v>933</v>
      </c>
      <c r="M304" s="2" t="s">
        <v>30</v>
      </c>
      <c r="N304" s="2" t="s">
        <v>162</v>
      </c>
      <c r="O304" s="2" t="s">
        <v>934</v>
      </c>
      <c r="P304" s="4">
        <v>1033.5748000000001</v>
      </c>
      <c r="Q304" s="4">
        <v>3</v>
      </c>
      <c r="R304" s="4">
        <v>-248.51589999999999</v>
      </c>
      <c r="S304" s="2" t="s">
        <v>85</v>
      </c>
      <c r="T304" s="2" t="s">
        <v>101</v>
      </c>
    </row>
    <row r="305" spans="1:20" x14ac:dyDescent="0.25">
      <c r="A305" s="2" t="s">
        <v>930</v>
      </c>
      <c r="B305" s="3">
        <v>42053</v>
      </c>
      <c r="C305" s="3">
        <v>42058</v>
      </c>
      <c r="D305" s="2" t="s">
        <v>55</v>
      </c>
      <c r="E305" s="2" t="s">
        <v>931</v>
      </c>
      <c r="F305" s="2" t="s">
        <v>932</v>
      </c>
      <c r="G305" s="2" t="s">
        <v>58</v>
      </c>
      <c r="H305" s="2" t="s">
        <v>25</v>
      </c>
      <c r="I305" s="2" t="s">
        <v>495</v>
      </c>
      <c r="J305" s="2" t="s">
        <v>496</v>
      </c>
      <c r="K305" s="2" t="s">
        <v>147</v>
      </c>
      <c r="L305" s="2" t="s">
        <v>29</v>
      </c>
      <c r="M305" s="2" t="s">
        <v>30</v>
      </c>
      <c r="N305" s="2" t="s">
        <v>31</v>
      </c>
      <c r="O305" s="2" t="s">
        <v>32</v>
      </c>
      <c r="P305" s="4">
        <v>50.977899999999998</v>
      </c>
      <c r="Q305" s="4">
        <v>1</v>
      </c>
      <c r="R305" s="4">
        <v>-16.2028</v>
      </c>
      <c r="S305" s="2" t="s">
        <v>85</v>
      </c>
      <c r="T305" s="2" t="s">
        <v>101</v>
      </c>
    </row>
    <row r="306" spans="1:20" x14ac:dyDescent="0.25">
      <c r="A306" s="2" t="s">
        <v>935</v>
      </c>
      <c r="B306" s="3">
        <v>42843</v>
      </c>
      <c r="C306" s="3">
        <v>42845</v>
      </c>
      <c r="D306" s="2" t="s">
        <v>48</v>
      </c>
      <c r="E306" s="2" t="s">
        <v>936</v>
      </c>
      <c r="F306" s="2" t="s">
        <v>937</v>
      </c>
      <c r="G306" s="2" t="s">
        <v>58</v>
      </c>
      <c r="H306" s="2" t="s">
        <v>25</v>
      </c>
      <c r="I306" s="2" t="s">
        <v>39</v>
      </c>
      <c r="J306" s="2" t="s">
        <v>40</v>
      </c>
      <c r="K306" s="2" t="s">
        <v>28</v>
      </c>
      <c r="L306" s="2" t="s">
        <v>113</v>
      </c>
      <c r="M306" s="2" t="s">
        <v>30</v>
      </c>
      <c r="N306" s="2" t="s">
        <v>31</v>
      </c>
      <c r="O306" s="2" t="s">
        <v>114</v>
      </c>
      <c r="P306" s="4">
        <v>161.11240000000001</v>
      </c>
      <c r="Q306" s="4">
        <v>10</v>
      </c>
      <c r="R306" s="4">
        <v>55.743600000000001</v>
      </c>
      <c r="S306" s="2" t="s">
        <v>53</v>
      </c>
      <c r="T306" s="2" t="s">
        <v>108</v>
      </c>
    </row>
    <row r="307" spans="1:20" x14ac:dyDescent="0.25">
      <c r="A307" s="2" t="s">
        <v>938</v>
      </c>
      <c r="B307" s="3">
        <v>42344</v>
      </c>
      <c r="C307" s="3">
        <v>42346</v>
      </c>
      <c r="D307" s="2" t="s">
        <v>55</v>
      </c>
      <c r="E307" s="2" t="s">
        <v>939</v>
      </c>
      <c r="F307" s="2" t="s">
        <v>940</v>
      </c>
      <c r="G307" s="2" t="s">
        <v>58</v>
      </c>
      <c r="H307" s="2" t="s">
        <v>25</v>
      </c>
      <c r="I307" s="2" t="s">
        <v>137</v>
      </c>
      <c r="J307" s="2" t="s">
        <v>138</v>
      </c>
      <c r="K307" s="2" t="s">
        <v>82</v>
      </c>
      <c r="L307" s="2" t="s">
        <v>344</v>
      </c>
      <c r="M307" s="2" t="s">
        <v>30</v>
      </c>
      <c r="N307" s="2" t="s">
        <v>42</v>
      </c>
      <c r="O307" s="2" t="s">
        <v>345</v>
      </c>
      <c r="P307" s="4">
        <v>604.55650000000003</v>
      </c>
      <c r="Q307" s="4">
        <v>3</v>
      </c>
      <c r="R307" s="4">
        <v>112.9691</v>
      </c>
      <c r="S307" s="2" t="s">
        <v>53</v>
      </c>
      <c r="T307" s="2" t="s">
        <v>76</v>
      </c>
    </row>
    <row r="308" spans="1:20" x14ac:dyDescent="0.25">
      <c r="A308" s="2" t="s">
        <v>941</v>
      </c>
      <c r="B308" s="3">
        <v>43034</v>
      </c>
      <c r="C308" s="3">
        <v>43036</v>
      </c>
      <c r="D308" s="2" t="s">
        <v>21</v>
      </c>
      <c r="E308" s="2" t="s">
        <v>942</v>
      </c>
      <c r="F308" s="2" t="s">
        <v>943</v>
      </c>
      <c r="G308" s="2" t="s">
        <v>58</v>
      </c>
      <c r="H308" s="2" t="s">
        <v>25</v>
      </c>
      <c r="I308" s="2" t="s">
        <v>917</v>
      </c>
      <c r="J308" s="2" t="s">
        <v>120</v>
      </c>
      <c r="K308" s="2" t="s">
        <v>61</v>
      </c>
      <c r="L308" s="2" t="s">
        <v>328</v>
      </c>
      <c r="M308" s="2" t="s">
        <v>30</v>
      </c>
      <c r="N308" s="2" t="s">
        <v>63</v>
      </c>
      <c r="O308" s="2" t="s">
        <v>329</v>
      </c>
      <c r="P308" s="4">
        <v>149.17599999999999</v>
      </c>
      <c r="Q308" s="4">
        <v>3</v>
      </c>
      <c r="R308" s="4">
        <v>-46.033200000000001</v>
      </c>
      <c r="S308" s="2" t="s">
        <v>53</v>
      </c>
      <c r="T308" s="2" t="s">
        <v>224</v>
      </c>
    </row>
    <row r="309" spans="1:20" x14ac:dyDescent="0.25">
      <c r="A309" s="2" t="s">
        <v>941</v>
      </c>
      <c r="B309" s="3">
        <v>43034</v>
      </c>
      <c r="C309" s="3">
        <v>43036</v>
      </c>
      <c r="D309" s="2" t="s">
        <v>21</v>
      </c>
      <c r="E309" s="2" t="s">
        <v>942</v>
      </c>
      <c r="F309" s="2" t="s">
        <v>943</v>
      </c>
      <c r="G309" s="2" t="s">
        <v>58</v>
      </c>
      <c r="H309" s="2" t="s">
        <v>25</v>
      </c>
      <c r="I309" s="2" t="s">
        <v>917</v>
      </c>
      <c r="J309" s="2" t="s">
        <v>120</v>
      </c>
      <c r="K309" s="2" t="s">
        <v>61</v>
      </c>
      <c r="L309" s="2" t="s">
        <v>139</v>
      </c>
      <c r="M309" s="2" t="s">
        <v>30</v>
      </c>
      <c r="N309" s="2" t="s">
        <v>42</v>
      </c>
      <c r="O309" s="2" t="s">
        <v>140</v>
      </c>
      <c r="P309" s="4">
        <v>159.9632</v>
      </c>
      <c r="Q309" s="4">
        <v>5</v>
      </c>
      <c r="R309" s="4">
        <v>-13.7105</v>
      </c>
      <c r="S309" s="2" t="s">
        <v>53</v>
      </c>
      <c r="T309" s="2" t="s">
        <v>224</v>
      </c>
    </row>
    <row r="310" spans="1:20" x14ac:dyDescent="0.25">
      <c r="A310" s="2" t="s">
        <v>944</v>
      </c>
      <c r="B310" s="3">
        <v>43065</v>
      </c>
      <c r="C310" s="3">
        <v>43069</v>
      </c>
      <c r="D310" s="2" t="s">
        <v>21</v>
      </c>
      <c r="E310" s="2" t="s">
        <v>945</v>
      </c>
      <c r="F310" s="2" t="s">
        <v>946</v>
      </c>
      <c r="G310" s="2" t="s">
        <v>58</v>
      </c>
      <c r="H310" s="2" t="s">
        <v>25</v>
      </c>
      <c r="I310" s="2" t="s">
        <v>223</v>
      </c>
      <c r="J310" s="2" t="s">
        <v>81</v>
      </c>
      <c r="K310" s="2" t="s">
        <v>82</v>
      </c>
      <c r="L310" s="2" t="s">
        <v>228</v>
      </c>
      <c r="M310" s="2" t="s">
        <v>30</v>
      </c>
      <c r="N310" s="2" t="s">
        <v>42</v>
      </c>
      <c r="O310" s="2" t="s">
        <v>229</v>
      </c>
      <c r="P310" s="4">
        <v>809.76570000000004</v>
      </c>
      <c r="Q310" s="4">
        <v>1</v>
      </c>
      <c r="R310" s="4">
        <v>-66.317700000000002</v>
      </c>
      <c r="S310" s="2" t="s">
        <v>75</v>
      </c>
      <c r="T310" s="2" t="s">
        <v>93</v>
      </c>
    </row>
    <row r="311" spans="1:20" x14ac:dyDescent="0.25">
      <c r="A311" s="2" t="s">
        <v>947</v>
      </c>
      <c r="B311" s="3">
        <v>42473</v>
      </c>
      <c r="C311" s="3">
        <v>42479</v>
      </c>
      <c r="D311" s="2" t="s">
        <v>55</v>
      </c>
      <c r="E311" s="2" t="s">
        <v>948</v>
      </c>
      <c r="F311" s="2" t="s">
        <v>949</v>
      </c>
      <c r="G311" s="2" t="s">
        <v>24</v>
      </c>
      <c r="H311" s="2" t="s">
        <v>25</v>
      </c>
      <c r="I311" s="2" t="s">
        <v>402</v>
      </c>
      <c r="J311" s="2" t="s">
        <v>403</v>
      </c>
      <c r="K311" s="2" t="s">
        <v>147</v>
      </c>
      <c r="L311" s="2" t="s">
        <v>29</v>
      </c>
      <c r="M311" s="2" t="s">
        <v>30</v>
      </c>
      <c r="N311" s="2" t="s">
        <v>31</v>
      </c>
      <c r="O311" s="2" t="s">
        <v>32</v>
      </c>
      <c r="P311" s="4">
        <v>9.0419999999999998</v>
      </c>
      <c r="Q311" s="4">
        <v>3</v>
      </c>
      <c r="R311" s="4">
        <v>0.85209999999999997</v>
      </c>
      <c r="S311" s="2" t="s">
        <v>65</v>
      </c>
      <c r="T311" s="2" t="s">
        <v>108</v>
      </c>
    </row>
    <row r="312" spans="1:20" x14ac:dyDescent="0.25">
      <c r="A312" s="2" t="s">
        <v>950</v>
      </c>
      <c r="B312" s="3">
        <v>41699</v>
      </c>
      <c r="C312" s="3">
        <v>41706</v>
      </c>
      <c r="D312" s="2" t="s">
        <v>55</v>
      </c>
      <c r="E312" s="2" t="s">
        <v>951</v>
      </c>
      <c r="F312" s="2" t="s">
        <v>952</v>
      </c>
      <c r="G312" s="2" t="s">
        <v>24</v>
      </c>
      <c r="H312" s="2" t="s">
        <v>25</v>
      </c>
      <c r="I312" s="2" t="s">
        <v>26</v>
      </c>
      <c r="J312" s="2" t="s">
        <v>27</v>
      </c>
      <c r="K312" s="2" t="s">
        <v>28</v>
      </c>
      <c r="L312" s="2" t="s">
        <v>228</v>
      </c>
      <c r="M312" s="2" t="s">
        <v>30</v>
      </c>
      <c r="N312" s="2" t="s">
        <v>42</v>
      </c>
      <c r="O312" s="2" t="s">
        <v>229</v>
      </c>
      <c r="P312" s="4">
        <v>404.95639999999997</v>
      </c>
      <c r="Q312" s="4">
        <v>1</v>
      </c>
      <c r="R312" s="4">
        <v>50.347700000000003</v>
      </c>
      <c r="S312" s="2" t="s">
        <v>107</v>
      </c>
      <c r="T312" s="2" t="s">
        <v>44</v>
      </c>
    </row>
    <row r="313" spans="1:20" x14ac:dyDescent="0.25">
      <c r="A313" s="2" t="s">
        <v>953</v>
      </c>
      <c r="B313" s="3">
        <v>42201</v>
      </c>
      <c r="C313" s="3">
        <v>42208</v>
      </c>
      <c r="D313" s="2" t="s">
        <v>55</v>
      </c>
      <c r="E313" s="2" t="s">
        <v>954</v>
      </c>
      <c r="F313" s="2" t="s">
        <v>955</v>
      </c>
      <c r="G313" s="2" t="s">
        <v>58</v>
      </c>
      <c r="H313" s="2" t="s">
        <v>25</v>
      </c>
      <c r="I313" s="2" t="s">
        <v>695</v>
      </c>
      <c r="J313" s="2" t="s">
        <v>180</v>
      </c>
      <c r="K313" s="2" t="s">
        <v>147</v>
      </c>
      <c r="L313" s="2" t="s">
        <v>139</v>
      </c>
      <c r="M313" s="2" t="s">
        <v>30</v>
      </c>
      <c r="N313" s="2" t="s">
        <v>42</v>
      </c>
      <c r="O313" s="2" t="s">
        <v>140</v>
      </c>
      <c r="P313" s="4">
        <v>166.50829999999999</v>
      </c>
      <c r="Q313" s="4">
        <v>7</v>
      </c>
      <c r="R313" s="4">
        <v>10.1089</v>
      </c>
      <c r="S313" s="2" t="s">
        <v>107</v>
      </c>
      <c r="T313" s="2" t="s">
        <v>86</v>
      </c>
    </row>
    <row r="314" spans="1:20" x14ac:dyDescent="0.25">
      <c r="A314" s="2" t="s">
        <v>956</v>
      </c>
      <c r="B314" s="3">
        <v>42841</v>
      </c>
      <c r="C314" s="3">
        <v>42841</v>
      </c>
      <c r="D314" s="2" t="s">
        <v>55</v>
      </c>
      <c r="E314" s="2" t="s">
        <v>957</v>
      </c>
      <c r="F314" s="2" t="s">
        <v>958</v>
      </c>
      <c r="G314" s="2" t="s">
        <v>58</v>
      </c>
      <c r="H314" s="2" t="s">
        <v>25</v>
      </c>
      <c r="I314" s="2" t="s">
        <v>59</v>
      </c>
      <c r="J314" s="2" t="s">
        <v>60</v>
      </c>
      <c r="K314" s="2" t="s">
        <v>61</v>
      </c>
      <c r="L314" s="2" t="s">
        <v>207</v>
      </c>
      <c r="M314" s="2" t="s">
        <v>30</v>
      </c>
      <c r="N314" s="2" t="s">
        <v>31</v>
      </c>
      <c r="O314" s="2" t="s">
        <v>208</v>
      </c>
      <c r="P314" s="4">
        <v>59.8367</v>
      </c>
      <c r="Q314" s="4">
        <v>2</v>
      </c>
      <c r="R314" s="4">
        <v>30.148499999999999</v>
      </c>
      <c r="S314" s="2" t="s">
        <v>121</v>
      </c>
      <c r="T314" s="2" t="s">
        <v>108</v>
      </c>
    </row>
    <row r="315" spans="1:20" x14ac:dyDescent="0.25">
      <c r="A315" s="2" t="s">
        <v>959</v>
      </c>
      <c r="B315" s="3">
        <v>42093</v>
      </c>
      <c r="C315" s="3">
        <v>42095</v>
      </c>
      <c r="D315" s="2" t="s">
        <v>48</v>
      </c>
      <c r="E315" s="2" t="s">
        <v>866</v>
      </c>
      <c r="F315" s="2" t="s">
        <v>867</v>
      </c>
      <c r="G315" s="2" t="s">
        <v>58</v>
      </c>
      <c r="H315" s="2" t="s">
        <v>25</v>
      </c>
      <c r="I315" s="2" t="s">
        <v>191</v>
      </c>
      <c r="J315" s="2" t="s">
        <v>192</v>
      </c>
      <c r="K315" s="2" t="s">
        <v>82</v>
      </c>
      <c r="L315" s="2" t="s">
        <v>235</v>
      </c>
      <c r="M315" s="2" t="s">
        <v>30</v>
      </c>
      <c r="N315" s="2" t="s">
        <v>31</v>
      </c>
      <c r="O315" s="2" t="s">
        <v>236</v>
      </c>
      <c r="P315" s="4">
        <v>79.616500000000002</v>
      </c>
      <c r="Q315" s="4">
        <v>3</v>
      </c>
      <c r="R315" s="4">
        <v>20.888000000000002</v>
      </c>
      <c r="S315" s="2" t="s">
        <v>53</v>
      </c>
      <c r="T315" s="2" t="s">
        <v>44</v>
      </c>
    </row>
    <row r="316" spans="1:20" x14ac:dyDescent="0.25">
      <c r="A316" s="2" t="s">
        <v>960</v>
      </c>
      <c r="B316" s="3">
        <v>41994</v>
      </c>
      <c r="C316" s="3">
        <v>42000</v>
      </c>
      <c r="D316" s="2" t="s">
        <v>55</v>
      </c>
      <c r="E316" s="2" t="s">
        <v>961</v>
      </c>
      <c r="F316" s="2" t="s">
        <v>962</v>
      </c>
      <c r="G316" s="2" t="s">
        <v>58</v>
      </c>
      <c r="H316" s="2" t="s">
        <v>25</v>
      </c>
      <c r="I316" s="2" t="s">
        <v>360</v>
      </c>
      <c r="J316" s="2" t="s">
        <v>160</v>
      </c>
      <c r="K316" s="2" t="s">
        <v>61</v>
      </c>
      <c r="L316" s="2" t="s">
        <v>333</v>
      </c>
      <c r="M316" s="2" t="s">
        <v>30</v>
      </c>
      <c r="N316" s="2" t="s">
        <v>162</v>
      </c>
      <c r="O316" s="2" t="s">
        <v>334</v>
      </c>
      <c r="P316" s="4">
        <v>152.9169</v>
      </c>
      <c r="Q316" s="4">
        <v>8</v>
      </c>
      <c r="R316" s="4">
        <v>-27.465399999999999</v>
      </c>
      <c r="S316" s="2" t="s">
        <v>65</v>
      </c>
      <c r="T316" s="2" t="s">
        <v>76</v>
      </c>
    </row>
    <row r="317" spans="1:20" x14ac:dyDescent="0.25">
      <c r="A317" s="2" t="s">
        <v>960</v>
      </c>
      <c r="B317" s="3">
        <v>41994</v>
      </c>
      <c r="C317" s="3">
        <v>42000</v>
      </c>
      <c r="D317" s="2" t="s">
        <v>55</v>
      </c>
      <c r="E317" s="2" t="s">
        <v>961</v>
      </c>
      <c r="F317" s="2" t="s">
        <v>962</v>
      </c>
      <c r="G317" s="2" t="s">
        <v>58</v>
      </c>
      <c r="H317" s="2" t="s">
        <v>25</v>
      </c>
      <c r="I317" s="2" t="s">
        <v>360</v>
      </c>
      <c r="J317" s="2" t="s">
        <v>160</v>
      </c>
      <c r="K317" s="2" t="s">
        <v>61</v>
      </c>
      <c r="L317" s="2" t="s">
        <v>161</v>
      </c>
      <c r="M317" s="2" t="s">
        <v>30</v>
      </c>
      <c r="N317" s="2" t="s">
        <v>162</v>
      </c>
      <c r="O317" s="2" t="s">
        <v>163</v>
      </c>
      <c r="P317" s="4">
        <v>859.31859999999995</v>
      </c>
      <c r="Q317" s="4">
        <v>5</v>
      </c>
      <c r="R317" s="4">
        <v>-278.66219999999998</v>
      </c>
      <c r="S317" s="2" t="s">
        <v>65</v>
      </c>
      <c r="T317" s="2" t="s">
        <v>76</v>
      </c>
    </row>
    <row r="318" spans="1:20" x14ac:dyDescent="0.25">
      <c r="A318" s="2" t="s">
        <v>963</v>
      </c>
      <c r="B318" s="3">
        <v>42706</v>
      </c>
      <c r="C318" s="3">
        <v>42710</v>
      </c>
      <c r="D318" s="2" t="s">
        <v>55</v>
      </c>
      <c r="E318" s="2" t="s">
        <v>964</v>
      </c>
      <c r="F318" s="2" t="s">
        <v>965</v>
      </c>
      <c r="G318" s="2" t="s">
        <v>58</v>
      </c>
      <c r="H318" s="2" t="s">
        <v>25</v>
      </c>
      <c r="I318" s="2" t="s">
        <v>539</v>
      </c>
      <c r="J318" s="2" t="s">
        <v>91</v>
      </c>
      <c r="K318" s="2" t="s">
        <v>61</v>
      </c>
      <c r="L318" s="2" t="s">
        <v>73</v>
      </c>
      <c r="M318" s="2" t="s">
        <v>30</v>
      </c>
      <c r="N318" s="2" t="s">
        <v>42</v>
      </c>
      <c r="O318" s="2" t="s">
        <v>74</v>
      </c>
      <c r="P318" s="4">
        <v>287.8775</v>
      </c>
      <c r="Q318" s="4">
        <v>6</v>
      </c>
      <c r="R318" s="4">
        <v>41.931899999999999</v>
      </c>
      <c r="S318" s="2" t="s">
        <v>75</v>
      </c>
      <c r="T318" s="2" t="s">
        <v>76</v>
      </c>
    </row>
    <row r="319" spans="1:20" x14ac:dyDescent="0.25">
      <c r="A319" s="2" t="s">
        <v>966</v>
      </c>
      <c r="B319" s="3">
        <v>42328</v>
      </c>
      <c r="C319" s="3">
        <v>42330</v>
      </c>
      <c r="D319" s="2" t="s">
        <v>21</v>
      </c>
      <c r="E319" s="2" t="s">
        <v>967</v>
      </c>
      <c r="F319" s="2" t="s">
        <v>968</v>
      </c>
      <c r="G319" s="2" t="s">
        <v>58</v>
      </c>
      <c r="H319" s="2" t="s">
        <v>25</v>
      </c>
      <c r="I319" s="2" t="s">
        <v>969</v>
      </c>
      <c r="J319" s="2" t="s">
        <v>387</v>
      </c>
      <c r="K319" s="2" t="s">
        <v>61</v>
      </c>
      <c r="L319" s="2" t="s">
        <v>333</v>
      </c>
      <c r="M319" s="2" t="s">
        <v>30</v>
      </c>
      <c r="N319" s="2" t="s">
        <v>162</v>
      </c>
      <c r="O319" s="2" t="s">
        <v>334</v>
      </c>
      <c r="P319" s="4">
        <v>251.45050000000001</v>
      </c>
      <c r="Q319" s="4">
        <v>9</v>
      </c>
      <c r="R319" s="4">
        <v>-127.45</v>
      </c>
      <c r="S319" s="2" t="s">
        <v>53</v>
      </c>
      <c r="T319" s="2" t="s">
        <v>93</v>
      </c>
    </row>
    <row r="320" spans="1:20" x14ac:dyDescent="0.25">
      <c r="A320" s="2" t="s">
        <v>970</v>
      </c>
      <c r="B320" s="3">
        <v>41756</v>
      </c>
      <c r="C320" s="3">
        <v>41758</v>
      </c>
      <c r="D320" s="2" t="s">
        <v>21</v>
      </c>
      <c r="E320" s="2" t="s">
        <v>641</v>
      </c>
      <c r="F320" s="2" t="s">
        <v>642</v>
      </c>
      <c r="G320" s="2" t="s">
        <v>58</v>
      </c>
      <c r="H320" s="2" t="s">
        <v>25</v>
      </c>
      <c r="I320" s="2" t="s">
        <v>474</v>
      </c>
      <c r="J320" s="2" t="s">
        <v>475</v>
      </c>
      <c r="K320" s="2" t="s">
        <v>28</v>
      </c>
      <c r="L320" s="2" t="s">
        <v>372</v>
      </c>
      <c r="M320" s="2" t="s">
        <v>30</v>
      </c>
      <c r="N320" s="2" t="s">
        <v>162</v>
      </c>
      <c r="O320" s="2" t="s">
        <v>373</v>
      </c>
      <c r="P320" s="4">
        <v>782.03020000000004</v>
      </c>
      <c r="Q320" s="4">
        <v>4</v>
      </c>
      <c r="R320" s="4">
        <v>258.35050000000001</v>
      </c>
      <c r="S320" s="2" t="s">
        <v>53</v>
      </c>
      <c r="T320" s="2" t="s">
        <v>108</v>
      </c>
    </row>
    <row r="321" spans="1:20" x14ac:dyDescent="0.25">
      <c r="A321" s="2" t="s">
        <v>971</v>
      </c>
      <c r="B321" s="3">
        <v>41712</v>
      </c>
      <c r="C321" s="3">
        <v>41715</v>
      </c>
      <c r="D321" s="2" t="s">
        <v>21</v>
      </c>
      <c r="E321" s="2" t="s">
        <v>972</v>
      </c>
      <c r="F321" s="2" t="s">
        <v>973</v>
      </c>
      <c r="G321" s="2" t="s">
        <v>38</v>
      </c>
      <c r="H321" s="2" t="s">
        <v>25</v>
      </c>
      <c r="I321" s="2" t="s">
        <v>649</v>
      </c>
      <c r="J321" s="2" t="s">
        <v>279</v>
      </c>
      <c r="K321" s="2" t="s">
        <v>28</v>
      </c>
      <c r="L321" s="2" t="s">
        <v>113</v>
      </c>
      <c r="M321" s="2" t="s">
        <v>30</v>
      </c>
      <c r="N321" s="2" t="s">
        <v>31</v>
      </c>
      <c r="O321" s="2" t="s">
        <v>114</v>
      </c>
      <c r="P321" s="4">
        <v>312.71429999999998</v>
      </c>
      <c r="Q321" s="4">
        <v>1</v>
      </c>
      <c r="R321" s="4">
        <v>69.524299999999997</v>
      </c>
      <c r="S321" s="2" t="s">
        <v>92</v>
      </c>
      <c r="T321" s="2" t="s">
        <v>44</v>
      </c>
    </row>
    <row r="322" spans="1:20" x14ac:dyDescent="0.25">
      <c r="A322" s="2" t="s">
        <v>971</v>
      </c>
      <c r="B322" s="3">
        <v>41712</v>
      </c>
      <c r="C322" s="3">
        <v>41715</v>
      </c>
      <c r="D322" s="2" t="s">
        <v>21</v>
      </c>
      <c r="E322" s="2" t="s">
        <v>972</v>
      </c>
      <c r="F322" s="2" t="s">
        <v>973</v>
      </c>
      <c r="G322" s="2" t="s">
        <v>38</v>
      </c>
      <c r="H322" s="2" t="s">
        <v>25</v>
      </c>
      <c r="I322" s="2" t="s">
        <v>649</v>
      </c>
      <c r="J322" s="2" t="s">
        <v>279</v>
      </c>
      <c r="K322" s="2" t="s">
        <v>28</v>
      </c>
      <c r="L322" s="2" t="s">
        <v>316</v>
      </c>
      <c r="M322" s="2" t="s">
        <v>30</v>
      </c>
      <c r="N322" s="2" t="s">
        <v>42</v>
      </c>
      <c r="O322" s="2" t="s">
        <v>317</v>
      </c>
      <c r="P322" s="4">
        <v>343.33339999999998</v>
      </c>
      <c r="Q322" s="4">
        <v>4</v>
      </c>
      <c r="R322" s="4">
        <v>-43.782600000000002</v>
      </c>
      <c r="S322" s="2" t="s">
        <v>92</v>
      </c>
      <c r="T322" s="2" t="s">
        <v>44</v>
      </c>
    </row>
    <row r="323" spans="1:20" x14ac:dyDescent="0.25">
      <c r="A323" s="2" t="s">
        <v>974</v>
      </c>
      <c r="B323" s="3">
        <v>42986</v>
      </c>
      <c r="C323" s="3">
        <v>42990</v>
      </c>
      <c r="D323" s="2" t="s">
        <v>21</v>
      </c>
      <c r="E323" s="2" t="s">
        <v>975</v>
      </c>
      <c r="F323" s="2" t="s">
        <v>976</v>
      </c>
      <c r="G323" s="2" t="s">
        <v>58</v>
      </c>
      <c r="H323" s="2" t="s">
        <v>25</v>
      </c>
      <c r="I323" s="2" t="s">
        <v>977</v>
      </c>
      <c r="J323" s="2" t="s">
        <v>475</v>
      </c>
      <c r="K323" s="2" t="s">
        <v>28</v>
      </c>
      <c r="L323" s="2" t="s">
        <v>99</v>
      </c>
      <c r="M323" s="2" t="s">
        <v>30</v>
      </c>
      <c r="N323" s="2" t="s">
        <v>42</v>
      </c>
      <c r="O323" s="2" t="s">
        <v>100</v>
      </c>
      <c r="P323" s="4">
        <v>1546.9766999999999</v>
      </c>
      <c r="Q323" s="4">
        <v>2</v>
      </c>
      <c r="R323" s="4">
        <v>251.7319</v>
      </c>
      <c r="S323" s="2" t="s">
        <v>75</v>
      </c>
      <c r="T323" s="2" t="s">
        <v>148</v>
      </c>
    </row>
    <row r="324" spans="1:20" x14ac:dyDescent="0.25">
      <c r="A324" s="2" t="s">
        <v>978</v>
      </c>
      <c r="B324" s="3">
        <v>42327</v>
      </c>
      <c r="C324" s="3">
        <v>42331</v>
      </c>
      <c r="D324" s="2" t="s">
        <v>55</v>
      </c>
      <c r="E324" s="2" t="s">
        <v>979</v>
      </c>
      <c r="F324" s="2" t="s">
        <v>980</v>
      </c>
      <c r="G324" s="2" t="s">
        <v>58</v>
      </c>
      <c r="H324" s="2" t="s">
        <v>25</v>
      </c>
      <c r="I324" s="2" t="s">
        <v>105</v>
      </c>
      <c r="J324" s="2" t="s">
        <v>106</v>
      </c>
      <c r="K324" s="2" t="s">
        <v>61</v>
      </c>
      <c r="L324" s="2" t="s">
        <v>41</v>
      </c>
      <c r="M324" s="2" t="s">
        <v>30</v>
      </c>
      <c r="N324" s="2" t="s">
        <v>42</v>
      </c>
      <c r="O324" s="2" t="s">
        <v>43</v>
      </c>
      <c r="P324" s="4">
        <v>234.7773</v>
      </c>
      <c r="Q324" s="4">
        <v>1</v>
      </c>
      <c r="R324" s="4">
        <v>54.727400000000003</v>
      </c>
      <c r="S324" s="2" t="s">
        <v>75</v>
      </c>
      <c r="T324" s="2" t="s">
        <v>93</v>
      </c>
    </row>
    <row r="325" spans="1:20" x14ac:dyDescent="0.25">
      <c r="A325" s="2" t="s">
        <v>981</v>
      </c>
      <c r="B325" s="3">
        <v>42939</v>
      </c>
      <c r="C325" s="3">
        <v>42945</v>
      </c>
      <c r="D325" s="2" t="s">
        <v>55</v>
      </c>
      <c r="E325" s="2" t="s">
        <v>588</v>
      </c>
      <c r="F325" s="2" t="s">
        <v>589</v>
      </c>
      <c r="G325" s="2" t="s">
        <v>24</v>
      </c>
      <c r="H325" s="2" t="s">
        <v>25</v>
      </c>
      <c r="I325" s="2" t="s">
        <v>982</v>
      </c>
      <c r="J325" s="2" t="s">
        <v>180</v>
      </c>
      <c r="K325" s="2" t="s">
        <v>147</v>
      </c>
      <c r="L325" s="2" t="s">
        <v>323</v>
      </c>
      <c r="M325" s="2" t="s">
        <v>30</v>
      </c>
      <c r="N325" s="2" t="s">
        <v>31</v>
      </c>
      <c r="O325" s="2" t="s">
        <v>324</v>
      </c>
      <c r="P325" s="4">
        <v>27.421900000000001</v>
      </c>
      <c r="Q325" s="4">
        <v>2</v>
      </c>
      <c r="R325" s="4">
        <v>-0.93149999999999999</v>
      </c>
      <c r="S325" s="2" t="s">
        <v>65</v>
      </c>
      <c r="T325" s="2" t="s">
        <v>86</v>
      </c>
    </row>
    <row r="326" spans="1:20" x14ac:dyDescent="0.25">
      <c r="A326" s="2" t="s">
        <v>983</v>
      </c>
      <c r="B326" s="3">
        <v>42050</v>
      </c>
      <c r="C326" s="3">
        <v>42050</v>
      </c>
      <c r="D326" s="2" t="s">
        <v>48</v>
      </c>
      <c r="E326" s="2" t="s">
        <v>984</v>
      </c>
      <c r="F326" s="2" t="s">
        <v>985</v>
      </c>
      <c r="G326" s="2" t="s">
        <v>24</v>
      </c>
      <c r="H326" s="2" t="s">
        <v>25</v>
      </c>
      <c r="I326" s="2" t="s">
        <v>902</v>
      </c>
      <c r="J326" s="2" t="s">
        <v>632</v>
      </c>
      <c r="K326" s="2" t="s">
        <v>82</v>
      </c>
      <c r="L326" s="2" t="s">
        <v>161</v>
      </c>
      <c r="M326" s="2" t="s">
        <v>30</v>
      </c>
      <c r="N326" s="2" t="s">
        <v>162</v>
      </c>
      <c r="O326" s="2" t="s">
        <v>163</v>
      </c>
      <c r="P326" s="4">
        <v>401.68279999999999</v>
      </c>
      <c r="Q326" s="4">
        <v>2</v>
      </c>
      <c r="R326" s="4">
        <v>-29.975200000000001</v>
      </c>
      <c r="S326" s="2" t="s">
        <v>121</v>
      </c>
      <c r="T326" s="2" t="s">
        <v>101</v>
      </c>
    </row>
    <row r="327" spans="1:20" x14ac:dyDescent="0.25">
      <c r="A327" s="2" t="s">
        <v>986</v>
      </c>
      <c r="B327" s="3">
        <v>42002</v>
      </c>
      <c r="C327" s="3">
        <v>42003</v>
      </c>
      <c r="D327" s="2" t="s">
        <v>21</v>
      </c>
      <c r="E327" s="2" t="s">
        <v>987</v>
      </c>
      <c r="F327" s="2" t="s">
        <v>988</v>
      </c>
      <c r="G327" s="2" t="s">
        <v>58</v>
      </c>
      <c r="H327" s="2" t="s">
        <v>25</v>
      </c>
      <c r="I327" s="2" t="s">
        <v>394</v>
      </c>
      <c r="J327" s="2" t="s">
        <v>289</v>
      </c>
      <c r="K327" s="2" t="s">
        <v>82</v>
      </c>
      <c r="L327" s="2" t="s">
        <v>73</v>
      </c>
      <c r="M327" s="2" t="s">
        <v>30</v>
      </c>
      <c r="N327" s="2" t="s">
        <v>42</v>
      </c>
      <c r="O327" s="2" t="s">
        <v>74</v>
      </c>
      <c r="P327" s="4">
        <v>451.7996</v>
      </c>
      <c r="Q327" s="4">
        <v>1</v>
      </c>
      <c r="R327" s="4">
        <v>93.029700000000005</v>
      </c>
      <c r="S327" s="2" t="s">
        <v>33</v>
      </c>
      <c r="T327" s="2" t="s">
        <v>76</v>
      </c>
    </row>
    <row r="328" spans="1:20" x14ac:dyDescent="0.25">
      <c r="A328" s="2" t="s">
        <v>989</v>
      </c>
      <c r="B328" s="3">
        <v>41905</v>
      </c>
      <c r="C328" s="3">
        <v>41908</v>
      </c>
      <c r="D328" s="2" t="s">
        <v>55</v>
      </c>
      <c r="E328" s="2" t="s">
        <v>990</v>
      </c>
      <c r="F328" s="2" t="s">
        <v>991</v>
      </c>
      <c r="G328" s="2" t="s">
        <v>58</v>
      </c>
      <c r="H328" s="2" t="s">
        <v>25</v>
      </c>
      <c r="I328" s="2" t="s">
        <v>449</v>
      </c>
      <c r="J328" s="2" t="s">
        <v>98</v>
      </c>
      <c r="K328" s="2" t="s">
        <v>82</v>
      </c>
      <c r="L328" s="2" t="s">
        <v>186</v>
      </c>
      <c r="M328" s="2" t="s">
        <v>30</v>
      </c>
      <c r="N328" s="2" t="s">
        <v>31</v>
      </c>
      <c r="O328" s="2" t="s">
        <v>187</v>
      </c>
      <c r="P328" s="4">
        <v>539.73090000000002</v>
      </c>
      <c r="Q328" s="4">
        <v>1</v>
      </c>
      <c r="R328" s="4">
        <v>-123.0805</v>
      </c>
      <c r="S328" s="2" t="s">
        <v>92</v>
      </c>
      <c r="T328" s="2" t="s">
        <v>148</v>
      </c>
    </row>
    <row r="329" spans="1:20" x14ac:dyDescent="0.25">
      <c r="A329" s="2" t="s">
        <v>992</v>
      </c>
      <c r="B329" s="3">
        <v>42727</v>
      </c>
      <c r="C329" s="3">
        <v>42728</v>
      </c>
      <c r="D329" s="2" t="s">
        <v>55</v>
      </c>
      <c r="E329" s="2" t="s">
        <v>993</v>
      </c>
      <c r="F329" s="2" t="s">
        <v>994</v>
      </c>
      <c r="G329" s="2" t="s">
        <v>38</v>
      </c>
      <c r="H329" s="2" t="s">
        <v>25</v>
      </c>
      <c r="I329" s="2" t="s">
        <v>760</v>
      </c>
      <c r="J329" s="2" t="s">
        <v>112</v>
      </c>
      <c r="K329" s="2" t="s">
        <v>28</v>
      </c>
      <c r="L329" s="2" t="s">
        <v>323</v>
      </c>
      <c r="M329" s="2" t="s">
        <v>30</v>
      </c>
      <c r="N329" s="2" t="s">
        <v>31</v>
      </c>
      <c r="O329" s="2" t="s">
        <v>324</v>
      </c>
      <c r="P329" s="4">
        <v>330.15750000000003</v>
      </c>
      <c r="Q329" s="4">
        <v>4</v>
      </c>
      <c r="R329" s="4">
        <v>56.433900000000001</v>
      </c>
      <c r="S329" s="2" t="s">
        <v>33</v>
      </c>
      <c r="T329" s="2" t="s">
        <v>76</v>
      </c>
    </row>
    <row r="330" spans="1:20" x14ac:dyDescent="0.25">
      <c r="A330" s="2" t="s">
        <v>995</v>
      </c>
      <c r="B330" s="3">
        <v>41773</v>
      </c>
      <c r="C330" s="3">
        <v>41779</v>
      </c>
      <c r="D330" s="2" t="s">
        <v>55</v>
      </c>
      <c r="E330" s="2" t="s">
        <v>637</v>
      </c>
      <c r="F330" s="2" t="s">
        <v>638</v>
      </c>
      <c r="G330" s="2" t="s">
        <v>24</v>
      </c>
      <c r="H330" s="2" t="s">
        <v>25</v>
      </c>
      <c r="I330" s="2" t="s">
        <v>382</v>
      </c>
      <c r="J330" s="2" t="s">
        <v>192</v>
      </c>
      <c r="K330" s="2" t="s">
        <v>82</v>
      </c>
      <c r="L330" s="2" t="s">
        <v>186</v>
      </c>
      <c r="M330" s="2" t="s">
        <v>30</v>
      </c>
      <c r="N330" s="2" t="s">
        <v>31</v>
      </c>
      <c r="O330" s="2" t="s">
        <v>187</v>
      </c>
      <c r="P330" s="4">
        <v>24.5777</v>
      </c>
      <c r="Q330" s="4">
        <v>2</v>
      </c>
      <c r="R330" s="4">
        <v>8.1309000000000005</v>
      </c>
      <c r="S330" s="2" t="s">
        <v>65</v>
      </c>
      <c r="T330" s="2" t="s">
        <v>122</v>
      </c>
    </row>
    <row r="331" spans="1:20" x14ac:dyDescent="0.25">
      <c r="A331" s="2" t="s">
        <v>995</v>
      </c>
      <c r="B331" s="3">
        <v>41773</v>
      </c>
      <c r="C331" s="3">
        <v>41779</v>
      </c>
      <c r="D331" s="2" t="s">
        <v>55</v>
      </c>
      <c r="E331" s="2" t="s">
        <v>637</v>
      </c>
      <c r="F331" s="2" t="s">
        <v>638</v>
      </c>
      <c r="G331" s="2" t="s">
        <v>24</v>
      </c>
      <c r="H331" s="2" t="s">
        <v>25</v>
      </c>
      <c r="I331" s="2" t="s">
        <v>382</v>
      </c>
      <c r="J331" s="2" t="s">
        <v>192</v>
      </c>
      <c r="K331" s="2" t="s">
        <v>82</v>
      </c>
      <c r="L331" s="2" t="s">
        <v>66</v>
      </c>
      <c r="M331" s="2" t="s">
        <v>30</v>
      </c>
      <c r="N331" s="2" t="s">
        <v>31</v>
      </c>
      <c r="O331" s="2" t="s">
        <v>67</v>
      </c>
      <c r="P331" s="4">
        <v>46.0914</v>
      </c>
      <c r="Q331" s="4">
        <v>2</v>
      </c>
      <c r="R331" s="4">
        <v>24.714300000000001</v>
      </c>
      <c r="S331" s="2" t="s">
        <v>65</v>
      </c>
      <c r="T331" s="2" t="s">
        <v>122</v>
      </c>
    </row>
    <row r="332" spans="1:20" x14ac:dyDescent="0.25">
      <c r="A332" s="2" t="s">
        <v>996</v>
      </c>
      <c r="B332" s="3">
        <v>42375</v>
      </c>
      <c r="C332" s="3">
        <v>42377</v>
      </c>
      <c r="D332" s="2" t="s">
        <v>55</v>
      </c>
      <c r="E332" s="2" t="s">
        <v>286</v>
      </c>
      <c r="F332" s="2" t="s">
        <v>287</v>
      </c>
      <c r="G332" s="2" t="s">
        <v>24</v>
      </c>
      <c r="H332" s="2" t="s">
        <v>25</v>
      </c>
      <c r="I332" s="2" t="s">
        <v>501</v>
      </c>
      <c r="J332" s="2" t="s">
        <v>234</v>
      </c>
      <c r="K332" s="2" t="s">
        <v>82</v>
      </c>
      <c r="L332" s="2" t="s">
        <v>513</v>
      </c>
      <c r="M332" s="2" t="s">
        <v>30</v>
      </c>
      <c r="N332" s="2" t="s">
        <v>63</v>
      </c>
      <c r="O332" s="2" t="s">
        <v>514</v>
      </c>
      <c r="P332" s="4">
        <v>95.037199999999999</v>
      </c>
      <c r="Q332" s="4">
        <v>2</v>
      </c>
      <c r="R332" s="4">
        <v>-45.645000000000003</v>
      </c>
      <c r="S332" s="2" t="s">
        <v>53</v>
      </c>
      <c r="T332" s="2" t="s">
        <v>115</v>
      </c>
    </row>
    <row r="333" spans="1:20" x14ac:dyDescent="0.25">
      <c r="A333" s="2" t="s">
        <v>997</v>
      </c>
      <c r="B333" s="3">
        <v>41986</v>
      </c>
      <c r="C333" s="3">
        <v>41986</v>
      </c>
      <c r="D333" s="2" t="s">
        <v>55</v>
      </c>
      <c r="E333" s="2" t="s">
        <v>998</v>
      </c>
      <c r="F333" s="2" t="s">
        <v>999</v>
      </c>
      <c r="G333" s="2" t="s">
        <v>38</v>
      </c>
      <c r="H333" s="2" t="s">
        <v>25</v>
      </c>
      <c r="I333" s="2" t="s">
        <v>736</v>
      </c>
      <c r="J333" s="2" t="s">
        <v>728</v>
      </c>
      <c r="K333" s="2" t="s">
        <v>147</v>
      </c>
      <c r="L333" s="2" t="s">
        <v>415</v>
      </c>
      <c r="M333" s="2" t="s">
        <v>30</v>
      </c>
      <c r="N333" s="2" t="s">
        <v>63</v>
      </c>
      <c r="O333" s="2" t="s">
        <v>416</v>
      </c>
      <c r="P333" s="4">
        <v>1023.1857</v>
      </c>
      <c r="Q333" s="4">
        <v>3</v>
      </c>
      <c r="R333" s="4">
        <v>-275.9914</v>
      </c>
      <c r="S333" s="2" t="s">
        <v>121</v>
      </c>
      <c r="T333" s="2" t="s">
        <v>76</v>
      </c>
    </row>
    <row r="334" spans="1:20" x14ac:dyDescent="0.25">
      <c r="A334" s="2" t="s">
        <v>1000</v>
      </c>
      <c r="B334" s="3">
        <v>42978</v>
      </c>
      <c r="C334" s="3">
        <v>42982</v>
      </c>
      <c r="D334" s="2" t="s">
        <v>55</v>
      </c>
      <c r="E334" s="2" t="s">
        <v>1001</v>
      </c>
      <c r="F334" s="2" t="s">
        <v>1002</v>
      </c>
      <c r="G334" s="2" t="s">
        <v>38</v>
      </c>
      <c r="H334" s="2" t="s">
        <v>25</v>
      </c>
      <c r="I334" s="2" t="s">
        <v>449</v>
      </c>
      <c r="J334" s="2" t="s">
        <v>98</v>
      </c>
      <c r="K334" s="2" t="s">
        <v>82</v>
      </c>
      <c r="L334" s="2" t="s">
        <v>154</v>
      </c>
      <c r="M334" s="2" t="s">
        <v>30</v>
      </c>
      <c r="N334" s="2" t="s">
        <v>42</v>
      </c>
      <c r="O334" s="2" t="s">
        <v>155</v>
      </c>
      <c r="P334" s="4">
        <v>448.55959999999999</v>
      </c>
      <c r="Q334" s="4">
        <v>2</v>
      </c>
      <c r="R334" s="4">
        <v>80.136399999999995</v>
      </c>
      <c r="S334" s="2" t="s">
        <v>75</v>
      </c>
      <c r="T334" s="2" t="s">
        <v>34</v>
      </c>
    </row>
    <row r="335" spans="1:20" x14ac:dyDescent="0.25">
      <c r="A335" s="2" t="s">
        <v>1003</v>
      </c>
      <c r="B335" s="3">
        <v>43044</v>
      </c>
      <c r="C335" s="3">
        <v>43046</v>
      </c>
      <c r="D335" s="2" t="s">
        <v>55</v>
      </c>
      <c r="E335" s="2" t="s">
        <v>1004</v>
      </c>
      <c r="F335" s="2" t="s">
        <v>1005</v>
      </c>
      <c r="G335" s="2" t="s">
        <v>58</v>
      </c>
      <c r="H335" s="2" t="s">
        <v>25</v>
      </c>
      <c r="I335" s="2" t="s">
        <v>1006</v>
      </c>
      <c r="J335" s="2" t="s">
        <v>180</v>
      </c>
      <c r="K335" s="2" t="s">
        <v>147</v>
      </c>
      <c r="L335" s="2" t="s">
        <v>113</v>
      </c>
      <c r="M335" s="2" t="s">
        <v>30</v>
      </c>
      <c r="N335" s="2" t="s">
        <v>31</v>
      </c>
      <c r="O335" s="2" t="s">
        <v>114</v>
      </c>
      <c r="P335" s="4">
        <v>113.86369999999999</v>
      </c>
      <c r="Q335" s="4">
        <v>5</v>
      </c>
      <c r="R335" s="4">
        <v>-20.401900000000001</v>
      </c>
      <c r="S335" s="2" t="s">
        <v>53</v>
      </c>
      <c r="T335" s="2" t="s">
        <v>93</v>
      </c>
    </row>
    <row r="336" spans="1:20" x14ac:dyDescent="0.25">
      <c r="A336" s="2" t="s">
        <v>1007</v>
      </c>
      <c r="B336" s="3">
        <v>42905</v>
      </c>
      <c r="C336" s="3">
        <v>42907</v>
      </c>
      <c r="D336" s="2" t="s">
        <v>21</v>
      </c>
      <c r="E336" s="2" t="s">
        <v>1008</v>
      </c>
      <c r="F336" s="2" t="s">
        <v>1009</v>
      </c>
      <c r="G336" s="2" t="s">
        <v>58</v>
      </c>
      <c r="H336" s="2" t="s">
        <v>25</v>
      </c>
      <c r="I336" s="2" t="s">
        <v>212</v>
      </c>
      <c r="J336" s="2" t="s">
        <v>185</v>
      </c>
      <c r="K336" s="2" t="s">
        <v>147</v>
      </c>
      <c r="L336" s="2" t="s">
        <v>186</v>
      </c>
      <c r="M336" s="2" t="s">
        <v>30</v>
      </c>
      <c r="N336" s="2" t="s">
        <v>31</v>
      </c>
      <c r="O336" s="2" t="s">
        <v>187</v>
      </c>
      <c r="P336" s="4">
        <v>19.517299999999999</v>
      </c>
      <c r="Q336" s="4">
        <v>2</v>
      </c>
      <c r="R336" s="4">
        <v>1.3728</v>
      </c>
      <c r="S336" s="2" t="s">
        <v>53</v>
      </c>
      <c r="T336" s="2" t="s">
        <v>133</v>
      </c>
    </row>
    <row r="337" spans="1:20" x14ac:dyDescent="0.25">
      <c r="A337" s="2" t="s">
        <v>1007</v>
      </c>
      <c r="B337" s="3">
        <v>42905</v>
      </c>
      <c r="C337" s="3">
        <v>42907</v>
      </c>
      <c r="D337" s="2" t="s">
        <v>21</v>
      </c>
      <c r="E337" s="2" t="s">
        <v>1008</v>
      </c>
      <c r="F337" s="2" t="s">
        <v>1009</v>
      </c>
      <c r="G337" s="2" t="s">
        <v>58</v>
      </c>
      <c r="H337" s="2" t="s">
        <v>25</v>
      </c>
      <c r="I337" s="2" t="s">
        <v>212</v>
      </c>
      <c r="J337" s="2" t="s">
        <v>185</v>
      </c>
      <c r="K337" s="2" t="s">
        <v>147</v>
      </c>
      <c r="L337" s="2" t="s">
        <v>131</v>
      </c>
      <c r="M337" s="2" t="s">
        <v>30</v>
      </c>
      <c r="N337" s="2" t="s">
        <v>31</v>
      </c>
      <c r="O337" s="2" t="s">
        <v>132</v>
      </c>
      <c r="P337" s="4">
        <v>6.8662000000000001</v>
      </c>
      <c r="Q337" s="4">
        <v>4</v>
      </c>
      <c r="R337" s="4">
        <v>5.4154999999999998</v>
      </c>
      <c r="S337" s="2" t="s">
        <v>53</v>
      </c>
      <c r="T337" s="2" t="s">
        <v>133</v>
      </c>
    </row>
    <row r="338" spans="1:20" x14ac:dyDescent="0.25">
      <c r="A338" s="2" t="s">
        <v>1010</v>
      </c>
      <c r="B338" s="3">
        <v>41968</v>
      </c>
      <c r="C338" s="3">
        <v>41968</v>
      </c>
      <c r="D338" s="2" t="s">
        <v>55</v>
      </c>
      <c r="E338" s="2" t="s">
        <v>1011</v>
      </c>
      <c r="F338" s="2" t="s">
        <v>1012</v>
      </c>
      <c r="G338" s="2" t="s">
        <v>58</v>
      </c>
      <c r="H338" s="2" t="s">
        <v>25</v>
      </c>
      <c r="I338" s="2" t="s">
        <v>977</v>
      </c>
      <c r="J338" s="2" t="s">
        <v>475</v>
      </c>
      <c r="K338" s="2" t="s">
        <v>28</v>
      </c>
      <c r="L338" s="2" t="s">
        <v>415</v>
      </c>
      <c r="M338" s="2" t="s">
        <v>30</v>
      </c>
      <c r="N338" s="2" t="s">
        <v>63</v>
      </c>
      <c r="O338" s="2" t="s">
        <v>416</v>
      </c>
      <c r="P338" s="4">
        <v>103.0903</v>
      </c>
      <c r="Q338" s="4">
        <v>5</v>
      </c>
      <c r="R338" s="4">
        <v>-2.0611999999999999</v>
      </c>
      <c r="S338" s="2" t="s">
        <v>121</v>
      </c>
      <c r="T338" s="2" t="s">
        <v>93</v>
      </c>
    </row>
    <row r="339" spans="1:20" x14ac:dyDescent="0.25">
      <c r="A339" s="2" t="s">
        <v>1013</v>
      </c>
      <c r="B339" s="3">
        <v>42815</v>
      </c>
      <c r="C339" s="3">
        <v>42819</v>
      </c>
      <c r="D339" s="2" t="s">
        <v>55</v>
      </c>
      <c r="E339" s="2" t="s">
        <v>226</v>
      </c>
      <c r="F339" s="2" t="s">
        <v>227</v>
      </c>
      <c r="G339" s="2" t="s">
        <v>24</v>
      </c>
      <c r="H339" s="2" t="s">
        <v>25</v>
      </c>
      <c r="I339" s="2" t="s">
        <v>355</v>
      </c>
      <c r="J339" s="2" t="s">
        <v>356</v>
      </c>
      <c r="K339" s="2" t="s">
        <v>147</v>
      </c>
      <c r="L339" s="2" t="s">
        <v>169</v>
      </c>
      <c r="M339" s="2" t="s">
        <v>30</v>
      </c>
      <c r="N339" s="2" t="s">
        <v>162</v>
      </c>
      <c r="O339" s="2" t="s">
        <v>170</v>
      </c>
      <c r="P339" s="4">
        <v>502.47770000000003</v>
      </c>
      <c r="Q339" s="4">
        <v>3</v>
      </c>
      <c r="R339" s="4">
        <v>53.900799999999997</v>
      </c>
      <c r="S339" s="2" t="s">
        <v>75</v>
      </c>
      <c r="T339" s="2" t="s">
        <v>44</v>
      </c>
    </row>
    <row r="340" spans="1:20" x14ac:dyDescent="0.25">
      <c r="A340" s="2" t="s">
        <v>1014</v>
      </c>
      <c r="B340" s="3">
        <v>42180</v>
      </c>
      <c r="C340" s="3">
        <v>42181</v>
      </c>
      <c r="D340" s="2" t="s">
        <v>48</v>
      </c>
      <c r="E340" s="2" t="s">
        <v>541</v>
      </c>
      <c r="F340" s="2" t="s">
        <v>542</v>
      </c>
      <c r="G340" s="2" t="s">
        <v>58</v>
      </c>
      <c r="H340" s="2" t="s">
        <v>25</v>
      </c>
      <c r="I340" s="2" t="s">
        <v>26</v>
      </c>
      <c r="J340" s="2" t="s">
        <v>27</v>
      </c>
      <c r="K340" s="2" t="s">
        <v>28</v>
      </c>
      <c r="L340" s="2" t="s">
        <v>154</v>
      </c>
      <c r="M340" s="2" t="s">
        <v>30</v>
      </c>
      <c r="N340" s="2" t="s">
        <v>42</v>
      </c>
      <c r="O340" s="2" t="s">
        <v>155</v>
      </c>
      <c r="P340" s="4">
        <v>617.11800000000005</v>
      </c>
      <c r="Q340" s="4">
        <v>2</v>
      </c>
      <c r="R340" s="4">
        <v>10.604699999999999</v>
      </c>
      <c r="S340" s="2" t="s">
        <v>33</v>
      </c>
      <c r="T340" s="2" t="s">
        <v>133</v>
      </c>
    </row>
    <row r="341" spans="1:20" x14ac:dyDescent="0.25">
      <c r="A341" s="2" t="s">
        <v>1015</v>
      </c>
      <c r="B341" s="3">
        <v>41877</v>
      </c>
      <c r="C341" s="3">
        <v>41882</v>
      </c>
      <c r="D341" s="2" t="s">
        <v>55</v>
      </c>
      <c r="E341" s="2" t="s">
        <v>550</v>
      </c>
      <c r="F341" s="2" t="s">
        <v>551</v>
      </c>
      <c r="G341" s="2" t="s">
        <v>58</v>
      </c>
      <c r="H341" s="2" t="s">
        <v>25</v>
      </c>
      <c r="I341" s="2" t="s">
        <v>649</v>
      </c>
      <c r="J341" s="2" t="s">
        <v>279</v>
      </c>
      <c r="K341" s="2" t="s">
        <v>28</v>
      </c>
      <c r="L341" s="2" t="s">
        <v>131</v>
      </c>
      <c r="M341" s="2" t="s">
        <v>30</v>
      </c>
      <c r="N341" s="2" t="s">
        <v>31</v>
      </c>
      <c r="O341" s="2" t="s">
        <v>132</v>
      </c>
      <c r="P341" s="4">
        <v>94.216200000000001</v>
      </c>
      <c r="Q341" s="4">
        <v>2</v>
      </c>
      <c r="R341" s="4">
        <v>14.8071</v>
      </c>
      <c r="S341" s="2" t="s">
        <v>85</v>
      </c>
      <c r="T341" s="2" t="s">
        <v>34</v>
      </c>
    </row>
    <row r="342" spans="1:20" x14ac:dyDescent="0.25">
      <c r="A342" s="2" t="s">
        <v>1015</v>
      </c>
      <c r="B342" s="3">
        <v>41877</v>
      </c>
      <c r="C342" s="3">
        <v>41882</v>
      </c>
      <c r="D342" s="2" t="s">
        <v>55</v>
      </c>
      <c r="E342" s="2" t="s">
        <v>550</v>
      </c>
      <c r="F342" s="2" t="s">
        <v>551</v>
      </c>
      <c r="G342" s="2" t="s">
        <v>58</v>
      </c>
      <c r="H342" s="2" t="s">
        <v>25</v>
      </c>
      <c r="I342" s="2" t="s">
        <v>649</v>
      </c>
      <c r="J342" s="2" t="s">
        <v>279</v>
      </c>
      <c r="K342" s="2" t="s">
        <v>28</v>
      </c>
      <c r="L342" s="2" t="s">
        <v>252</v>
      </c>
      <c r="M342" s="2" t="s">
        <v>30</v>
      </c>
      <c r="N342" s="2" t="s">
        <v>31</v>
      </c>
      <c r="O342" s="2" t="s">
        <v>253</v>
      </c>
      <c r="P342" s="4">
        <v>62.902799999999999</v>
      </c>
      <c r="Q342" s="4">
        <v>3</v>
      </c>
      <c r="R342" s="4">
        <v>12.6607</v>
      </c>
      <c r="S342" s="2" t="s">
        <v>85</v>
      </c>
      <c r="T342" s="2" t="s">
        <v>34</v>
      </c>
    </row>
    <row r="343" spans="1:20" x14ac:dyDescent="0.25">
      <c r="A343" s="2" t="s">
        <v>1016</v>
      </c>
      <c r="B343" s="3">
        <v>42403</v>
      </c>
      <c r="C343" s="3">
        <v>42405</v>
      </c>
      <c r="D343" s="2" t="s">
        <v>48</v>
      </c>
      <c r="E343" s="2" t="s">
        <v>1017</v>
      </c>
      <c r="F343" s="2" t="s">
        <v>1018</v>
      </c>
      <c r="G343" s="2" t="s">
        <v>58</v>
      </c>
      <c r="H343" s="2" t="s">
        <v>25</v>
      </c>
      <c r="I343" s="2" t="s">
        <v>449</v>
      </c>
      <c r="J343" s="2" t="s">
        <v>98</v>
      </c>
      <c r="K343" s="2" t="s">
        <v>82</v>
      </c>
      <c r="L343" s="2" t="s">
        <v>235</v>
      </c>
      <c r="M343" s="2" t="s">
        <v>30</v>
      </c>
      <c r="N343" s="2" t="s">
        <v>31</v>
      </c>
      <c r="O343" s="2" t="s">
        <v>236</v>
      </c>
      <c r="P343" s="4">
        <v>50.6922</v>
      </c>
      <c r="Q343" s="4">
        <v>5</v>
      </c>
      <c r="R343" s="4">
        <v>-2.6930000000000001</v>
      </c>
      <c r="S343" s="2" t="s">
        <v>53</v>
      </c>
      <c r="T343" s="2" t="s">
        <v>101</v>
      </c>
    </row>
    <row r="344" spans="1:20" x14ac:dyDescent="0.25">
      <c r="A344" s="2" t="s">
        <v>1016</v>
      </c>
      <c r="B344" s="3">
        <v>42403</v>
      </c>
      <c r="C344" s="3">
        <v>42405</v>
      </c>
      <c r="D344" s="2" t="s">
        <v>48</v>
      </c>
      <c r="E344" s="2" t="s">
        <v>1017</v>
      </c>
      <c r="F344" s="2" t="s">
        <v>1018</v>
      </c>
      <c r="G344" s="2" t="s">
        <v>58</v>
      </c>
      <c r="H344" s="2" t="s">
        <v>25</v>
      </c>
      <c r="I344" s="2" t="s">
        <v>449</v>
      </c>
      <c r="J344" s="2" t="s">
        <v>98</v>
      </c>
      <c r="K344" s="2" t="s">
        <v>82</v>
      </c>
      <c r="L344" s="2" t="s">
        <v>323</v>
      </c>
      <c r="M344" s="2" t="s">
        <v>30</v>
      </c>
      <c r="N344" s="2" t="s">
        <v>31</v>
      </c>
      <c r="O344" s="2" t="s">
        <v>324</v>
      </c>
      <c r="P344" s="4">
        <v>93.51</v>
      </c>
      <c r="Q344" s="4">
        <v>1</v>
      </c>
      <c r="R344" s="4">
        <v>15.0726</v>
      </c>
      <c r="S344" s="2" t="s">
        <v>53</v>
      </c>
      <c r="T344" s="2" t="s">
        <v>101</v>
      </c>
    </row>
    <row r="345" spans="1:20" x14ac:dyDescent="0.25">
      <c r="A345" s="2" t="s">
        <v>1019</v>
      </c>
      <c r="B345" s="3">
        <v>41871</v>
      </c>
      <c r="C345" s="3">
        <v>41872</v>
      </c>
      <c r="D345" s="2" t="s">
        <v>48</v>
      </c>
      <c r="E345" s="2" t="s">
        <v>1020</v>
      </c>
      <c r="F345" s="2" t="s">
        <v>1021</v>
      </c>
      <c r="G345" s="2" t="s">
        <v>24</v>
      </c>
      <c r="H345" s="2" t="s">
        <v>25</v>
      </c>
      <c r="I345" s="2" t="s">
        <v>51</v>
      </c>
      <c r="J345" s="2" t="s">
        <v>52</v>
      </c>
      <c r="K345" s="2" t="s">
        <v>28</v>
      </c>
      <c r="L345" s="2" t="s">
        <v>323</v>
      </c>
      <c r="M345" s="2" t="s">
        <v>30</v>
      </c>
      <c r="N345" s="2" t="s">
        <v>31</v>
      </c>
      <c r="O345" s="2" t="s">
        <v>324</v>
      </c>
      <c r="P345" s="4">
        <v>26.592300000000002</v>
      </c>
      <c r="Q345" s="4">
        <v>3</v>
      </c>
      <c r="R345" s="4">
        <v>7.8268000000000004</v>
      </c>
      <c r="S345" s="2" t="s">
        <v>33</v>
      </c>
      <c r="T345" s="2" t="s">
        <v>34</v>
      </c>
    </row>
    <row r="346" spans="1:20" x14ac:dyDescent="0.25">
      <c r="A346" s="2" t="s">
        <v>1022</v>
      </c>
      <c r="B346" s="3">
        <v>42891</v>
      </c>
      <c r="C346" s="3">
        <v>42897</v>
      </c>
      <c r="D346" s="2" t="s">
        <v>55</v>
      </c>
      <c r="E346" s="2" t="s">
        <v>1023</v>
      </c>
      <c r="F346" s="2" t="s">
        <v>1024</v>
      </c>
      <c r="G346" s="2" t="s">
        <v>38</v>
      </c>
      <c r="H346" s="2" t="s">
        <v>25</v>
      </c>
      <c r="I346" s="2" t="s">
        <v>309</v>
      </c>
      <c r="J346" s="2" t="s">
        <v>310</v>
      </c>
      <c r="K346" s="2" t="s">
        <v>28</v>
      </c>
      <c r="L346" s="2" t="s">
        <v>311</v>
      </c>
      <c r="M346" s="2" t="s">
        <v>30</v>
      </c>
      <c r="N346" s="2" t="s">
        <v>63</v>
      </c>
      <c r="O346" s="2" t="s">
        <v>312</v>
      </c>
      <c r="P346" s="4">
        <v>328.9905</v>
      </c>
      <c r="Q346" s="4">
        <v>1</v>
      </c>
      <c r="R346" s="4">
        <v>-77.934399999999997</v>
      </c>
      <c r="S346" s="2" t="s">
        <v>65</v>
      </c>
      <c r="T346" s="2" t="s">
        <v>133</v>
      </c>
    </row>
    <row r="347" spans="1:20" x14ac:dyDescent="0.25">
      <c r="A347" s="2" t="s">
        <v>1025</v>
      </c>
      <c r="B347" s="3">
        <v>42283</v>
      </c>
      <c r="C347" s="3">
        <v>42284</v>
      </c>
      <c r="D347" s="2" t="s">
        <v>55</v>
      </c>
      <c r="E347" s="2" t="s">
        <v>447</v>
      </c>
      <c r="F347" s="2" t="s">
        <v>448</v>
      </c>
      <c r="G347" s="2" t="s">
        <v>38</v>
      </c>
      <c r="H347" s="2" t="s">
        <v>25</v>
      </c>
      <c r="I347" s="2" t="s">
        <v>364</v>
      </c>
      <c r="J347" s="2" t="s">
        <v>279</v>
      </c>
      <c r="K347" s="2" t="s">
        <v>28</v>
      </c>
      <c r="L347" s="2" t="s">
        <v>66</v>
      </c>
      <c r="M347" s="2" t="s">
        <v>30</v>
      </c>
      <c r="N347" s="2" t="s">
        <v>31</v>
      </c>
      <c r="O347" s="2" t="s">
        <v>67</v>
      </c>
      <c r="P347" s="4">
        <v>18.477699999999999</v>
      </c>
      <c r="Q347" s="4">
        <v>3</v>
      </c>
      <c r="R347" s="4">
        <v>5.6177999999999999</v>
      </c>
      <c r="S347" s="2" t="s">
        <v>33</v>
      </c>
      <c r="T347" s="2" t="s">
        <v>224</v>
      </c>
    </row>
    <row r="348" spans="1:20" x14ac:dyDescent="0.25">
      <c r="A348" s="2" t="s">
        <v>1026</v>
      </c>
      <c r="B348" s="3">
        <v>42348</v>
      </c>
      <c r="C348" s="3">
        <v>42355</v>
      </c>
      <c r="D348" s="2" t="s">
        <v>55</v>
      </c>
      <c r="E348" s="2" t="s">
        <v>226</v>
      </c>
      <c r="F348" s="2" t="s">
        <v>227</v>
      </c>
      <c r="G348" s="2" t="s">
        <v>24</v>
      </c>
      <c r="H348" s="2" t="s">
        <v>25</v>
      </c>
      <c r="I348" s="2" t="s">
        <v>902</v>
      </c>
      <c r="J348" s="2" t="s">
        <v>753</v>
      </c>
      <c r="K348" s="2" t="s">
        <v>147</v>
      </c>
      <c r="L348" s="2" t="s">
        <v>252</v>
      </c>
      <c r="M348" s="2" t="s">
        <v>30</v>
      </c>
      <c r="N348" s="2" t="s">
        <v>31</v>
      </c>
      <c r="O348" s="2" t="s">
        <v>253</v>
      </c>
      <c r="P348" s="4">
        <v>12.6516</v>
      </c>
      <c r="Q348" s="4">
        <v>2</v>
      </c>
      <c r="R348" s="4">
        <v>3.38</v>
      </c>
      <c r="S348" s="2" t="s">
        <v>107</v>
      </c>
      <c r="T348" s="2" t="s">
        <v>76</v>
      </c>
    </row>
    <row r="349" spans="1:20" x14ac:dyDescent="0.25">
      <c r="A349" s="2" t="s">
        <v>1026</v>
      </c>
      <c r="B349" s="3">
        <v>42348</v>
      </c>
      <c r="C349" s="3">
        <v>42355</v>
      </c>
      <c r="D349" s="2" t="s">
        <v>55</v>
      </c>
      <c r="E349" s="2" t="s">
        <v>226</v>
      </c>
      <c r="F349" s="2" t="s">
        <v>227</v>
      </c>
      <c r="G349" s="2" t="s">
        <v>24</v>
      </c>
      <c r="H349" s="2" t="s">
        <v>25</v>
      </c>
      <c r="I349" s="2" t="s">
        <v>902</v>
      </c>
      <c r="J349" s="2" t="s">
        <v>753</v>
      </c>
      <c r="K349" s="2" t="s">
        <v>147</v>
      </c>
      <c r="L349" s="2" t="s">
        <v>186</v>
      </c>
      <c r="M349" s="2" t="s">
        <v>30</v>
      </c>
      <c r="N349" s="2" t="s">
        <v>31</v>
      </c>
      <c r="O349" s="2" t="s">
        <v>187</v>
      </c>
      <c r="P349" s="4">
        <v>41.173699999999997</v>
      </c>
      <c r="Q349" s="4">
        <v>7</v>
      </c>
      <c r="R349" s="4">
        <v>-1.1155999999999999</v>
      </c>
      <c r="S349" s="2" t="s">
        <v>107</v>
      </c>
      <c r="T349" s="2" t="s">
        <v>76</v>
      </c>
    </row>
    <row r="350" spans="1:20" x14ac:dyDescent="0.25">
      <c r="A350" s="2" t="s">
        <v>1027</v>
      </c>
      <c r="B350" s="3">
        <v>42133</v>
      </c>
      <c r="C350" s="3">
        <v>42136</v>
      </c>
      <c r="D350" s="2" t="s">
        <v>55</v>
      </c>
      <c r="E350" s="2" t="s">
        <v>1028</v>
      </c>
      <c r="F350" s="2" t="s">
        <v>1029</v>
      </c>
      <c r="G350" s="2" t="s">
        <v>58</v>
      </c>
      <c r="H350" s="2" t="s">
        <v>25</v>
      </c>
      <c r="I350" s="2" t="s">
        <v>805</v>
      </c>
      <c r="J350" s="2" t="s">
        <v>806</v>
      </c>
      <c r="K350" s="2" t="s">
        <v>28</v>
      </c>
      <c r="L350" s="2" t="s">
        <v>612</v>
      </c>
      <c r="M350" s="2" t="s">
        <v>30</v>
      </c>
      <c r="N350" s="2" t="s">
        <v>162</v>
      </c>
      <c r="O350" s="2" t="s">
        <v>613</v>
      </c>
      <c r="P350" s="4">
        <v>338.5401</v>
      </c>
      <c r="Q350" s="4">
        <v>3</v>
      </c>
      <c r="R350" s="4">
        <v>-110.46469999999999</v>
      </c>
      <c r="S350" s="2" t="s">
        <v>92</v>
      </c>
      <c r="T350" s="2" t="s">
        <v>122</v>
      </c>
    </row>
    <row r="351" spans="1:20" x14ac:dyDescent="0.25">
      <c r="A351" s="2" t="s">
        <v>1030</v>
      </c>
      <c r="B351" s="3">
        <v>42557</v>
      </c>
      <c r="C351" s="3">
        <v>42563</v>
      </c>
      <c r="D351" s="2" t="s">
        <v>55</v>
      </c>
      <c r="E351" s="2" t="s">
        <v>1031</v>
      </c>
      <c r="F351" s="2" t="s">
        <v>1032</v>
      </c>
      <c r="G351" s="2" t="s">
        <v>58</v>
      </c>
      <c r="H351" s="2" t="s">
        <v>25</v>
      </c>
      <c r="I351" s="2" t="s">
        <v>212</v>
      </c>
      <c r="J351" s="2" t="s">
        <v>185</v>
      </c>
      <c r="K351" s="2" t="s">
        <v>147</v>
      </c>
      <c r="L351" s="2" t="s">
        <v>252</v>
      </c>
      <c r="M351" s="2" t="s">
        <v>30</v>
      </c>
      <c r="N351" s="2" t="s">
        <v>31</v>
      </c>
      <c r="O351" s="2" t="s">
        <v>253</v>
      </c>
      <c r="P351" s="4">
        <v>33.9514</v>
      </c>
      <c r="Q351" s="4">
        <v>3</v>
      </c>
      <c r="R351" s="4">
        <v>-10.8064</v>
      </c>
      <c r="S351" s="2" t="s">
        <v>65</v>
      </c>
      <c r="T351" s="2" t="s">
        <v>86</v>
      </c>
    </row>
    <row r="352" spans="1:20" x14ac:dyDescent="0.25">
      <c r="A352" s="2" t="s">
        <v>1033</v>
      </c>
      <c r="B352" s="3">
        <v>42877</v>
      </c>
      <c r="C352" s="3">
        <v>42877</v>
      </c>
      <c r="D352" s="2" t="s">
        <v>48</v>
      </c>
      <c r="E352" s="2" t="s">
        <v>1034</v>
      </c>
      <c r="F352" s="2" t="s">
        <v>1035</v>
      </c>
      <c r="G352" s="2" t="s">
        <v>38</v>
      </c>
      <c r="H352" s="2" t="s">
        <v>25</v>
      </c>
      <c r="I352" s="2" t="s">
        <v>223</v>
      </c>
      <c r="J352" s="2" t="s">
        <v>81</v>
      </c>
      <c r="K352" s="2" t="s">
        <v>82</v>
      </c>
      <c r="L352" s="2" t="s">
        <v>344</v>
      </c>
      <c r="M352" s="2" t="s">
        <v>30</v>
      </c>
      <c r="N352" s="2" t="s">
        <v>42</v>
      </c>
      <c r="O352" s="2" t="s">
        <v>345</v>
      </c>
      <c r="P352" s="4">
        <v>805.71619999999996</v>
      </c>
      <c r="Q352" s="4">
        <v>4</v>
      </c>
      <c r="R352" s="4">
        <v>563.15060000000005</v>
      </c>
      <c r="S352" s="2" t="s">
        <v>121</v>
      </c>
      <c r="T352" s="2" t="s">
        <v>122</v>
      </c>
    </row>
    <row r="353" spans="1:20" x14ac:dyDescent="0.25">
      <c r="A353" s="2" t="s">
        <v>1033</v>
      </c>
      <c r="B353" s="3">
        <v>42877</v>
      </c>
      <c r="C353" s="3">
        <v>42877</v>
      </c>
      <c r="D353" s="2" t="s">
        <v>48</v>
      </c>
      <c r="E353" s="2" t="s">
        <v>1034</v>
      </c>
      <c r="F353" s="2" t="s">
        <v>1035</v>
      </c>
      <c r="G353" s="2" t="s">
        <v>38</v>
      </c>
      <c r="H353" s="2" t="s">
        <v>25</v>
      </c>
      <c r="I353" s="2" t="s">
        <v>223</v>
      </c>
      <c r="J353" s="2" t="s">
        <v>81</v>
      </c>
      <c r="K353" s="2" t="s">
        <v>82</v>
      </c>
      <c r="L353" s="2" t="s">
        <v>218</v>
      </c>
      <c r="M353" s="2" t="s">
        <v>30</v>
      </c>
      <c r="N353" s="2" t="s">
        <v>31</v>
      </c>
      <c r="O353" s="2" t="s">
        <v>219</v>
      </c>
      <c r="P353" s="4">
        <v>11.5265</v>
      </c>
      <c r="Q353" s="4">
        <v>3</v>
      </c>
      <c r="R353" s="4">
        <v>5.8132999999999999</v>
      </c>
      <c r="S353" s="2" t="s">
        <v>121</v>
      </c>
      <c r="T353" s="2" t="s">
        <v>122</v>
      </c>
    </row>
    <row r="354" spans="1:20" x14ac:dyDescent="0.25">
      <c r="A354" s="2" t="s">
        <v>1036</v>
      </c>
      <c r="B354" s="3">
        <v>42985</v>
      </c>
      <c r="C354" s="3">
        <v>42989</v>
      </c>
      <c r="D354" s="2" t="s">
        <v>55</v>
      </c>
      <c r="E354" s="2" t="s">
        <v>1037</v>
      </c>
      <c r="F354" s="2" t="s">
        <v>1038</v>
      </c>
      <c r="G354" s="2" t="s">
        <v>58</v>
      </c>
      <c r="H354" s="2" t="s">
        <v>25</v>
      </c>
      <c r="I354" s="2" t="s">
        <v>605</v>
      </c>
      <c r="J354" s="2" t="s">
        <v>424</v>
      </c>
      <c r="K354" s="2" t="s">
        <v>28</v>
      </c>
      <c r="L354" s="2" t="s">
        <v>73</v>
      </c>
      <c r="M354" s="2" t="s">
        <v>30</v>
      </c>
      <c r="N354" s="2" t="s">
        <v>42</v>
      </c>
      <c r="O354" s="2" t="s">
        <v>74</v>
      </c>
      <c r="P354" s="4">
        <v>282.60129999999998</v>
      </c>
      <c r="Q354" s="4">
        <v>5</v>
      </c>
      <c r="R354" s="4">
        <v>81.048199999999994</v>
      </c>
      <c r="S354" s="2" t="s">
        <v>75</v>
      </c>
      <c r="T354" s="2" t="s">
        <v>148</v>
      </c>
    </row>
    <row r="355" spans="1:20" x14ac:dyDescent="0.25">
      <c r="A355" s="2" t="s">
        <v>1039</v>
      </c>
      <c r="B355" s="3">
        <v>41733</v>
      </c>
      <c r="C355" s="3">
        <v>41734</v>
      </c>
      <c r="D355" s="2" t="s">
        <v>21</v>
      </c>
      <c r="E355" s="2" t="s">
        <v>1040</v>
      </c>
      <c r="F355" s="2" t="s">
        <v>1041</v>
      </c>
      <c r="G355" s="2" t="s">
        <v>58</v>
      </c>
      <c r="H355" s="2" t="s">
        <v>25</v>
      </c>
      <c r="I355" s="2" t="s">
        <v>706</v>
      </c>
      <c r="J355" s="2" t="s">
        <v>127</v>
      </c>
      <c r="K355" s="2" t="s">
        <v>82</v>
      </c>
      <c r="L355" s="2" t="s">
        <v>207</v>
      </c>
      <c r="M355" s="2" t="s">
        <v>30</v>
      </c>
      <c r="N355" s="2" t="s">
        <v>31</v>
      </c>
      <c r="O355" s="2" t="s">
        <v>208</v>
      </c>
      <c r="P355" s="4">
        <v>27.578800000000001</v>
      </c>
      <c r="Q355" s="4">
        <v>1</v>
      </c>
      <c r="R355" s="4">
        <v>11.0572</v>
      </c>
      <c r="S355" s="2" t="s">
        <v>33</v>
      </c>
      <c r="T355" s="2" t="s">
        <v>108</v>
      </c>
    </row>
    <row r="356" spans="1:20" x14ac:dyDescent="0.25">
      <c r="A356" s="2" t="s">
        <v>1042</v>
      </c>
      <c r="B356" s="3">
        <v>42576</v>
      </c>
      <c r="C356" s="3">
        <v>42578</v>
      </c>
      <c r="D356" s="2" t="s">
        <v>48</v>
      </c>
      <c r="E356" s="2" t="s">
        <v>1043</v>
      </c>
      <c r="F356" s="2" t="s">
        <v>1044</v>
      </c>
      <c r="G356" s="2" t="s">
        <v>58</v>
      </c>
      <c r="H356" s="2" t="s">
        <v>25</v>
      </c>
      <c r="I356" s="2" t="s">
        <v>297</v>
      </c>
      <c r="J356" s="2" t="s">
        <v>234</v>
      </c>
      <c r="K356" s="2" t="s">
        <v>82</v>
      </c>
      <c r="L356" s="2" t="s">
        <v>66</v>
      </c>
      <c r="M356" s="2" t="s">
        <v>30</v>
      </c>
      <c r="N356" s="2" t="s">
        <v>31</v>
      </c>
      <c r="O356" s="2" t="s">
        <v>67</v>
      </c>
      <c r="P356" s="4">
        <v>21.634599999999999</v>
      </c>
      <c r="Q356" s="4">
        <v>3</v>
      </c>
      <c r="R356" s="4">
        <v>-4.1882000000000001</v>
      </c>
      <c r="S356" s="2" t="s">
        <v>53</v>
      </c>
      <c r="T356" s="2" t="s">
        <v>86</v>
      </c>
    </row>
    <row r="357" spans="1:20" x14ac:dyDescent="0.25">
      <c r="A357" s="2" t="s">
        <v>1045</v>
      </c>
      <c r="B357" s="3">
        <v>42988</v>
      </c>
      <c r="C357" s="3">
        <v>42989</v>
      </c>
      <c r="D357" s="2" t="s">
        <v>48</v>
      </c>
      <c r="E357" s="2" t="s">
        <v>1031</v>
      </c>
      <c r="F357" s="2" t="s">
        <v>1032</v>
      </c>
      <c r="G357" s="2" t="s">
        <v>58</v>
      </c>
      <c r="H357" s="2" t="s">
        <v>25</v>
      </c>
      <c r="I357" s="2" t="s">
        <v>861</v>
      </c>
      <c r="J357" s="2" t="s">
        <v>403</v>
      </c>
      <c r="K357" s="2" t="s">
        <v>147</v>
      </c>
      <c r="L357" s="2" t="s">
        <v>323</v>
      </c>
      <c r="M357" s="2" t="s">
        <v>30</v>
      </c>
      <c r="N357" s="2" t="s">
        <v>31</v>
      </c>
      <c r="O357" s="2" t="s">
        <v>324</v>
      </c>
      <c r="P357" s="4">
        <v>51.238799999999998</v>
      </c>
      <c r="Q357" s="4">
        <v>4</v>
      </c>
      <c r="R357" s="4">
        <v>-22.854900000000001</v>
      </c>
      <c r="S357" s="2" t="s">
        <v>33</v>
      </c>
      <c r="T357" s="2" t="s">
        <v>148</v>
      </c>
    </row>
    <row r="358" spans="1:20" x14ac:dyDescent="0.25">
      <c r="A358" s="2" t="s">
        <v>1045</v>
      </c>
      <c r="B358" s="3">
        <v>42988</v>
      </c>
      <c r="C358" s="3">
        <v>42989</v>
      </c>
      <c r="D358" s="2" t="s">
        <v>48</v>
      </c>
      <c r="E358" s="2" t="s">
        <v>1031</v>
      </c>
      <c r="F358" s="2" t="s">
        <v>1032</v>
      </c>
      <c r="G358" s="2" t="s">
        <v>58</v>
      </c>
      <c r="H358" s="2" t="s">
        <v>25</v>
      </c>
      <c r="I358" s="2" t="s">
        <v>861</v>
      </c>
      <c r="J358" s="2" t="s">
        <v>403</v>
      </c>
      <c r="K358" s="2" t="s">
        <v>147</v>
      </c>
      <c r="L358" s="2" t="s">
        <v>323</v>
      </c>
      <c r="M358" s="2" t="s">
        <v>30</v>
      </c>
      <c r="N358" s="2" t="s">
        <v>31</v>
      </c>
      <c r="O358" s="2" t="s">
        <v>324</v>
      </c>
      <c r="P358" s="4">
        <v>506.65289999999999</v>
      </c>
      <c r="Q358" s="4">
        <v>1</v>
      </c>
      <c r="R358" s="4">
        <v>65.851399999999998</v>
      </c>
      <c r="S358" s="2" t="s">
        <v>33</v>
      </c>
      <c r="T358" s="2" t="s">
        <v>148</v>
      </c>
    </row>
    <row r="359" spans="1:20" x14ac:dyDescent="0.25">
      <c r="A359" s="2" t="s">
        <v>1046</v>
      </c>
      <c r="B359" s="3">
        <v>41902</v>
      </c>
      <c r="C359" s="3">
        <v>41905</v>
      </c>
      <c r="D359" s="2" t="s">
        <v>55</v>
      </c>
      <c r="E359" s="2" t="s">
        <v>426</v>
      </c>
      <c r="F359" s="2" t="s">
        <v>427</v>
      </c>
      <c r="G359" s="2" t="s">
        <v>38</v>
      </c>
      <c r="H359" s="2" t="s">
        <v>25</v>
      </c>
      <c r="I359" s="2" t="s">
        <v>26</v>
      </c>
      <c r="J359" s="2" t="s">
        <v>91</v>
      </c>
      <c r="K359" s="2" t="s">
        <v>61</v>
      </c>
      <c r="L359" s="2" t="s">
        <v>131</v>
      </c>
      <c r="M359" s="2" t="s">
        <v>30</v>
      </c>
      <c r="N359" s="2" t="s">
        <v>31</v>
      </c>
      <c r="O359" s="2" t="s">
        <v>132</v>
      </c>
      <c r="P359" s="4">
        <v>43.055900000000001</v>
      </c>
      <c r="Q359" s="4">
        <v>8</v>
      </c>
      <c r="R359" s="4">
        <v>-5.1859000000000002</v>
      </c>
      <c r="S359" s="2" t="s">
        <v>92</v>
      </c>
      <c r="T359" s="2" t="s">
        <v>148</v>
      </c>
    </row>
    <row r="360" spans="1:20" x14ac:dyDescent="0.25">
      <c r="A360" s="2" t="s">
        <v>1047</v>
      </c>
      <c r="B360" s="3">
        <v>42567</v>
      </c>
      <c r="C360" s="3">
        <v>42571</v>
      </c>
      <c r="D360" s="2" t="s">
        <v>21</v>
      </c>
      <c r="E360" s="2" t="s">
        <v>1048</v>
      </c>
      <c r="F360" s="2" t="s">
        <v>1049</v>
      </c>
      <c r="G360" s="2" t="s">
        <v>58</v>
      </c>
      <c r="H360" s="2" t="s">
        <v>25</v>
      </c>
      <c r="I360" s="2" t="s">
        <v>26</v>
      </c>
      <c r="J360" s="2" t="s">
        <v>91</v>
      </c>
      <c r="K360" s="2" t="s">
        <v>61</v>
      </c>
      <c r="L360" s="2" t="s">
        <v>344</v>
      </c>
      <c r="M360" s="2" t="s">
        <v>30</v>
      </c>
      <c r="N360" s="2" t="s">
        <v>42</v>
      </c>
      <c r="O360" s="2" t="s">
        <v>345</v>
      </c>
      <c r="P360" s="4">
        <v>53.1721</v>
      </c>
      <c r="Q360" s="4">
        <v>4</v>
      </c>
      <c r="R360" s="4">
        <v>7.2801</v>
      </c>
      <c r="S360" s="2" t="s">
        <v>75</v>
      </c>
      <c r="T360" s="2" t="s">
        <v>86</v>
      </c>
    </row>
    <row r="361" spans="1:20" x14ac:dyDescent="0.25">
      <c r="A361" s="2" t="s">
        <v>1050</v>
      </c>
      <c r="B361" s="3">
        <v>42235</v>
      </c>
      <c r="C361" s="3">
        <v>42237</v>
      </c>
      <c r="D361" s="2" t="s">
        <v>21</v>
      </c>
      <c r="E361" s="2" t="s">
        <v>1051</v>
      </c>
      <c r="F361" s="2" t="s">
        <v>1052</v>
      </c>
      <c r="G361" s="2" t="s">
        <v>58</v>
      </c>
      <c r="H361" s="2" t="s">
        <v>25</v>
      </c>
      <c r="I361" s="2" t="s">
        <v>1053</v>
      </c>
      <c r="J361" s="2" t="s">
        <v>806</v>
      </c>
      <c r="K361" s="2" t="s">
        <v>28</v>
      </c>
      <c r="L361" s="2" t="s">
        <v>235</v>
      </c>
      <c r="M361" s="2" t="s">
        <v>30</v>
      </c>
      <c r="N361" s="2" t="s">
        <v>31</v>
      </c>
      <c r="O361" s="2" t="s">
        <v>236</v>
      </c>
      <c r="P361" s="4">
        <v>24.900300000000001</v>
      </c>
      <c r="Q361" s="4">
        <v>6</v>
      </c>
      <c r="R361" s="4">
        <v>-8.4099000000000004</v>
      </c>
      <c r="S361" s="2" t="s">
        <v>53</v>
      </c>
      <c r="T361" s="2" t="s">
        <v>34</v>
      </c>
    </row>
    <row r="362" spans="1:20" x14ac:dyDescent="0.25">
      <c r="A362" s="2" t="s">
        <v>1054</v>
      </c>
      <c r="B362" s="3">
        <v>43094</v>
      </c>
      <c r="C362" s="3">
        <v>43094</v>
      </c>
      <c r="D362" s="2" t="s">
        <v>55</v>
      </c>
      <c r="E362" s="2" t="s">
        <v>177</v>
      </c>
      <c r="F362" s="2" t="s">
        <v>178</v>
      </c>
      <c r="G362" s="2" t="s">
        <v>38</v>
      </c>
      <c r="H362" s="2" t="s">
        <v>25</v>
      </c>
      <c r="I362" s="2" t="s">
        <v>1055</v>
      </c>
      <c r="J362" s="2" t="s">
        <v>106</v>
      </c>
      <c r="K362" s="2" t="s">
        <v>61</v>
      </c>
      <c r="L362" s="2" t="s">
        <v>839</v>
      </c>
      <c r="M362" s="2" t="s">
        <v>30</v>
      </c>
      <c r="N362" s="2" t="s">
        <v>63</v>
      </c>
      <c r="O362" s="2" t="s">
        <v>840</v>
      </c>
      <c r="P362" s="4">
        <v>209.56630000000001</v>
      </c>
      <c r="Q362" s="4">
        <v>3</v>
      </c>
      <c r="R362" s="4">
        <v>55.4998</v>
      </c>
      <c r="S362" s="2" t="s">
        <v>121</v>
      </c>
      <c r="T362" s="2" t="s">
        <v>76</v>
      </c>
    </row>
    <row r="363" spans="1:20" x14ac:dyDescent="0.25">
      <c r="A363" s="2" t="s">
        <v>1056</v>
      </c>
      <c r="B363" s="3">
        <v>42049</v>
      </c>
      <c r="C363" s="3">
        <v>42051</v>
      </c>
      <c r="D363" s="2" t="s">
        <v>21</v>
      </c>
      <c r="E363" s="2" t="s">
        <v>1057</v>
      </c>
      <c r="F363" s="2" t="s">
        <v>1058</v>
      </c>
      <c r="G363" s="2" t="s">
        <v>24</v>
      </c>
      <c r="H363" s="2" t="s">
        <v>25</v>
      </c>
      <c r="I363" s="2" t="s">
        <v>434</v>
      </c>
      <c r="J363" s="2" t="s">
        <v>435</v>
      </c>
      <c r="K363" s="2" t="s">
        <v>61</v>
      </c>
      <c r="L363" s="2" t="s">
        <v>283</v>
      </c>
      <c r="M363" s="2" t="s">
        <v>30</v>
      </c>
      <c r="N363" s="2" t="s">
        <v>162</v>
      </c>
      <c r="O363" s="2" t="s">
        <v>284</v>
      </c>
      <c r="P363" s="4">
        <v>852.95100000000002</v>
      </c>
      <c r="Q363" s="4">
        <v>4</v>
      </c>
      <c r="R363" s="4">
        <v>-259.09899999999999</v>
      </c>
      <c r="S363" s="2" t="s">
        <v>53</v>
      </c>
      <c r="T363" s="2" t="s">
        <v>101</v>
      </c>
    </row>
    <row r="364" spans="1:20" x14ac:dyDescent="0.25">
      <c r="A364" s="2" t="s">
        <v>1059</v>
      </c>
      <c r="B364" s="3">
        <v>42566</v>
      </c>
      <c r="C364" s="3">
        <v>42570</v>
      </c>
      <c r="D364" s="2" t="s">
        <v>55</v>
      </c>
      <c r="E364" s="2" t="s">
        <v>1060</v>
      </c>
      <c r="F364" s="2" t="s">
        <v>1061</v>
      </c>
      <c r="G364" s="2" t="s">
        <v>24</v>
      </c>
      <c r="H364" s="2" t="s">
        <v>25</v>
      </c>
      <c r="I364" s="2" t="s">
        <v>977</v>
      </c>
      <c r="J364" s="2" t="s">
        <v>475</v>
      </c>
      <c r="K364" s="2" t="s">
        <v>28</v>
      </c>
      <c r="L364" s="2" t="s">
        <v>719</v>
      </c>
      <c r="M364" s="2" t="s">
        <v>30</v>
      </c>
      <c r="N364" s="2" t="s">
        <v>63</v>
      </c>
      <c r="O364" s="2" t="s">
        <v>720</v>
      </c>
      <c r="P364" s="4">
        <v>367.97730000000001</v>
      </c>
      <c r="Q364" s="4">
        <v>1</v>
      </c>
      <c r="R364" s="4">
        <v>-3.6579000000000002</v>
      </c>
      <c r="S364" s="2" t="s">
        <v>75</v>
      </c>
      <c r="T364" s="2" t="s">
        <v>86</v>
      </c>
    </row>
    <row r="365" spans="1:20" x14ac:dyDescent="0.25">
      <c r="A365" s="2" t="s">
        <v>1062</v>
      </c>
      <c r="B365" s="3">
        <v>42433</v>
      </c>
      <c r="C365" s="3">
        <v>42440</v>
      </c>
      <c r="D365" s="2" t="s">
        <v>55</v>
      </c>
      <c r="E365" s="2" t="s">
        <v>1063</v>
      </c>
      <c r="F365" s="2" t="s">
        <v>1064</v>
      </c>
      <c r="G365" s="2" t="s">
        <v>58</v>
      </c>
      <c r="H365" s="2" t="s">
        <v>25</v>
      </c>
      <c r="I365" s="2" t="s">
        <v>752</v>
      </c>
      <c r="J365" s="2" t="s">
        <v>753</v>
      </c>
      <c r="K365" s="2" t="s">
        <v>147</v>
      </c>
      <c r="L365" s="2" t="s">
        <v>218</v>
      </c>
      <c r="M365" s="2" t="s">
        <v>30</v>
      </c>
      <c r="N365" s="2" t="s">
        <v>31</v>
      </c>
      <c r="O365" s="2" t="s">
        <v>219</v>
      </c>
      <c r="P365" s="4">
        <v>480.94779999999997</v>
      </c>
      <c r="Q365" s="4">
        <v>3</v>
      </c>
      <c r="R365" s="4">
        <v>102.48439999999999</v>
      </c>
      <c r="S365" s="2" t="s">
        <v>107</v>
      </c>
      <c r="T365" s="2" t="s">
        <v>44</v>
      </c>
    </row>
    <row r="366" spans="1:20" x14ac:dyDescent="0.25">
      <c r="A366" s="2" t="s">
        <v>1062</v>
      </c>
      <c r="B366" s="3">
        <v>42433</v>
      </c>
      <c r="C366" s="3">
        <v>42440</v>
      </c>
      <c r="D366" s="2" t="s">
        <v>55</v>
      </c>
      <c r="E366" s="2" t="s">
        <v>1063</v>
      </c>
      <c r="F366" s="2" t="s">
        <v>1064</v>
      </c>
      <c r="G366" s="2" t="s">
        <v>58</v>
      </c>
      <c r="H366" s="2" t="s">
        <v>25</v>
      </c>
      <c r="I366" s="2" t="s">
        <v>752</v>
      </c>
      <c r="J366" s="2" t="s">
        <v>753</v>
      </c>
      <c r="K366" s="2" t="s">
        <v>147</v>
      </c>
      <c r="L366" s="2" t="s">
        <v>186</v>
      </c>
      <c r="M366" s="2" t="s">
        <v>30</v>
      </c>
      <c r="N366" s="2" t="s">
        <v>31</v>
      </c>
      <c r="O366" s="2" t="s">
        <v>187</v>
      </c>
      <c r="P366" s="4">
        <v>31.543600000000001</v>
      </c>
      <c r="Q366" s="4">
        <v>2</v>
      </c>
      <c r="R366" s="4">
        <v>16.7699</v>
      </c>
      <c r="S366" s="2" t="s">
        <v>107</v>
      </c>
      <c r="T366" s="2" t="s">
        <v>44</v>
      </c>
    </row>
    <row r="367" spans="1:20" x14ac:dyDescent="0.25">
      <c r="A367" s="2" t="s">
        <v>1065</v>
      </c>
      <c r="B367" s="3">
        <v>42845</v>
      </c>
      <c r="C367" s="3">
        <v>42847</v>
      </c>
      <c r="D367" s="2" t="s">
        <v>55</v>
      </c>
      <c r="E367" s="2" t="s">
        <v>1066</v>
      </c>
      <c r="F367" s="2" t="s">
        <v>1067</v>
      </c>
      <c r="G367" s="2" t="s">
        <v>58</v>
      </c>
      <c r="H367" s="2" t="s">
        <v>25</v>
      </c>
      <c r="I367" s="2" t="s">
        <v>278</v>
      </c>
      <c r="J367" s="2" t="s">
        <v>279</v>
      </c>
      <c r="K367" s="2" t="s">
        <v>28</v>
      </c>
      <c r="L367" s="2" t="s">
        <v>41</v>
      </c>
      <c r="M367" s="2" t="s">
        <v>30</v>
      </c>
      <c r="N367" s="2" t="s">
        <v>42</v>
      </c>
      <c r="O367" s="2" t="s">
        <v>43</v>
      </c>
      <c r="P367" s="4">
        <v>1029.8925999999999</v>
      </c>
      <c r="Q367" s="4">
        <v>2</v>
      </c>
      <c r="R367" s="4">
        <v>-42.102600000000002</v>
      </c>
      <c r="S367" s="2" t="s">
        <v>53</v>
      </c>
      <c r="T367" s="2" t="s">
        <v>108</v>
      </c>
    </row>
    <row r="368" spans="1:20" x14ac:dyDescent="0.25">
      <c r="A368" s="2" t="s">
        <v>1068</v>
      </c>
      <c r="B368" s="3">
        <v>42517</v>
      </c>
      <c r="C368" s="3">
        <v>42524</v>
      </c>
      <c r="D368" s="2" t="s">
        <v>55</v>
      </c>
      <c r="E368" s="2" t="s">
        <v>651</v>
      </c>
      <c r="F368" s="2" t="s">
        <v>652</v>
      </c>
      <c r="G368" s="2" t="s">
        <v>58</v>
      </c>
      <c r="H368" s="2" t="s">
        <v>25</v>
      </c>
      <c r="I368" s="2" t="s">
        <v>1069</v>
      </c>
      <c r="J368" s="2" t="s">
        <v>40</v>
      </c>
      <c r="K368" s="2" t="s">
        <v>28</v>
      </c>
      <c r="L368" s="2" t="s">
        <v>316</v>
      </c>
      <c r="M368" s="2" t="s">
        <v>30</v>
      </c>
      <c r="N368" s="2" t="s">
        <v>42</v>
      </c>
      <c r="O368" s="2" t="s">
        <v>317</v>
      </c>
      <c r="P368" s="4">
        <v>255.25309999999999</v>
      </c>
      <c r="Q368" s="4">
        <v>4</v>
      </c>
      <c r="R368" s="4">
        <v>-28.108499999999999</v>
      </c>
      <c r="S368" s="2" t="s">
        <v>107</v>
      </c>
      <c r="T368" s="2" t="s">
        <v>122</v>
      </c>
    </row>
    <row r="369" spans="1:20" x14ac:dyDescent="0.25">
      <c r="A369" s="2" t="s">
        <v>1070</v>
      </c>
      <c r="B369" s="3">
        <v>42300</v>
      </c>
      <c r="C369" s="3">
        <v>42301</v>
      </c>
      <c r="D369" s="2" t="s">
        <v>55</v>
      </c>
      <c r="E369" s="2" t="s">
        <v>1071</v>
      </c>
      <c r="F369" s="2" t="s">
        <v>1072</v>
      </c>
      <c r="G369" s="2" t="s">
        <v>38</v>
      </c>
      <c r="H369" s="2" t="s">
        <v>25</v>
      </c>
      <c r="I369" s="2" t="s">
        <v>205</v>
      </c>
      <c r="J369" s="2" t="s">
        <v>206</v>
      </c>
      <c r="K369" s="2" t="s">
        <v>61</v>
      </c>
      <c r="L369" s="2" t="s">
        <v>228</v>
      </c>
      <c r="M369" s="2" t="s">
        <v>30</v>
      </c>
      <c r="N369" s="2" t="s">
        <v>42</v>
      </c>
      <c r="O369" s="2" t="s">
        <v>229</v>
      </c>
      <c r="P369" s="4">
        <v>865.23779999999999</v>
      </c>
      <c r="Q369" s="4">
        <v>2</v>
      </c>
      <c r="R369" s="4">
        <v>-222.53829999999999</v>
      </c>
      <c r="S369" s="2" t="s">
        <v>33</v>
      </c>
      <c r="T369" s="2" t="s">
        <v>224</v>
      </c>
    </row>
    <row r="370" spans="1:20" x14ac:dyDescent="0.25">
      <c r="A370" s="2" t="s">
        <v>1073</v>
      </c>
      <c r="B370" s="3">
        <v>42016</v>
      </c>
      <c r="C370" s="3">
        <v>42019</v>
      </c>
      <c r="D370" s="2" t="s">
        <v>55</v>
      </c>
      <c r="E370" s="2" t="s">
        <v>854</v>
      </c>
      <c r="F370" s="2" t="s">
        <v>855</v>
      </c>
      <c r="G370" s="2" t="s">
        <v>58</v>
      </c>
      <c r="H370" s="2" t="s">
        <v>25</v>
      </c>
      <c r="I370" s="2" t="s">
        <v>706</v>
      </c>
      <c r="J370" s="2" t="s">
        <v>127</v>
      </c>
      <c r="K370" s="2" t="s">
        <v>82</v>
      </c>
      <c r="L370" s="2" t="s">
        <v>83</v>
      </c>
      <c r="M370" s="2" t="s">
        <v>30</v>
      </c>
      <c r="N370" s="2" t="s">
        <v>42</v>
      </c>
      <c r="O370" s="2" t="s">
        <v>84</v>
      </c>
      <c r="P370" s="4">
        <v>241.20500000000001</v>
      </c>
      <c r="Q370" s="4">
        <v>4</v>
      </c>
      <c r="R370" s="4">
        <v>-40.7438</v>
      </c>
      <c r="S370" s="2" t="s">
        <v>92</v>
      </c>
      <c r="T370" s="2" t="s">
        <v>115</v>
      </c>
    </row>
    <row r="371" spans="1:20" x14ac:dyDescent="0.25">
      <c r="A371" s="2" t="s">
        <v>1074</v>
      </c>
      <c r="B371" s="3">
        <v>42087</v>
      </c>
      <c r="C371" s="3">
        <v>42090</v>
      </c>
      <c r="D371" s="2" t="s">
        <v>55</v>
      </c>
      <c r="E371" s="2" t="s">
        <v>1075</v>
      </c>
      <c r="F371" s="2" t="s">
        <v>1076</v>
      </c>
      <c r="G371" s="2" t="s">
        <v>24</v>
      </c>
      <c r="H371" s="2" t="s">
        <v>25</v>
      </c>
      <c r="I371" s="2" t="s">
        <v>527</v>
      </c>
      <c r="J371" s="2" t="s">
        <v>496</v>
      </c>
      <c r="K371" s="2" t="s">
        <v>147</v>
      </c>
      <c r="L371" s="2" t="s">
        <v>29</v>
      </c>
      <c r="M371" s="2" t="s">
        <v>30</v>
      </c>
      <c r="N371" s="2" t="s">
        <v>31</v>
      </c>
      <c r="O371" s="2" t="s">
        <v>32</v>
      </c>
      <c r="P371" s="4">
        <v>86.194100000000006</v>
      </c>
      <c r="Q371" s="4">
        <v>9</v>
      </c>
      <c r="R371" s="4">
        <v>49.879300000000001</v>
      </c>
      <c r="S371" s="2" t="s">
        <v>92</v>
      </c>
      <c r="T371" s="2" t="s">
        <v>44</v>
      </c>
    </row>
    <row r="372" spans="1:20" x14ac:dyDescent="0.25">
      <c r="A372" s="2" t="s">
        <v>1074</v>
      </c>
      <c r="B372" s="3">
        <v>42087</v>
      </c>
      <c r="C372" s="3">
        <v>42090</v>
      </c>
      <c r="D372" s="2" t="s">
        <v>55</v>
      </c>
      <c r="E372" s="2" t="s">
        <v>1075</v>
      </c>
      <c r="F372" s="2" t="s">
        <v>1076</v>
      </c>
      <c r="G372" s="2" t="s">
        <v>24</v>
      </c>
      <c r="H372" s="2" t="s">
        <v>25</v>
      </c>
      <c r="I372" s="2" t="s">
        <v>527</v>
      </c>
      <c r="J372" s="2" t="s">
        <v>496</v>
      </c>
      <c r="K372" s="2" t="s">
        <v>147</v>
      </c>
      <c r="L372" s="2" t="s">
        <v>41</v>
      </c>
      <c r="M372" s="2" t="s">
        <v>30</v>
      </c>
      <c r="N372" s="2" t="s">
        <v>42</v>
      </c>
      <c r="O372" s="2" t="s">
        <v>43</v>
      </c>
      <c r="P372" s="4">
        <v>1715.8896</v>
      </c>
      <c r="Q372" s="4">
        <v>5</v>
      </c>
      <c r="R372" s="4">
        <v>413.91699999999997</v>
      </c>
      <c r="S372" s="2" t="s">
        <v>92</v>
      </c>
      <c r="T372" s="2" t="s">
        <v>44</v>
      </c>
    </row>
    <row r="373" spans="1:20" x14ac:dyDescent="0.25">
      <c r="A373" s="2" t="s">
        <v>1077</v>
      </c>
      <c r="B373" s="3">
        <v>43037</v>
      </c>
      <c r="C373" s="3">
        <v>43041</v>
      </c>
      <c r="D373" s="2" t="s">
        <v>55</v>
      </c>
      <c r="E373" s="2" t="s">
        <v>1078</v>
      </c>
      <c r="F373" s="2" t="s">
        <v>1079</v>
      </c>
      <c r="G373" s="2" t="s">
        <v>24</v>
      </c>
      <c r="H373" s="2" t="s">
        <v>25</v>
      </c>
      <c r="I373" s="2" t="s">
        <v>727</v>
      </c>
      <c r="J373" s="2" t="s">
        <v>728</v>
      </c>
      <c r="K373" s="2" t="s">
        <v>147</v>
      </c>
      <c r="L373" s="2" t="s">
        <v>283</v>
      </c>
      <c r="M373" s="2" t="s">
        <v>30</v>
      </c>
      <c r="N373" s="2" t="s">
        <v>162</v>
      </c>
      <c r="O373" s="2" t="s">
        <v>284</v>
      </c>
      <c r="P373" s="4">
        <v>351.24740000000003</v>
      </c>
      <c r="Q373" s="4">
        <v>2</v>
      </c>
      <c r="R373" s="4">
        <v>-101.2379</v>
      </c>
      <c r="S373" s="2" t="s">
        <v>75</v>
      </c>
      <c r="T373" s="2" t="s">
        <v>224</v>
      </c>
    </row>
    <row r="374" spans="1:20" x14ac:dyDescent="0.25">
      <c r="A374" s="2" t="s">
        <v>1080</v>
      </c>
      <c r="B374" s="3">
        <v>42693</v>
      </c>
      <c r="C374" s="3">
        <v>42694</v>
      </c>
      <c r="D374" s="2" t="s">
        <v>55</v>
      </c>
      <c r="E374" s="2" t="s">
        <v>1081</v>
      </c>
      <c r="F374" s="2" t="s">
        <v>1082</v>
      </c>
      <c r="G374" s="2" t="s">
        <v>58</v>
      </c>
      <c r="H374" s="2" t="s">
        <v>25</v>
      </c>
      <c r="I374" s="2" t="s">
        <v>552</v>
      </c>
      <c r="J374" s="2" t="s">
        <v>322</v>
      </c>
      <c r="K374" s="2" t="s">
        <v>28</v>
      </c>
      <c r="L374" s="2" t="s">
        <v>113</v>
      </c>
      <c r="M374" s="2" t="s">
        <v>30</v>
      </c>
      <c r="N374" s="2" t="s">
        <v>31</v>
      </c>
      <c r="O374" s="2" t="s">
        <v>114</v>
      </c>
      <c r="P374" s="4">
        <v>12.6684</v>
      </c>
      <c r="Q374" s="4">
        <v>1</v>
      </c>
      <c r="R374" s="4">
        <v>-5.6040999999999999</v>
      </c>
      <c r="S374" s="2" t="s">
        <v>33</v>
      </c>
      <c r="T374" s="2" t="s">
        <v>93</v>
      </c>
    </row>
    <row r="375" spans="1:20" x14ac:dyDescent="0.25">
      <c r="A375" s="2" t="s">
        <v>1083</v>
      </c>
      <c r="B375" s="3">
        <v>42732</v>
      </c>
      <c r="C375" s="3">
        <v>42732</v>
      </c>
      <c r="D375" s="2" t="s">
        <v>48</v>
      </c>
      <c r="E375" s="2" t="s">
        <v>1084</v>
      </c>
      <c r="F375" s="2" t="s">
        <v>1085</v>
      </c>
      <c r="G375" s="2" t="s">
        <v>58</v>
      </c>
      <c r="H375" s="2" t="s">
        <v>25</v>
      </c>
      <c r="I375" s="2" t="s">
        <v>458</v>
      </c>
      <c r="J375" s="2" t="s">
        <v>27</v>
      </c>
      <c r="K375" s="2" t="s">
        <v>28</v>
      </c>
      <c r="L375" s="2" t="s">
        <v>218</v>
      </c>
      <c r="M375" s="2" t="s">
        <v>30</v>
      </c>
      <c r="N375" s="2" t="s">
        <v>31</v>
      </c>
      <c r="O375" s="2" t="s">
        <v>219</v>
      </c>
      <c r="P375" s="4">
        <v>40.820300000000003</v>
      </c>
      <c r="Q375" s="4">
        <v>3</v>
      </c>
      <c r="R375" s="4">
        <v>-10.620100000000001</v>
      </c>
      <c r="S375" s="2" t="s">
        <v>121</v>
      </c>
      <c r="T375" s="2" t="s">
        <v>76</v>
      </c>
    </row>
    <row r="376" spans="1:20" x14ac:dyDescent="0.25">
      <c r="A376" s="2" t="s">
        <v>1086</v>
      </c>
      <c r="B376" s="3">
        <v>42531</v>
      </c>
      <c r="C376" s="3">
        <v>42531</v>
      </c>
      <c r="D376" s="2" t="s">
        <v>55</v>
      </c>
      <c r="E376" s="2" t="s">
        <v>1087</v>
      </c>
      <c r="F376" s="2" t="s">
        <v>1088</v>
      </c>
      <c r="G376" s="2" t="s">
        <v>58</v>
      </c>
      <c r="H376" s="2" t="s">
        <v>25</v>
      </c>
      <c r="I376" s="2" t="s">
        <v>80</v>
      </c>
      <c r="J376" s="2" t="s">
        <v>81</v>
      </c>
      <c r="K376" s="2" t="s">
        <v>82</v>
      </c>
      <c r="L376" s="2" t="s">
        <v>73</v>
      </c>
      <c r="M376" s="2" t="s">
        <v>30</v>
      </c>
      <c r="N376" s="2" t="s">
        <v>42</v>
      </c>
      <c r="O376" s="2" t="s">
        <v>74</v>
      </c>
      <c r="P376" s="4">
        <v>806.10429999999997</v>
      </c>
      <c r="Q376" s="4">
        <v>4</v>
      </c>
      <c r="R376" s="4">
        <v>123.16679999999999</v>
      </c>
      <c r="S376" s="2" t="s">
        <v>121</v>
      </c>
      <c r="T376" s="2" t="s">
        <v>133</v>
      </c>
    </row>
    <row r="377" spans="1:20" x14ac:dyDescent="0.25">
      <c r="A377" s="2" t="s">
        <v>1089</v>
      </c>
      <c r="B377" s="3">
        <v>42817</v>
      </c>
      <c r="C377" s="3">
        <v>42817</v>
      </c>
      <c r="D377" s="2" t="s">
        <v>55</v>
      </c>
      <c r="E377" s="2" t="s">
        <v>1090</v>
      </c>
      <c r="F377" s="2" t="s">
        <v>1091</v>
      </c>
      <c r="G377" s="2" t="s">
        <v>58</v>
      </c>
      <c r="H377" s="2" t="s">
        <v>25</v>
      </c>
      <c r="I377" s="2" t="s">
        <v>699</v>
      </c>
      <c r="J377" s="2" t="s">
        <v>339</v>
      </c>
      <c r="K377" s="2" t="s">
        <v>82</v>
      </c>
      <c r="L377" s="2" t="s">
        <v>41</v>
      </c>
      <c r="M377" s="2" t="s">
        <v>30</v>
      </c>
      <c r="N377" s="2" t="s">
        <v>42</v>
      </c>
      <c r="O377" s="2" t="s">
        <v>43</v>
      </c>
      <c r="P377" s="4">
        <v>321.01819999999998</v>
      </c>
      <c r="Q377" s="4">
        <v>4</v>
      </c>
      <c r="R377" s="4">
        <v>131.20249999999999</v>
      </c>
      <c r="S377" s="2" t="s">
        <v>121</v>
      </c>
      <c r="T377" s="2" t="s">
        <v>44</v>
      </c>
    </row>
    <row r="378" spans="1:20" x14ac:dyDescent="0.25">
      <c r="A378" s="2" t="s">
        <v>1092</v>
      </c>
      <c r="B378" s="3">
        <v>42953</v>
      </c>
      <c r="C378" s="3">
        <v>42957</v>
      </c>
      <c r="D378" s="2" t="s">
        <v>55</v>
      </c>
      <c r="E378" s="2" t="s">
        <v>1093</v>
      </c>
      <c r="F378" s="2" t="s">
        <v>1094</v>
      </c>
      <c r="G378" s="2" t="s">
        <v>58</v>
      </c>
      <c r="H378" s="2" t="s">
        <v>25</v>
      </c>
      <c r="I378" s="2" t="s">
        <v>805</v>
      </c>
      <c r="J378" s="2" t="s">
        <v>351</v>
      </c>
      <c r="K378" s="2" t="s">
        <v>147</v>
      </c>
      <c r="L378" s="2" t="s">
        <v>139</v>
      </c>
      <c r="M378" s="2" t="s">
        <v>30</v>
      </c>
      <c r="N378" s="2" t="s">
        <v>42</v>
      </c>
      <c r="O378" s="2" t="s">
        <v>140</v>
      </c>
      <c r="P378" s="4">
        <v>328.51429999999999</v>
      </c>
      <c r="Q378" s="4">
        <v>5</v>
      </c>
      <c r="R378" s="4">
        <v>91.754499999999993</v>
      </c>
      <c r="S378" s="2" t="s">
        <v>75</v>
      </c>
      <c r="T378" s="2" t="s">
        <v>34</v>
      </c>
    </row>
    <row r="379" spans="1:20" x14ac:dyDescent="0.25">
      <c r="A379" s="2" t="s">
        <v>1095</v>
      </c>
      <c r="B379" s="3">
        <v>42421</v>
      </c>
      <c r="C379" s="3">
        <v>42427</v>
      </c>
      <c r="D379" s="2" t="s">
        <v>55</v>
      </c>
      <c r="E379" s="2" t="s">
        <v>641</v>
      </c>
      <c r="F379" s="2" t="s">
        <v>642</v>
      </c>
      <c r="G379" s="2" t="s">
        <v>58</v>
      </c>
      <c r="H379" s="2" t="s">
        <v>25</v>
      </c>
      <c r="I379" s="2" t="s">
        <v>1096</v>
      </c>
      <c r="J379" s="2" t="s">
        <v>806</v>
      </c>
      <c r="K379" s="2" t="s">
        <v>28</v>
      </c>
      <c r="L379" s="2" t="s">
        <v>131</v>
      </c>
      <c r="M379" s="2" t="s">
        <v>30</v>
      </c>
      <c r="N379" s="2" t="s">
        <v>31</v>
      </c>
      <c r="O379" s="2" t="s">
        <v>132</v>
      </c>
      <c r="P379" s="4">
        <v>63.637799999999999</v>
      </c>
      <c r="Q379" s="4">
        <v>1</v>
      </c>
      <c r="R379" s="4">
        <v>7.2348999999999997</v>
      </c>
      <c r="S379" s="2" t="s">
        <v>65</v>
      </c>
      <c r="T379" s="2" t="s">
        <v>101</v>
      </c>
    </row>
    <row r="380" spans="1:20" x14ac:dyDescent="0.25">
      <c r="A380" s="2" t="s">
        <v>1097</v>
      </c>
      <c r="B380" s="3">
        <v>42938</v>
      </c>
      <c r="C380" s="3">
        <v>42938</v>
      </c>
      <c r="D380" s="2" t="s">
        <v>48</v>
      </c>
      <c r="E380" s="2" t="s">
        <v>637</v>
      </c>
      <c r="F380" s="2" t="s">
        <v>638</v>
      </c>
      <c r="G380" s="2" t="s">
        <v>38</v>
      </c>
      <c r="H380" s="2" t="s">
        <v>25</v>
      </c>
      <c r="I380" s="2" t="s">
        <v>1098</v>
      </c>
      <c r="J380" s="2" t="s">
        <v>595</v>
      </c>
      <c r="K380" s="2" t="s">
        <v>61</v>
      </c>
      <c r="L380" s="2" t="s">
        <v>899</v>
      </c>
      <c r="M380" s="2" t="s">
        <v>30</v>
      </c>
      <c r="N380" s="2" t="s">
        <v>63</v>
      </c>
      <c r="O380" s="2" t="s">
        <v>900</v>
      </c>
      <c r="P380" s="4">
        <v>286.89010000000002</v>
      </c>
      <c r="Q380" s="4">
        <v>5</v>
      </c>
      <c r="R380" s="4">
        <v>44.448300000000003</v>
      </c>
      <c r="S380" s="2" t="s">
        <v>121</v>
      </c>
      <c r="T380" s="2" t="s">
        <v>86</v>
      </c>
    </row>
    <row r="381" spans="1:20" x14ac:dyDescent="0.25">
      <c r="A381" s="2" t="s">
        <v>1099</v>
      </c>
      <c r="B381" s="3">
        <v>42447</v>
      </c>
      <c r="C381" s="3">
        <v>42449</v>
      </c>
      <c r="D381" s="2" t="s">
        <v>48</v>
      </c>
      <c r="E381" s="2" t="s">
        <v>143</v>
      </c>
      <c r="F381" s="2" t="s">
        <v>144</v>
      </c>
      <c r="G381" s="2" t="s">
        <v>58</v>
      </c>
      <c r="H381" s="2" t="s">
        <v>25</v>
      </c>
      <c r="I381" s="2" t="s">
        <v>119</v>
      </c>
      <c r="J381" s="2" t="s">
        <v>120</v>
      </c>
      <c r="K381" s="2" t="s">
        <v>61</v>
      </c>
      <c r="L381" s="2" t="s">
        <v>344</v>
      </c>
      <c r="M381" s="2" t="s">
        <v>30</v>
      </c>
      <c r="N381" s="2" t="s">
        <v>42</v>
      </c>
      <c r="O381" s="2" t="s">
        <v>345</v>
      </c>
      <c r="P381" s="4">
        <v>1063.6803</v>
      </c>
      <c r="Q381" s="4">
        <v>3</v>
      </c>
      <c r="R381" s="4">
        <v>746.82129999999995</v>
      </c>
      <c r="S381" s="2" t="s">
        <v>53</v>
      </c>
      <c r="T381" s="2" t="s">
        <v>44</v>
      </c>
    </row>
    <row r="382" spans="1:20" x14ac:dyDescent="0.25">
      <c r="A382" s="2" t="s">
        <v>1100</v>
      </c>
      <c r="B382" s="3">
        <v>42157</v>
      </c>
      <c r="C382" s="3">
        <v>42157</v>
      </c>
      <c r="D382" s="2" t="s">
        <v>21</v>
      </c>
      <c r="E382" s="2" t="s">
        <v>1101</v>
      </c>
      <c r="F382" s="2" t="s">
        <v>1102</v>
      </c>
      <c r="G382" s="2" t="s">
        <v>58</v>
      </c>
      <c r="H382" s="2" t="s">
        <v>25</v>
      </c>
      <c r="I382" s="2" t="s">
        <v>861</v>
      </c>
      <c r="J382" s="2" t="s">
        <v>403</v>
      </c>
      <c r="K382" s="2" t="s">
        <v>147</v>
      </c>
      <c r="L382" s="2" t="s">
        <v>415</v>
      </c>
      <c r="M382" s="2" t="s">
        <v>30</v>
      </c>
      <c r="N382" s="2" t="s">
        <v>63</v>
      </c>
      <c r="O382" s="2" t="s">
        <v>416</v>
      </c>
      <c r="P382" s="4">
        <v>894.18870000000004</v>
      </c>
      <c r="Q382" s="4">
        <v>1</v>
      </c>
      <c r="R382" s="4">
        <v>-4.3837999999999999</v>
      </c>
      <c r="S382" s="2" t="s">
        <v>121</v>
      </c>
      <c r="T382" s="2" t="s">
        <v>133</v>
      </c>
    </row>
    <row r="383" spans="1:20" x14ac:dyDescent="0.25">
      <c r="A383" s="2" t="s">
        <v>1103</v>
      </c>
      <c r="B383" s="3">
        <v>42044</v>
      </c>
      <c r="C383" s="3">
        <v>42045</v>
      </c>
      <c r="D383" s="2" t="s">
        <v>21</v>
      </c>
      <c r="E383" s="2" t="s">
        <v>1104</v>
      </c>
      <c r="F383" s="2" t="s">
        <v>1105</v>
      </c>
      <c r="G383" s="2" t="s">
        <v>58</v>
      </c>
      <c r="H383" s="2" t="s">
        <v>25</v>
      </c>
      <c r="I383" s="2" t="s">
        <v>51</v>
      </c>
      <c r="J383" s="2" t="s">
        <v>52</v>
      </c>
      <c r="K383" s="2" t="s">
        <v>28</v>
      </c>
      <c r="L383" s="2" t="s">
        <v>612</v>
      </c>
      <c r="M383" s="2" t="s">
        <v>30</v>
      </c>
      <c r="N383" s="2" t="s">
        <v>162</v>
      </c>
      <c r="O383" s="2" t="s">
        <v>613</v>
      </c>
      <c r="P383" s="4">
        <v>860.67340000000002</v>
      </c>
      <c r="Q383" s="4">
        <v>4</v>
      </c>
      <c r="R383" s="4">
        <v>-256.1438</v>
      </c>
      <c r="S383" s="2" t="s">
        <v>33</v>
      </c>
      <c r="T383" s="2" t="s">
        <v>101</v>
      </c>
    </row>
    <row r="384" spans="1:20" x14ac:dyDescent="0.25">
      <c r="A384" s="2" t="s">
        <v>1106</v>
      </c>
      <c r="B384" s="3">
        <v>42990</v>
      </c>
      <c r="C384" s="3">
        <v>42995</v>
      </c>
      <c r="D384" s="2" t="s">
        <v>55</v>
      </c>
      <c r="E384" s="2" t="s">
        <v>964</v>
      </c>
      <c r="F384" s="2" t="s">
        <v>965</v>
      </c>
      <c r="G384" s="2" t="s">
        <v>58</v>
      </c>
      <c r="H384" s="2" t="s">
        <v>25</v>
      </c>
      <c r="I384" s="2" t="s">
        <v>505</v>
      </c>
      <c r="J384" s="2" t="s">
        <v>244</v>
      </c>
      <c r="K384" s="2" t="s">
        <v>61</v>
      </c>
      <c r="L384" s="2" t="s">
        <v>154</v>
      </c>
      <c r="M384" s="2" t="s">
        <v>30</v>
      </c>
      <c r="N384" s="2" t="s">
        <v>42</v>
      </c>
      <c r="O384" s="2" t="s">
        <v>155</v>
      </c>
      <c r="P384" s="4">
        <v>556.40020000000004</v>
      </c>
      <c r="Q384" s="4">
        <v>3</v>
      </c>
      <c r="R384" s="4">
        <v>42.120399999999997</v>
      </c>
      <c r="S384" s="2" t="s">
        <v>85</v>
      </c>
      <c r="T384" s="2" t="s">
        <v>148</v>
      </c>
    </row>
    <row r="385" spans="1:20" x14ac:dyDescent="0.25">
      <c r="A385" s="2" t="s">
        <v>1107</v>
      </c>
      <c r="B385" s="3">
        <v>42952</v>
      </c>
      <c r="C385" s="3">
        <v>42959</v>
      </c>
      <c r="D385" s="2" t="s">
        <v>55</v>
      </c>
      <c r="E385" s="2" t="s">
        <v>1108</v>
      </c>
      <c r="F385" s="2" t="s">
        <v>1109</v>
      </c>
      <c r="G385" s="2" t="s">
        <v>24</v>
      </c>
      <c r="H385" s="2" t="s">
        <v>25</v>
      </c>
      <c r="I385" s="2" t="s">
        <v>649</v>
      </c>
      <c r="J385" s="2" t="s">
        <v>279</v>
      </c>
      <c r="K385" s="2" t="s">
        <v>28</v>
      </c>
      <c r="L385" s="2" t="s">
        <v>83</v>
      </c>
      <c r="M385" s="2" t="s">
        <v>30</v>
      </c>
      <c r="N385" s="2" t="s">
        <v>42</v>
      </c>
      <c r="O385" s="2" t="s">
        <v>84</v>
      </c>
      <c r="P385" s="4">
        <v>309.75450000000001</v>
      </c>
      <c r="Q385" s="4">
        <v>2</v>
      </c>
      <c r="R385" s="4">
        <v>46.890300000000003</v>
      </c>
      <c r="S385" s="2" t="s">
        <v>107</v>
      </c>
      <c r="T385" s="2" t="s">
        <v>34</v>
      </c>
    </row>
    <row r="386" spans="1:20" x14ac:dyDescent="0.25">
      <c r="A386" s="2" t="s">
        <v>1110</v>
      </c>
      <c r="B386" s="3">
        <v>42637</v>
      </c>
      <c r="C386" s="3">
        <v>42637</v>
      </c>
      <c r="D386" s="2" t="s">
        <v>48</v>
      </c>
      <c r="E386" s="2" t="s">
        <v>262</v>
      </c>
      <c r="F386" s="2" t="s">
        <v>263</v>
      </c>
      <c r="G386" s="2" t="s">
        <v>38</v>
      </c>
      <c r="H386" s="2" t="s">
        <v>25</v>
      </c>
      <c r="I386" s="2" t="s">
        <v>910</v>
      </c>
      <c r="J386" s="2" t="s">
        <v>260</v>
      </c>
      <c r="K386" s="2" t="s">
        <v>147</v>
      </c>
      <c r="L386" s="2" t="s">
        <v>252</v>
      </c>
      <c r="M386" s="2" t="s">
        <v>30</v>
      </c>
      <c r="N386" s="2" t="s">
        <v>31</v>
      </c>
      <c r="O386" s="2" t="s">
        <v>253</v>
      </c>
      <c r="P386" s="4">
        <v>11.1065</v>
      </c>
      <c r="Q386" s="4">
        <v>5</v>
      </c>
      <c r="R386" s="4">
        <v>6.3967999999999998</v>
      </c>
      <c r="S386" s="2" t="s">
        <v>121</v>
      </c>
      <c r="T386" s="2" t="s">
        <v>148</v>
      </c>
    </row>
    <row r="387" spans="1:20" x14ac:dyDescent="0.25">
      <c r="A387" s="2" t="s">
        <v>1111</v>
      </c>
      <c r="B387" s="3">
        <v>41794</v>
      </c>
      <c r="C387" s="3">
        <v>41796</v>
      </c>
      <c r="D387" s="2" t="s">
        <v>48</v>
      </c>
      <c r="E387" s="2" t="s">
        <v>1112</v>
      </c>
      <c r="F387" s="2" t="s">
        <v>1113</v>
      </c>
      <c r="G387" s="2" t="s">
        <v>38</v>
      </c>
      <c r="H387" s="2" t="s">
        <v>25</v>
      </c>
      <c r="I387" s="2" t="s">
        <v>1114</v>
      </c>
      <c r="J387" s="2" t="s">
        <v>138</v>
      </c>
      <c r="K387" s="2" t="s">
        <v>82</v>
      </c>
      <c r="L387" s="2" t="s">
        <v>113</v>
      </c>
      <c r="M387" s="2" t="s">
        <v>30</v>
      </c>
      <c r="N387" s="2" t="s">
        <v>31</v>
      </c>
      <c r="O387" s="2" t="s">
        <v>114</v>
      </c>
      <c r="P387" s="4">
        <v>195.24</v>
      </c>
      <c r="Q387" s="4">
        <v>2</v>
      </c>
      <c r="R387" s="4">
        <v>-57.196899999999999</v>
      </c>
      <c r="S387" s="2" t="s">
        <v>53</v>
      </c>
      <c r="T387" s="2" t="s">
        <v>133</v>
      </c>
    </row>
    <row r="388" spans="1:20" x14ac:dyDescent="0.25">
      <c r="A388" s="2" t="s">
        <v>1115</v>
      </c>
      <c r="B388" s="3">
        <v>42606</v>
      </c>
      <c r="C388" s="3">
        <v>42607</v>
      </c>
      <c r="D388" s="2" t="s">
        <v>55</v>
      </c>
      <c r="E388" s="2" t="s">
        <v>1116</v>
      </c>
      <c r="F388" s="2" t="s">
        <v>1117</v>
      </c>
      <c r="G388" s="2" t="s">
        <v>58</v>
      </c>
      <c r="H388" s="2" t="s">
        <v>25</v>
      </c>
      <c r="I388" s="2" t="s">
        <v>1118</v>
      </c>
      <c r="J388" s="2" t="s">
        <v>435</v>
      </c>
      <c r="K388" s="2" t="s">
        <v>61</v>
      </c>
      <c r="L388" s="2" t="s">
        <v>161</v>
      </c>
      <c r="M388" s="2" t="s">
        <v>30</v>
      </c>
      <c r="N388" s="2" t="s">
        <v>162</v>
      </c>
      <c r="O388" s="2" t="s">
        <v>163</v>
      </c>
      <c r="P388" s="4">
        <v>193.90199999999999</v>
      </c>
      <c r="Q388" s="4">
        <v>2</v>
      </c>
      <c r="R388" s="4">
        <v>-70.758099999999999</v>
      </c>
      <c r="S388" s="2" t="s">
        <v>33</v>
      </c>
      <c r="T388" s="2" t="s">
        <v>34</v>
      </c>
    </row>
    <row r="389" spans="1:20" x14ac:dyDescent="0.25">
      <c r="A389" s="2" t="s">
        <v>1119</v>
      </c>
      <c r="B389" s="3">
        <v>42129</v>
      </c>
      <c r="C389" s="3">
        <v>42132</v>
      </c>
      <c r="D389" s="2" t="s">
        <v>21</v>
      </c>
      <c r="E389" s="2" t="s">
        <v>1120</v>
      </c>
      <c r="F389" s="2" t="s">
        <v>1121</v>
      </c>
      <c r="G389" s="2" t="s">
        <v>58</v>
      </c>
      <c r="H389" s="2" t="s">
        <v>25</v>
      </c>
      <c r="I389" s="2" t="s">
        <v>138</v>
      </c>
      <c r="J389" s="2" t="s">
        <v>407</v>
      </c>
      <c r="K389" s="2" t="s">
        <v>28</v>
      </c>
      <c r="L389" s="2" t="s">
        <v>618</v>
      </c>
      <c r="M389" s="2" t="s">
        <v>30</v>
      </c>
      <c r="N389" s="2" t="s">
        <v>63</v>
      </c>
      <c r="O389" s="2" t="s">
        <v>619</v>
      </c>
      <c r="P389" s="4">
        <v>1692.0527999999999</v>
      </c>
      <c r="Q389" s="4">
        <v>2</v>
      </c>
      <c r="R389" s="4">
        <v>-970.61519999999996</v>
      </c>
      <c r="S389" s="2" t="s">
        <v>92</v>
      </c>
      <c r="T389" s="2" t="s">
        <v>122</v>
      </c>
    </row>
    <row r="390" spans="1:20" x14ac:dyDescent="0.25">
      <c r="A390" s="2" t="s">
        <v>1119</v>
      </c>
      <c r="B390" s="3">
        <v>42129</v>
      </c>
      <c r="C390" s="3">
        <v>42132</v>
      </c>
      <c r="D390" s="2" t="s">
        <v>21</v>
      </c>
      <c r="E390" s="2" t="s">
        <v>1120</v>
      </c>
      <c r="F390" s="2" t="s">
        <v>1121</v>
      </c>
      <c r="G390" s="2" t="s">
        <v>58</v>
      </c>
      <c r="H390" s="2" t="s">
        <v>25</v>
      </c>
      <c r="I390" s="2" t="s">
        <v>138</v>
      </c>
      <c r="J390" s="2" t="s">
        <v>407</v>
      </c>
      <c r="K390" s="2" t="s">
        <v>28</v>
      </c>
      <c r="L390" s="2" t="s">
        <v>83</v>
      </c>
      <c r="M390" s="2" t="s">
        <v>30</v>
      </c>
      <c r="N390" s="2" t="s">
        <v>42</v>
      </c>
      <c r="O390" s="2" t="s">
        <v>84</v>
      </c>
      <c r="P390" s="4">
        <v>1281.8957</v>
      </c>
      <c r="Q390" s="4">
        <v>7</v>
      </c>
      <c r="R390" s="4">
        <v>-156.06370000000001</v>
      </c>
      <c r="S390" s="2" t="s">
        <v>92</v>
      </c>
      <c r="T390" s="2" t="s">
        <v>122</v>
      </c>
    </row>
    <row r="391" spans="1:20" x14ac:dyDescent="0.25">
      <c r="A391" s="2" t="s">
        <v>1122</v>
      </c>
      <c r="B391" s="3">
        <v>42396</v>
      </c>
      <c r="C391" s="3">
        <v>42396</v>
      </c>
      <c r="D391" s="2" t="s">
        <v>48</v>
      </c>
      <c r="E391" s="2" t="s">
        <v>1123</v>
      </c>
      <c r="F391" s="2" t="s">
        <v>1124</v>
      </c>
      <c r="G391" s="2" t="s">
        <v>38</v>
      </c>
      <c r="H391" s="2" t="s">
        <v>25</v>
      </c>
      <c r="I391" s="2" t="s">
        <v>105</v>
      </c>
      <c r="J391" s="2" t="s">
        <v>106</v>
      </c>
      <c r="K391" s="2" t="s">
        <v>61</v>
      </c>
      <c r="L391" s="2" t="s">
        <v>252</v>
      </c>
      <c r="M391" s="2" t="s">
        <v>30</v>
      </c>
      <c r="N391" s="2" t="s">
        <v>31</v>
      </c>
      <c r="O391" s="2" t="s">
        <v>253</v>
      </c>
      <c r="P391" s="4">
        <v>9.6735000000000007</v>
      </c>
      <c r="Q391" s="4">
        <v>6</v>
      </c>
      <c r="R391" s="4">
        <v>1.8992</v>
      </c>
      <c r="S391" s="2" t="s">
        <v>121</v>
      </c>
      <c r="T391" s="2" t="s">
        <v>115</v>
      </c>
    </row>
    <row r="392" spans="1:20" x14ac:dyDescent="0.25">
      <c r="A392" s="2" t="s">
        <v>1125</v>
      </c>
      <c r="B392" s="3">
        <v>43081</v>
      </c>
      <c r="C392" s="3">
        <v>43082</v>
      </c>
      <c r="D392" s="2" t="s">
        <v>55</v>
      </c>
      <c r="E392" s="2" t="s">
        <v>1126</v>
      </c>
      <c r="F392" s="2" t="s">
        <v>1127</v>
      </c>
      <c r="G392" s="2" t="s">
        <v>38</v>
      </c>
      <c r="H392" s="2" t="s">
        <v>25</v>
      </c>
      <c r="I392" s="2" t="s">
        <v>1128</v>
      </c>
      <c r="J392" s="2" t="s">
        <v>667</v>
      </c>
      <c r="K392" s="2" t="s">
        <v>28</v>
      </c>
      <c r="L392" s="2" t="s">
        <v>228</v>
      </c>
      <c r="M392" s="2" t="s">
        <v>30</v>
      </c>
      <c r="N392" s="2" t="s">
        <v>42</v>
      </c>
      <c r="O392" s="2" t="s">
        <v>229</v>
      </c>
      <c r="P392" s="4">
        <v>181.55099999999999</v>
      </c>
      <c r="Q392" s="4">
        <v>9</v>
      </c>
      <c r="R392" s="4">
        <v>0.19520000000000001</v>
      </c>
      <c r="S392" s="2" t="s">
        <v>33</v>
      </c>
      <c r="T392" s="2" t="s">
        <v>76</v>
      </c>
    </row>
    <row r="393" spans="1:20" x14ac:dyDescent="0.25">
      <c r="A393" s="2" t="s">
        <v>1129</v>
      </c>
      <c r="B393" s="3">
        <v>42697</v>
      </c>
      <c r="C393" s="3">
        <v>42697</v>
      </c>
      <c r="D393" s="2" t="s">
        <v>48</v>
      </c>
      <c r="E393" s="2" t="s">
        <v>1130</v>
      </c>
      <c r="F393" s="2" t="s">
        <v>1131</v>
      </c>
      <c r="G393" s="2" t="s">
        <v>24</v>
      </c>
      <c r="H393" s="2" t="s">
        <v>25</v>
      </c>
      <c r="I393" s="2" t="s">
        <v>414</v>
      </c>
      <c r="J393" s="2" t="s">
        <v>206</v>
      </c>
      <c r="K393" s="2" t="s">
        <v>61</v>
      </c>
      <c r="L393" s="2" t="s">
        <v>316</v>
      </c>
      <c r="M393" s="2" t="s">
        <v>30</v>
      </c>
      <c r="N393" s="2" t="s">
        <v>42</v>
      </c>
      <c r="O393" s="2" t="s">
        <v>317</v>
      </c>
      <c r="P393" s="4">
        <v>1378.123</v>
      </c>
      <c r="Q393" s="4">
        <v>9</v>
      </c>
      <c r="R393" s="4">
        <v>718.48559999999998</v>
      </c>
      <c r="S393" s="2" t="s">
        <v>121</v>
      </c>
      <c r="T393" s="2" t="s">
        <v>93</v>
      </c>
    </row>
    <row r="394" spans="1:20" x14ac:dyDescent="0.25">
      <c r="A394" s="2" t="s">
        <v>1132</v>
      </c>
      <c r="B394" s="3">
        <v>42111</v>
      </c>
      <c r="C394" s="3">
        <v>42112</v>
      </c>
      <c r="D394" s="2" t="s">
        <v>55</v>
      </c>
      <c r="E394" s="2" t="s">
        <v>1120</v>
      </c>
      <c r="F394" s="2" t="s">
        <v>1121</v>
      </c>
      <c r="G394" s="2" t="s">
        <v>38</v>
      </c>
      <c r="H394" s="2" t="s">
        <v>25</v>
      </c>
      <c r="I394" s="2" t="s">
        <v>138</v>
      </c>
      <c r="J394" s="2" t="s">
        <v>407</v>
      </c>
      <c r="K394" s="2" t="s">
        <v>28</v>
      </c>
      <c r="L394" s="2" t="s">
        <v>283</v>
      </c>
      <c r="M394" s="2" t="s">
        <v>30</v>
      </c>
      <c r="N394" s="2" t="s">
        <v>162</v>
      </c>
      <c r="O394" s="2" t="s">
        <v>284</v>
      </c>
      <c r="P394" s="4">
        <v>1012.8087</v>
      </c>
      <c r="Q394" s="4">
        <v>2</v>
      </c>
      <c r="R394" s="4">
        <v>197.9727</v>
      </c>
      <c r="S394" s="2" t="s">
        <v>33</v>
      </c>
      <c r="T394" s="2" t="s">
        <v>108</v>
      </c>
    </row>
    <row r="395" spans="1:20" x14ac:dyDescent="0.25">
      <c r="A395" s="2" t="s">
        <v>1133</v>
      </c>
      <c r="B395" s="3">
        <v>41872</v>
      </c>
      <c r="C395" s="3">
        <v>41875</v>
      </c>
      <c r="D395" s="2" t="s">
        <v>21</v>
      </c>
      <c r="E395" s="2" t="s">
        <v>1134</v>
      </c>
      <c r="F395" s="2" t="s">
        <v>1135</v>
      </c>
      <c r="G395" s="2" t="s">
        <v>58</v>
      </c>
      <c r="H395" s="2" t="s">
        <v>25</v>
      </c>
      <c r="I395" s="2" t="s">
        <v>623</v>
      </c>
      <c r="J395" s="2" t="s">
        <v>40</v>
      </c>
      <c r="K395" s="2" t="s">
        <v>28</v>
      </c>
      <c r="L395" s="2" t="s">
        <v>899</v>
      </c>
      <c r="M395" s="2" t="s">
        <v>30</v>
      </c>
      <c r="N395" s="2" t="s">
        <v>63</v>
      </c>
      <c r="O395" s="2" t="s">
        <v>900</v>
      </c>
      <c r="P395" s="4">
        <v>140.0848</v>
      </c>
      <c r="Q395" s="4">
        <v>3</v>
      </c>
      <c r="R395" s="4">
        <v>45.820099999999996</v>
      </c>
      <c r="S395" s="2" t="s">
        <v>92</v>
      </c>
      <c r="T395" s="2" t="s">
        <v>34</v>
      </c>
    </row>
    <row r="396" spans="1:20" x14ac:dyDescent="0.25">
      <c r="A396" s="2" t="s">
        <v>1136</v>
      </c>
      <c r="B396" s="3">
        <v>42853</v>
      </c>
      <c r="C396" s="3">
        <v>42857</v>
      </c>
      <c r="D396" s="2" t="s">
        <v>55</v>
      </c>
      <c r="E396" s="2" t="s">
        <v>597</v>
      </c>
      <c r="F396" s="2" t="s">
        <v>598</v>
      </c>
      <c r="G396" s="2" t="s">
        <v>38</v>
      </c>
      <c r="H396" s="2" t="s">
        <v>25</v>
      </c>
      <c r="I396" s="2" t="s">
        <v>145</v>
      </c>
      <c r="J396" s="2" t="s">
        <v>146</v>
      </c>
      <c r="K396" s="2" t="s">
        <v>147</v>
      </c>
      <c r="L396" s="2" t="s">
        <v>372</v>
      </c>
      <c r="M396" s="2" t="s">
        <v>30</v>
      </c>
      <c r="N396" s="2" t="s">
        <v>162</v>
      </c>
      <c r="O396" s="2" t="s">
        <v>373</v>
      </c>
      <c r="P396" s="4">
        <v>279.6773</v>
      </c>
      <c r="Q396" s="4">
        <v>5</v>
      </c>
      <c r="R396" s="4">
        <v>40.802599999999998</v>
      </c>
      <c r="S396" s="2" t="s">
        <v>75</v>
      </c>
      <c r="T396" s="2" t="s">
        <v>108</v>
      </c>
    </row>
    <row r="397" spans="1:20" x14ac:dyDescent="0.25">
      <c r="A397" s="2" t="s">
        <v>1136</v>
      </c>
      <c r="B397" s="3">
        <v>42853</v>
      </c>
      <c r="C397" s="3">
        <v>42857</v>
      </c>
      <c r="D397" s="2" t="s">
        <v>55</v>
      </c>
      <c r="E397" s="2" t="s">
        <v>597</v>
      </c>
      <c r="F397" s="2" t="s">
        <v>598</v>
      </c>
      <c r="G397" s="2" t="s">
        <v>38</v>
      </c>
      <c r="H397" s="2" t="s">
        <v>25</v>
      </c>
      <c r="I397" s="2" t="s">
        <v>145</v>
      </c>
      <c r="J397" s="2" t="s">
        <v>146</v>
      </c>
      <c r="K397" s="2" t="s">
        <v>147</v>
      </c>
      <c r="L397" s="2" t="s">
        <v>29</v>
      </c>
      <c r="M397" s="2" t="s">
        <v>30</v>
      </c>
      <c r="N397" s="2" t="s">
        <v>31</v>
      </c>
      <c r="O397" s="2" t="s">
        <v>32</v>
      </c>
      <c r="P397" s="4">
        <v>14.779</v>
      </c>
      <c r="Q397" s="4">
        <v>3</v>
      </c>
      <c r="R397" s="4">
        <v>-1.6400999999999999</v>
      </c>
      <c r="S397" s="2" t="s">
        <v>75</v>
      </c>
      <c r="T397" s="2" t="s">
        <v>108</v>
      </c>
    </row>
    <row r="398" spans="1:20" x14ac:dyDescent="0.25">
      <c r="A398" s="2" t="s">
        <v>1137</v>
      </c>
      <c r="B398" s="3">
        <v>42945</v>
      </c>
      <c r="C398" s="3">
        <v>42948</v>
      </c>
      <c r="D398" s="2" t="s">
        <v>21</v>
      </c>
      <c r="E398" s="2" t="s">
        <v>439</v>
      </c>
      <c r="F398" s="2" t="s">
        <v>440</v>
      </c>
      <c r="G398" s="2" t="s">
        <v>24</v>
      </c>
      <c r="H398" s="2" t="s">
        <v>25</v>
      </c>
      <c r="I398" s="2" t="s">
        <v>398</v>
      </c>
      <c r="J398" s="2" t="s">
        <v>251</v>
      </c>
      <c r="K398" s="2" t="s">
        <v>147</v>
      </c>
      <c r="L398" s="2" t="s">
        <v>193</v>
      </c>
      <c r="M398" s="2" t="s">
        <v>30</v>
      </c>
      <c r="N398" s="2" t="s">
        <v>42</v>
      </c>
      <c r="O398" s="2" t="s">
        <v>194</v>
      </c>
      <c r="P398" s="4">
        <v>329.8612</v>
      </c>
      <c r="Q398" s="4">
        <v>4</v>
      </c>
      <c r="R398" s="4">
        <v>-94.892700000000005</v>
      </c>
      <c r="S398" s="2" t="s">
        <v>92</v>
      </c>
      <c r="T398" s="2" t="s">
        <v>86</v>
      </c>
    </row>
    <row r="399" spans="1:20" x14ac:dyDescent="0.25">
      <c r="A399" s="2" t="s">
        <v>1137</v>
      </c>
      <c r="B399" s="3">
        <v>42945</v>
      </c>
      <c r="C399" s="3">
        <v>42948</v>
      </c>
      <c r="D399" s="2" t="s">
        <v>21</v>
      </c>
      <c r="E399" s="2" t="s">
        <v>439</v>
      </c>
      <c r="F399" s="2" t="s">
        <v>440</v>
      </c>
      <c r="G399" s="2" t="s">
        <v>24</v>
      </c>
      <c r="H399" s="2" t="s">
        <v>25</v>
      </c>
      <c r="I399" s="2" t="s">
        <v>398</v>
      </c>
      <c r="J399" s="2" t="s">
        <v>251</v>
      </c>
      <c r="K399" s="2" t="s">
        <v>147</v>
      </c>
      <c r="L399" s="2" t="s">
        <v>29</v>
      </c>
      <c r="M399" s="2" t="s">
        <v>30</v>
      </c>
      <c r="N399" s="2" t="s">
        <v>31</v>
      </c>
      <c r="O399" s="2" t="s">
        <v>32</v>
      </c>
      <c r="P399" s="4">
        <v>16.825700000000001</v>
      </c>
      <c r="Q399" s="4">
        <v>8</v>
      </c>
      <c r="R399" s="4">
        <v>0.62450000000000006</v>
      </c>
      <c r="S399" s="2" t="s">
        <v>92</v>
      </c>
      <c r="T399" s="2" t="s">
        <v>86</v>
      </c>
    </row>
    <row r="400" spans="1:20" x14ac:dyDescent="0.25">
      <c r="A400" s="2" t="s">
        <v>1138</v>
      </c>
      <c r="B400" s="3">
        <v>42012</v>
      </c>
      <c r="C400" s="3">
        <v>42015</v>
      </c>
      <c r="D400" s="2" t="s">
        <v>55</v>
      </c>
      <c r="E400" s="2" t="s">
        <v>1139</v>
      </c>
      <c r="F400" s="2" t="s">
        <v>1140</v>
      </c>
      <c r="G400" s="2" t="s">
        <v>38</v>
      </c>
      <c r="H400" s="2" t="s">
        <v>25</v>
      </c>
      <c r="I400" s="2" t="s">
        <v>205</v>
      </c>
      <c r="J400" s="2" t="s">
        <v>206</v>
      </c>
      <c r="K400" s="2" t="s">
        <v>61</v>
      </c>
      <c r="L400" s="2" t="s">
        <v>41</v>
      </c>
      <c r="M400" s="2" t="s">
        <v>30</v>
      </c>
      <c r="N400" s="2" t="s">
        <v>42</v>
      </c>
      <c r="O400" s="2" t="s">
        <v>43</v>
      </c>
      <c r="P400" s="4">
        <v>462.66419999999999</v>
      </c>
      <c r="Q400" s="4">
        <v>6</v>
      </c>
      <c r="R400" s="4">
        <v>-0.52759999999999996</v>
      </c>
      <c r="S400" s="2" t="s">
        <v>92</v>
      </c>
      <c r="T400" s="2" t="s">
        <v>115</v>
      </c>
    </row>
    <row r="401" spans="1:20" x14ac:dyDescent="0.25">
      <c r="A401" s="2" t="s">
        <v>1141</v>
      </c>
      <c r="B401" s="3">
        <v>42054</v>
      </c>
      <c r="C401" s="3">
        <v>42055</v>
      </c>
      <c r="D401" s="2" t="s">
        <v>55</v>
      </c>
      <c r="E401" s="2" t="s">
        <v>1142</v>
      </c>
      <c r="F401" s="2" t="s">
        <v>1143</v>
      </c>
      <c r="G401" s="2" t="s">
        <v>38</v>
      </c>
      <c r="H401" s="2" t="s">
        <v>25</v>
      </c>
      <c r="I401" s="2" t="s">
        <v>491</v>
      </c>
      <c r="J401" s="2" t="s">
        <v>310</v>
      </c>
      <c r="K401" s="2" t="s">
        <v>28</v>
      </c>
      <c r="L401" s="2" t="s">
        <v>29</v>
      </c>
      <c r="M401" s="2" t="s">
        <v>30</v>
      </c>
      <c r="N401" s="2" t="s">
        <v>31</v>
      </c>
      <c r="O401" s="2" t="s">
        <v>32</v>
      </c>
      <c r="P401" s="4">
        <v>417.20979999999997</v>
      </c>
      <c r="Q401" s="4">
        <v>7</v>
      </c>
      <c r="R401" s="4">
        <v>-117.33920000000001</v>
      </c>
      <c r="S401" s="2" t="s">
        <v>33</v>
      </c>
      <c r="T401" s="2" t="s">
        <v>101</v>
      </c>
    </row>
    <row r="402" spans="1:20" x14ac:dyDescent="0.25">
      <c r="A402" s="2" t="s">
        <v>1144</v>
      </c>
      <c r="B402" s="3">
        <v>42744</v>
      </c>
      <c r="C402" s="3">
        <v>42747</v>
      </c>
      <c r="D402" s="2" t="s">
        <v>21</v>
      </c>
      <c r="E402" s="2" t="s">
        <v>447</v>
      </c>
      <c r="F402" s="2" t="s">
        <v>448</v>
      </c>
      <c r="G402" s="2" t="s">
        <v>38</v>
      </c>
      <c r="H402" s="2" t="s">
        <v>25</v>
      </c>
      <c r="I402" s="2" t="s">
        <v>80</v>
      </c>
      <c r="J402" s="2" t="s">
        <v>81</v>
      </c>
      <c r="K402" s="2" t="s">
        <v>82</v>
      </c>
      <c r="L402" s="2" t="s">
        <v>45</v>
      </c>
      <c r="M402" s="2" t="s">
        <v>30</v>
      </c>
      <c r="N402" s="2" t="s">
        <v>31</v>
      </c>
      <c r="O402" s="2" t="s">
        <v>46</v>
      </c>
      <c r="P402" s="4">
        <v>14.2538</v>
      </c>
      <c r="Q402" s="4">
        <v>2</v>
      </c>
      <c r="R402" s="4">
        <v>5.3228</v>
      </c>
      <c r="S402" s="2" t="s">
        <v>92</v>
      </c>
      <c r="T402" s="2" t="s">
        <v>115</v>
      </c>
    </row>
    <row r="403" spans="1:20" x14ac:dyDescent="0.25">
      <c r="A403" s="2" t="s">
        <v>1145</v>
      </c>
      <c r="B403" s="3">
        <v>42357</v>
      </c>
      <c r="C403" s="3">
        <v>42363</v>
      </c>
      <c r="D403" s="2" t="s">
        <v>55</v>
      </c>
      <c r="E403" s="2" t="s">
        <v>1146</v>
      </c>
      <c r="F403" s="2" t="s">
        <v>1147</v>
      </c>
      <c r="G403" s="2" t="s">
        <v>58</v>
      </c>
      <c r="H403" s="2" t="s">
        <v>25</v>
      </c>
      <c r="I403" s="2" t="s">
        <v>437</v>
      </c>
      <c r="J403" s="2" t="s">
        <v>217</v>
      </c>
      <c r="K403" s="2" t="s">
        <v>82</v>
      </c>
      <c r="L403" s="2" t="s">
        <v>793</v>
      </c>
      <c r="M403" s="2" t="s">
        <v>30</v>
      </c>
      <c r="N403" s="2" t="s">
        <v>63</v>
      </c>
      <c r="O403" s="2" t="s">
        <v>794</v>
      </c>
      <c r="P403" s="4">
        <v>428.173</v>
      </c>
      <c r="Q403" s="4">
        <v>3</v>
      </c>
      <c r="R403" s="4">
        <v>128.6867</v>
      </c>
      <c r="S403" s="2" t="s">
        <v>65</v>
      </c>
      <c r="T403" s="2" t="s">
        <v>76</v>
      </c>
    </row>
    <row r="404" spans="1:20" x14ac:dyDescent="0.25">
      <c r="A404" s="2" t="s">
        <v>1148</v>
      </c>
      <c r="B404" s="3">
        <v>41654</v>
      </c>
      <c r="C404" s="3">
        <v>41655</v>
      </c>
      <c r="D404" s="2" t="s">
        <v>55</v>
      </c>
      <c r="E404" s="2" t="s">
        <v>1149</v>
      </c>
      <c r="F404" s="2" t="s">
        <v>1150</v>
      </c>
      <c r="G404" s="2" t="s">
        <v>58</v>
      </c>
      <c r="H404" s="2" t="s">
        <v>25</v>
      </c>
      <c r="I404" s="2" t="s">
        <v>977</v>
      </c>
      <c r="J404" s="2" t="s">
        <v>475</v>
      </c>
      <c r="K404" s="2" t="s">
        <v>28</v>
      </c>
      <c r="L404" s="2" t="s">
        <v>131</v>
      </c>
      <c r="M404" s="2" t="s">
        <v>30</v>
      </c>
      <c r="N404" s="2" t="s">
        <v>31</v>
      </c>
      <c r="O404" s="2" t="s">
        <v>132</v>
      </c>
      <c r="P404" s="4">
        <v>42.023000000000003</v>
      </c>
      <c r="Q404" s="4">
        <v>3</v>
      </c>
      <c r="R404" s="4">
        <v>11.032400000000001</v>
      </c>
      <c r="S404" s="2" t="s">
        <v>33</v>
      </c>
      <c r="T404" s="2" t="s">
        <v>115</v>
      </c>
    </row>
    <row r="405" spans="1:20" x14ac:dyDescent="0.25">
      <c r="A405" s="2" t="s">
        <v>1151</v>
      </c>
      <c r="B405" s="3">
        <v>42175</v>
      </c>
      <c r="C405" s="3">
        <v>42178</v>
      </c>
      <c r="D405" s="2" t="s">
        <v>21</v>
      </c>
      <c r="E405" s="2" t="s">
        <v>1152</v>
      </c>
      <c r="F405" s="2" t="s">
        <v>1153</v>
      </c>
      <c r="G405" s="2" t="s">
        <v>58</v>
      </c>
      <c r="H405" s="2" t="s">
        <v>25</v>
      </c>
      <c r="I405" s="2" t="s">
        <v>360</v>
      </c>
      <c r="J405" s="2" t="s">
        <v>160</v>
      </c>
      <c r="K405" s="2" t="s">
        <v>61</v>
      </c>
      <c r="L405" s="2" t="s">
        <v>323</v>
      </c>
      <c r="M405" s="2" t="s">
        <v>30</v>
      </c>
      <c r="N405" s="2" t="s">
        <v>31</v>
      </c>
      <c r="O405" s="2" t="s">
        <v>324</v>
      </c>
      <c r="P405" s="4">
        <v>14.3256</v>
      </c>
      <c r="Q405" s="4">
        <v>1</v>
      </c>
      <c r="R405" s="4">
        <v>2.9182000000000001</v>
      </c>
      <c r="S405" s="2" t="s">
        <v>92</v>
      </c>
      <c r="T405" s="2" t="s">
        <v>133</v>
      </c>
    </row>
    <row r="406" spans="1:20" x14ac:dyDescent="0.25">
      <c r="A406" s="2" t="s">
        <v>1154</v>
      </c>
      <c r="B406" s="3">
        <v>42398</v>
      </c>
      <c r="C406" s="3">
        <v>42400</v>
      </c>
      <c r="D406" s="2" t="s">
        <v>48</v>
      </c>
      <c r="E406" s="2" t="s">
        <v>1155</v>
      </c>
      <c r="F406" s="2" t="s">
        <v>1156</v>
      </c>
      <c r="G406" s="2" t="s">
        <v>24</v>
      </c>
      <c r="H406" s="2" t="s">
        <v>25</v>
      </c>
      <c r="I406" s="2" t="s">
        <v>1055</v>
      </c>
      <c r="J406" s="2" t="s">
        <v>106</v>
      </c>
      <c r="K406" s="2" t="s">
        <v>61</v>
      </c>
      <c r="L406" s="2" t="s">
        <v>154</v>
      </c>
      <c r="M406" s="2" t="s">
        <v>30</v>
      </c>
      <c r="N406" s="2" t="s">
        <v>42</v>
      </c>
      <c r="O406" s="2" t="s">
        <v>155</v>
      </c>
      <c r="P406" s="4">
        <v>268.09840000000003</v>
      </c>
      <c r="Q406" s="4">
        <v>3</v>
      </c>
      <c r="R406" s="4">
        <v>47.397199999999998</v>
      </c>
      <c r="S406" s="2" t="s">
        <v>53</v>
      </c>
      <c r="T406" s="2" t="s">
        <v>115</v>
      </c>
    </row>
    <row r="407" spans="1:20" x14ac:dyDescent="0.25">
      <c r="A407" s="2" t="s">
        <v>1157</v>
      </c>
      <c r="B407" s="3">
        <v>41971</v>
      </c>
      <c r="C407" s="3">
        <v>41971</v>
      </c>
      <c r="D407" s="2" t="s">
        <v>21</v>
      </c>
      <c r="E407" s="2" t="s">
        <v>1158</v>
      </c>
      <c r="F407" s="2" t="s">
        <v>1159</v>
      </c>
      <c r="G407" s="2" t="s">
        <v>58</v>
      </c>
      <c r="H407" s="2" t="s">
        <v>25</v>
      </c>
      <c r="I407" s="2" t="s">
        <v>539</v>
      </c>
      <c r="J407" s="2" t="s">
        <v>91</v>
      </c>
      <c r="K407" s="2" t="s">
        <v>61</v>
      </c>
      <c r="L407" s="2" t="s">
        <v>174</v>
      </c>
      <c r="M407" s="2" t="s">
        <v>30</v>
      </c>
      <c r="N407" s="2" t="s">
        <v>31</v>
      </c>
      <c r="O407" s="2" t="s">
        <v>175</v>
      </c>
      <c r="P407" s="4">
        <v>15.5115</v>
      </c>
      <c r="Q407" s="4">
        <v>4</v>
      </c>
      <c r="R407" s="4">
        <v>-0.46579999999999999</v>
      </c>
      <c r="S407" s="2" t="s">
        <v>121</v>
      </c>
      <c r="T407" s="2" t="s">
        <v>93</v>
      </c>
    </row>
    <row r="408" spans="1:20" x14ac:dyDescent="0.25">
      <c r="A408" s="2" t="s">
        <v>1160</v>
      </c>
      <c r="B408" s="3">
        <v>41826</v>
      </c>
      <c r="C408" s="3">
        <v>41831</v>
      </c>
      <c r="D408" s="2" t="s">
        <v>55</v>
      </c>
      <c r="E408" s="2" t="s">
        <v>823</v>
      </c>
      <c r="F408" s="2" t="s">
        <v>824</v>
      </c>
      <c r="G408" s="2" t="s">
        <v>24</v>
      </c>
      <c r="H408" s="2" t="s">
        <v>25</v>
      </c>
      <c r="I408" s="2" t="s">
        <v>126</v>
      </c>
      <c r="J408" s="2" t="s">
        <v>127</v>
      </c>
      <c r="K408" s="2" t="s">
        <v>82</v>
      </c>
      <c r="L408" s="2" t="s">
        <v>719</v>
      </c>
      <c r="M408" s="2" t="s">
        <v>30</v>
      </c>
      <c r="N408" s="2" t="s">
        <v>63</v>
      </c>
      <c r="O408" s="2" t="s">
        <v>720</v>
      </c>
      <c r="P408" s="4">
        <v>282.91300000000001</v>
      </c>
      <c r="Q408" s="4">
        <v>3</v>
      </c>
      <c r="R408" s="4">
        <v>23.653600000000001</v>
      </c>
      <c r="S408" s="2" t="s">
        <v>85</v>
      </c>
      <c r="T408" s="2" t="s">
        <v>86</v>
      </c>
    </row>
    <row r="409" spans="1:20" x14ac:dyDescent="0.25">
      <c r="A409" s="2" t="s">
        <v>1161</v>
      </c>
      <c r="B409" s="3">
        <v>42460</v>
      </c>
      <c r="C409" s="3">
        <v>42463</v>
      </c>
      <c r="D409" s="2" t="s">
        <v>55</v>
      </c>
      <c r="E409" s="2" t="s">
        <v>472</v>
      </c>
      <c r="F409" s="2" t="s">
        <v>473</v>
      </c>
      <c r="G409" s="2" t="s">
        <v>58</v>
      </c>
      <c r="H409" s="2" t="s">
        <v>25</v>
      </c>
      <c r="I409" s="2" t="s">
        <v>364</v>
      </c>
      <c r="J409" s="2" t="s">
        <v>279</v>
      </c>
      <c r="K409" s="2" t="s">
        <v>28</v>
      </c>
      <c r="L409" s="2" t="s">
        <v>113</v>
      </c>
      <c r="M409" s="2" t="s">
        <v>30</v>
      </c>
      <c r="N409" s="2" t="s">
        <v>31</v>
      </c>
      <c r="O409" s="2" t="s">
        <v>114</v>
      </c>
      <c r="P409" s="4">
        <v>40.826599999999999</v>
      </c>
      <c r="Q409" s="4">
        <v>2</v>
      </c>
      <c r="R409" s="4">
        <v>-5.5053999999999998</v>
      </c>
      <c r="S409" s="2" t="s">
        <v>92</v>
      </c>
      <c r="T409" s="2" t="s">
        <v>44</v>
      </c>
    </row>
    <row r="410" spans="1:20" x14ac:dyDescent="0.25">
      <c r="A410" s="2" t="s">
        <v>1161</v>
      </c>
      <c r="B410" s="3">
        <v>42460</v>
      </c>
      <c r="C410" s="3">
        <v>42463</v>
      </c>
      <c r="D410" s="2" t="s">
        <v>55</v>
      </c>
      <c r="E410" s="2" t="s">
        <v>472</v>
      </c>
      <c r="F410" s="2" t="s">
        <v>473</v>
      </c>
      <c r="G410" s="2" t="s">
        <v>58</v>
      </c>
      <c r="H410" s="2" t="s">
        <v>25</v>
      </c>
      <c r="I410" s="2" t="s">
        <v>364</v>
      </c>
      <c r="J410" s="2" t="s">
        <v>279</v>
      </c>
      <c r="K410" s="2" t="s">
        <v>28</v>
      </c>
      <c r="L410" s="2" t="s">
        <v>41</v>
      </c>
      <c r="M410" s="2" t="s">
        <v>30</v>
      </c>
      <c r="N410" s="2" t="s">
        <v>42</v>
      </c>
      <c r="O410" s="2" t="s">
        <v>43</v>
      </c>
      <c r="P410" s="4">
        <v>1321.2718</v>
      </c>
      <c r="Q410" s="4">
        <v>3</v>
      </c>
      <c r="R410" s="4">
        <v>-80.651799999999994</v>
      </c>
      <c r="S410" s="2" t="s">
        <v>92</v>
      </c>
      <c r="T410" s="2" t="s">
        <v>44</v>
      </c>
    </row>
    <row r="411" spans="1:20" x14ac:dyDescent="0.25">
      <c r="A411" s="2" t="s">
        <v>1162</v>
      </c>
      <c r="B411" s="3">
        <v>42867</v>
      </c>
      <c r="C411" s="3">
        <v>42868</v>
      </c>
      <c r="D411" s="2" t="s">
        <v>21</v>
      </c>
      <c r="E411" s="2" t="s">
        <v>1163</v>
      </c>
      <c r="F411" s="2" t="s">
        <v>1164</v>
      </c>
      <c r="G411" s="2" t="s">
        <v>58</v>
      </c>
      <c r="H411" s="2" t="s">
        <v>25</v>
      </c>
      <c r="I411" s="2" t="s">
        <v>462</v>
      </c>
      <c r="J411" s="2" t="s">
        <v>351</v>
      </c>
      <c r="K411" s="2" t="s">
        <v>147</v>
      </c>
      <c r="L411" s="2" t="s">
        <v>193</v>
      </c>
      <c r="M411" s="2" t="s">
        <v>30</v>
      </c>
      <c r="N411" s="2" t="s">
        <v>42</v>
      </c>
      <c r="O411" s="2" t="s">
        <v>194</v>
      </c>
      <c r="P411" s="4">
        <v>365.77</v>
      </c>
      <c r="Q411" s="4">
        <v>3</v>
      </c>
      <c r="R411" s="4">
        <v>-82.070400000000006</v>
      </c>
      <c r="S411" s="2" t="s">
        <v>33</v>
      </c>
      <c r="T411" s="2" t="s">
        <v>122</v>
      </c>
    </row>
    <row r="412" spans="1:20" x14ac:dyDescent="0.25">
      <c r="A412" s="2" t="s">
        <v>1165</v>
      </c>
      <c r="B412" s="3">
        <v>42363</v>
      </c>
      <c r="C412" s="3">
        <v>42364</v>
      </c>
      <c r="D412" s="2" t="s">
        <v>55</v>
      </c>
      <c r="E412" s="2" t="s">
        <v>1166</v>
      </c>
      <c r="F412" s="2" t="s">
        <v>1167</v>
      </c>
      <c r="G412" s="2" t="s">
        <v>38</v>
      </c>
      <c r="H412" s="2" t="s">
        <v>25</v>
      </c>
      <c r="I412" s="2" t="s">
        <v>355</v>
      </c>
      <c r="J412" s="2" t="s">
        <v>356</v>
      </c>
      <c r="K412" s="2" t="s">
        <v>147</v>
      </c>
      <c r="L412" s="2" t="s">
        <v>113</v>
      </c>
      <c r="M412" s="2" t="s">
        <v>30</v>
      </c>
      <c r="N412" s="2" t="s">
        <v>31</v>
      </c>
      <c r="O412" s="2" t="s">
        <v>114</v>
      </c>
      <c r="P412" s="4">
        <v>117.533</v>
      </c>
      <c r="Q412" s="4">
        <v>3</v>
      </c>
      <c r="R412" s="4">
        <v>25.401599999999998</v>
      </c>
      <c r="S412" s="2" t="s">
        <v>33</v>
      </c>
      <c r="T412" s="2" t="s">
        <v>76</v>
      </c>
    </row>
    <row r="413" spans="1:20" x14ac:dyDescent="0.25">
      <c r="A413" s="2" t="s">
        <v>1168</v>
      </c>
      <c r="B413" s="3">
        <v>42833</v>
      </c>
      <c r="C413" s="3">
        <v>42833</v>
      </c>
      <c r="D413" s="2" t="s">
        <v>142</v>
      </c>
      <c r="E413" s="2" t="s">
        <v>1169</v>
      </c>
      <c r="F413" s="2" t="s">
        <v>1170</v>
      </c>
      <c r="G413" s="2" t="s">
        <v>24</v>
      </c>
      <c r="H413" s="2" t="s">
        <v>25</v>
      </c>
      <c r="I413" s="2" t="s">
        <v>482</v>
      </c>
      <c r="J413" s="2" t="s">
        <v>120</v>
      </c>
      <c r="K413" s="2" t="s">
        <v>61</v>
      </c>
      <c r="L413" s="2" t="s">
        <v>933</v>
      </c>
      <c r="M413" s="2" t="s">
        <v>30</v>
      </c>
      <c r="N413" s="2" t="s">
        <v>162</v>
      </c>
      <c r="O413" s="2" t="s">
        <v>934</v>
      </c>
      <c r="P413" s="4">
        <v>504.69810000000001</v>
      </c>
      <c r="Q413" s="4">
        <v>5</v>
      </c>
      <c r="R413" s="4">
        <v>-26.802</v>
      </c>
      <c r="S413" s="2" t="s">
        <v>121</v>
      </c>
      <c r="T413" s="2" t="s">
        <v>108</v>
      </c>
    </row>
    <row r="414" spans="1:20" x14ac:dyDescent="0.25">
      <c r="A414" s="2" t="s">
        <v>1171</v>
      </c>
      <c r="B414" s="3">
        <v>42174</v>
      </c>
      <c r="C414" s="3">
        <v>42175</v>
      </c>
      <c r="D414" s="2" t="s">
        <v>55</v>
      </c>
      <c r="E414" s="2" t="s">
        <v>1172</v>
      </c>
      <c r="F414" s="2" t="s">
        <v>1173</v>
      </c>
      <c r="G414" s="2" t="s">
        <v>58</v>
      </c>
      <c r="H414" s="2" t="s">
        <v>25</v>
      </c>
      <c r="I414" s="2" t="s">
        <v>861</v>
      </c>
      <c r="J414" s="2" t="s">
        <v>403</v>
      </c>
      <c r="K414" s="2" t="s">
        <v>147</v>
      </c>
      <c r="L414" s="2" t="s">
        <v>113</v>
      </c>
      <c r="M414" s="2" t="s">
        <v>30</v>
      </c>
      <c r="N414" s="2" t="s">
        <v>31</v>
      </c>
      <c r="O414" s="2" t="s">
        <v>114</v>
      </c>
      <c r="P414" s="4">
        <v>9.2874999999999996</v>
      </c>
      <c r="Q414" s="4">
        <v>2</v>
      </c>
      <c r="R414" s="4">
        <v>-1.7749999999999999</v>
      </c>
      <c r="S414" s="2" t="s">
        <v>33</v>
      </c>
      <c r="T414" s="2" t="s">
        <v>133</v>
      </c>
    </row>
    <row r="415" spans="1:20" x14ac:dyDescent="0.25">
      <c r="A415" s="2" t="s">
        <v>1174</v>
      </c>
      <c r="B415" s="3">
        <v>42817</v>
      </c>
      <c r="C415" s="3">
        <v>42817</v>
      </c>
      <c r="D415" s="2" t="s">
        <v>142</v>
      </c>
      <c r="E415" s="2" t="s">
        <v>1175</v>
      </c>
      <c r="F415" s="2" t="s">
        <v>1176</v>
      </c>
      <c r="G415" s="2" t="s">
        <v>24</v>
      </c>
      <c r="H415" s="2" t="s">
        <v>25</v>
      </c>
      <c r="I415" s="2" t="s">
        <v>216</v>
      </c>
      <c r="J415" s="2" t="s">
        <v>217</v>
      </c>
      <c r="K415" s="2" t="s">
        <v>82</v>
      </c>
      <c r="L415" s="2" t="s">
        <v>612</v>
      </c>
      <c r="M415" s="2" t="s">
        <v>30</v>
      </c>
      <c r="N415" s="2" t="s">
        <v>162</v>
      </c>
      <c r="O415" s="2" t="s">
        <v>613</v>
      </c>
      <c r="P415" s="4">
        <v>741.31200000000001</v>
      </c>
      <c r="Q415" s="4">
        <v>1</v>
      </c>
      <c r="R415" s="4">
        <v>544.88580000000002</v>
      </c>
      <c r="S415" s="2" t="s">
        <v>121</v>
      </c>
      <c r="T415" s="2" t="s">
        <v>44</v>
      </c>
    </row>
    <row r="416" spans="1:20" x14ac:dyDescent="0.25">
      <c r="A416" s="2" t="s">
        <v>1177</v>
      </c>
      <c r="B416" s="3">
        <v>41696</v>
      </c>
      <c r="C416" s="3">
        <v>41697</v>
      </c>
      <c r="D416" s="2" t="s">
        <v>21</v>
      </c>
      <c r="E416" s="2" t="s">
        <v>1178</v>
      </c>
      <c r="F416" s="2" t="s">
        <v>1179</v>
      </c>
      <c r="G416" s="2" t="s">
        <v>58</v>
      </c>
      <c r="H416" s="2" t="s">
        <v>25</v>
      </c>
      <c r="I416" s="2" t="s">
        <v>338</v>
      </c>
      <c r="J416" s="2" t="s">
        <v>339</v>
      </c>
      <c r="K416" s="2" t="s">
        <v>82</v>
      </c>
      <c r="L416" s="2" t="s">
        <v>283</v>
      </c>
      <c r="M416" s="2" t="s">
        <v>30</v>
      </c>
      <c r="N416" s="2" t="s">
        <v>162</v>
      </c>
      <c r="O416" s="2" t="s">
        <v>284</v>
      </c>
      <c r="P416" s="4">
        <v>128.96889999999999</v>
      </c>
      <c r="Q416" s="4">
        <v>6</v>
      </c>
      <c r="R416" s="4">
        <v>-29.804400000000001</v>
      </c>
      <c r="S416" s="2" t="s">
        <v>33</v>
      </c>
      <c r="T416" s="2" t="s">
        <v>101</v>
      </c>
    </row>
    <row r="417" spans="1:20" x14ac:dyDescent="0.25">
      <c r="A417" s="2" t="s">
        <v>1180</v>
      </c>
      <c r="B417" s="3">
        <v>42697</v>
      </c>
      <c r="C417" s="3">
        <v>42699</v>
      </c>
      <c r="D417" s="2" t="s">
        <v>21</v>
      </c>
      <c r="E417" s="2" t="s">
        <v>1126</v>
      </c>
      <c r="F417" s="2" t="s">
        <v>1127</v>
      </c>
      <c r="G417" s="2" t="s">
        <v>58</v>
      </c>
      <c r="H417" s="2" t="s">
        <v>25</v>
      </c>
      <c r="I417" s="2" t="s">
        <v>736</v>
      </c>
      <c r="J417" s="2" t="s">
        <v>728</v>
      </c>
      <c r="K417" s="2" t="s">
        <v>147</v>
      </c>
      <c r="L417" s="2" t="s">
        <v>66</v>
      </c>
      <c r="M417" s="2" t="s">
        <v>30</v>
      </c>
      <c r="N417" s="2" t="s">
        <v>31</v>
      </c>
      <c r="O417" s="2" t="s">
        <v>67</v>
      </c>
      <c r="P417" s="4">
        <v>28.654900000000001</v>
      </c>
      <c r="Q417" s="4">
        <v>4</v>
      </c>
      <c r="R417" s="4">
        <v>0.20419999999999999</v>
      </c>
      <c r="S417" s="2" t="s">
        <v>53</v>
      </c>
      <c r="T417" s="2" t="s">
        <v>93</v>
      </c>
    </row>
    <row r="418" spans="1:20" x14ac:dyDescent="0.25">
      <c r="A418" s="2" t="s">
        <v>1181</v>
      </c>
      <c r="B418" s="3">
        <v>42282</v>
      </c>
      <c r="C418" s="3">
        <v>42285</v>
      </c>
      <c r="D418" s="2" t="s">
        <v>55</v>
      </c>
      <c r="E418" s="2" t="s">
        <v>1182</v>
      </c>
      <c r="F418" s="2" t="s">
        <v>1183</v>
      </c>
      <c r="G418" s="2" t="s">
        <v>24</v>
      </c>
      <c r="H418" s="2" t="s">
        <v>25</v>
      </c>
      <c r="I418" s="2" t="s">
        <v>1184</v>
      </c>
      <c r="J418" s="2" t="s">
        <v>435</v>
      </c>
      <c r="K418" s="2" t="s">
        <v>61</v>
      </c>
      <c r="L418" s="2" t="s">
        <v>83</v>
      </c>
      <c r="M418" s="2" t="s">
        <v>30</v>
      </c>
      <c r="N418" s="2" t="s">
        <v>42</v>
      </c>
      <c r="O418" s="2" t="s">
        <v>84</v>
      </c>
      <c r="P418" s="4">
        <v>155.71860000000001</v>
      </c>
      <c r="Q418" s="4">
        <v>3</v>
      </c>
      <c r="R418" s="4">
        <v>0.1875</v>
      </c>
      <c r="S418" s="2" t="s">
        <v>92</v>
      </c>
      <c r="T418" s="2" t="s">
        <v>224</v>
      </c>
    </row>
    <row r="419" spans="1:20" x14ac:dyDescent="0.25">
      <c r="A419" s="2" t="s">
        <v>1185</v>
      </c>
      <c r="B419" s="3">
        <v>42063</v>
      </c>
      <c r="C419" s="3">
        <v>42064</v>
      </c>
      <c r="D419" s="2" t="s">
        <v>55</v>
      </c>
      <c r="E419" s="2" t="s">
        <v>1186</v>
      </c>
      <c r="F419" s="2" t="s">
        <v>1187</v>
      </c>
      <c r="G419" s="2" t="s">
        <v>24</v>
      </c>
      <c r="H419" s="2" t="s">
        <v>25</v>
      </c>
      <c r="I419" s="2" t="s">
        <v>434</v>
      </c>
      <c r="J419" s="2" t="s">
        <v>435</v>
      </c>
      <c r="K419" s="2" t="s">
        <v>61</v>
      </c>
      <c r="L419" s="2" t="s">
        <v>29</v>
      </c>
      <c r="M419" s="2" t="s">
        <v>30</v>
      </c>
      <c r="N419" s="2" t="s">
        <v>31</v>
      </c>
      <c r="O419" s="2" t="s">
        <v>32</v>
      </c>
      <c r="P419" s="4">
        <v>61.652999999999999</v>
      </c>
      <c r="Q419" s="4">
        <v>4</v>
      </c>
      <c r="R419" s="4">
        <v>42.260100000000001</v>
      </c>
      <c r="S419" s="2" t="s">
        <v>33</v>
      </c>
      <c r="T419" s="2" t="s">
        <v>101</v>
      </c>
    </row>
    <row r="420" spans="1:20" x14ac:dyDescent="0.25">
      <c r="A420" s="2" t="s">
        <v>1188</v>
      </c>
      <c r="B420" s="3">
        <v>41653</v>
      </c>
      <c r="C420" s="3">
        <v>41654</v>
      </c>
      <c r="D420" s="2" t="s">
        <v>48</v>
      </c>
      <c r="E420" s="2" t="s">
        <v>1189</v>
      </c>
      <c r="F420" s="2" t="s">
        <v>1190</v>
      </c>
      <c r="G420" s="2" t="s">
        <v>58</v>
      </c>
      <c r="H420" s="2" t="s">
        <v>25</v>
      </c>
      <c r="I420" s="2" t="s">
        <v>205</v>
      </c>
      <c r="J420" s="2" t="s">
        <v>206</v>
      </c>
      <c r="K420" s="2" t="s">
        <v>61</v>
      </c>
      <c r="L420" s="2" t="s">
        <v>113</v>
      </c>
      <c r="M420" s="2" t="s">
        <v>30</v>
      </c>
      <c r="N420" s="2" t="s">
        <v>31</v>
      </c>
      <c r="O420" s="2" t="s">
        <v>114</v>
      </c>
      <c r="P420" s="4">
        <v>15.958299999999999</v>
      </c>
      <c r="Q420" s="4">
        <v>1</v>
      </c>
      <c r="R420" s="4">
        <v>0.1195</v>
      </c>
      <c r="S420" s="2" t="s">
        <v>33</v>
      </c>
      <c r="T420" s="2" t="s">
        <v>115</v>
      </c>
    </row>
    <row r="421" spans="1:20" x14ac:dyDescent="0.25">
      <c r="A421" s="2" t="s">
        <v>1191</v>
      </c>
      <c r="B421" s="3">
        <v>42213</v>
      </c>
      <c r="C421" s="3">
        <v>42214</v>
      </c>
      <c r="D421" s="2" t="s">
        <v>48</v>
      </c>
      <c r="E421" s="2" t="s">
        <v>979</v>
      </c>
      <c r="F421" s="2" t="s">
        <v>980</v>
      </c>
      <c r="G421" s="2" t="s">
        <v>38</v>
      </c>
      <c r="H421" s="2" t="s">
        <v>25</v>
      </c>
      <c r="I421" s="2" t="s">
        <v>566</v>
      </c>
      <c r="J421" s="2" t="s">
        <v>424</v>
      </c>
      <c r="K421" s="2" t="s">
        <v>28</v>
      </c>
      <c r="L421" s="2" t="s">
        <v>62</v>
      </c>
      <c r="M421" s="2" t="s">
        <v>30</v>
      </c>
      <c r="N421" s="2" t="s">
        <v>63</v>
      </c>
      <c r="O421" s="2" t="s">
        <v>64</v>
      </c>
      <c r="P421" s="4">
        <v>2232.2599</v>
      </c>
      <c r="Q421" s="4">
        <v>8</v>
      </c>
      <c r="R421" s="4">
        <v>-805.84429999999998</v>
      </c>
      <c r="S421" s="2" t="s">
        <v>33</v>
      </c>
      <c r="T421" s="2" t="s">
        <v>86</v>
      </c>
    </row>
    <row r="422" spans="1:20" x14ac:dyDescent="0.25">
      <c r="A422" s="2" t="s">
        <v>1191</v>
      </c>
      <c r="B422" s="3">
        <v>42213</v>
      </c>
      <c r="C422" s="3">
        <v>42214</v>
      </c>
      <c r="D422" s="2" t="s">
        <v>48</v>
      </c>
      <c r="E422" s="2" t="s">
        <v>979</v>
      </c>
      <c r="F422" s="2" t="s">
        <v>980</v>
      </c>
      <c r="G422" s="2" t="s">
        <v>38</v>
      </c>
      <c r="H422" s="2" t="s">
        <v>25</v>
      </c>
      <c r="I422" s="2" t="s">
        <v>566</v>
      </c>
      <c r="J422" s="2" t="s">
        <v>424</v>
      </c>
      <c r="K422" s="2" t="s">
        <v>28</v>
      </c>
      <c r="L422" s="2" t="s">
        <v>99</v>
      </c>
      <c r="M422" s="2" t="s">
        <v>30</v>
      </c>
      <c r="N422" s="2" t="s">
        <v>42</v>
      </c>
      <c r="O422" s="2" t="s">
        <v>100</v>
      </c>
      <c r="P422" s="4">
        <v>376.78710000000001</v>
      </c>
      <c r="Q422" s="4">
        <v>2</v>
      </c>
      <c r="R422" s="4">
        <v>-35.325699999999998</v>
      </c>
      <c r="S422" s="2" t="s">
        <v>33</v>
      </c>
      <c r="T422" s="2" t="s">
        <v>86</v>
      </c>
    </row>
    <row r="423" spans="1:20" x14ac:dyDescent="0.25">
      <c r="A423" s="2" t="s">
        <v>1192</v>
      </c>
      <c r="B423" s="3">
        <v>41997</v>
      </c>
      <c r="C423" s="3">
        <v>42000</v>
      </c>
      <c r="D423" s="2" t="s">
        <v>55</v>
      </c>
      <c r="E423" s="2" t="s">
        <v>1193</v>
      </c>
      <c r="F423" s="2" t="s">
        <v>1194</v>
      </c>
      <c r="G423" s="2" t="s">
        <v>38</v>
      </c>
      <c r="H423" s="2" t="s">
        <v>25</v>
      </c>
      <c r="I423" s="2" t="s">
        <v>80</v>
      </c>
      <c r="J423" s="2" t="s">
        <v>81</v>
      </c>
      <c r="K423" s="2" t="s">
        <v>82</v>
      </c>
      <c r="L423" s="2" t="s">
        <v>62</v>
      </c>
      <c r="M423" s="2" t="s">
        <v>30</v>
      </c>
      <c r="N423" s="2" t="s">
        <v>63</v>
      </c>
      <c r="O423" s="2" t="s">
        <v>64</v>
      </c>
      <c r="P423" s="4">
        <v>294.57709999999997</v>
      </c>
      <c r="Q423" s="4">
        <v>2</v>
      </c>
      <c r="R423" s="4">
        <v>47.954999999999998</v>
      </c>
      <c r="S423" s="2" t="s">
        <v>92</v>
      </c>
      <c r="T423" s="2" t="s">
        <v>76</v>
      </c>
    </row>
    <row r="424" spans="1:20" x14ac:dyDescent="0.25">
      <c r="A424" s="2" t="s">
        <v>1195</v>
      </c>
      <c r="B424" s="3">
        <v>42894</v>
      </c>
      <c r="C424" s="3">
        <v>42894</v>
      </c>
      <c r="D424" s="2" t="s">
        <v>142</v>
      </c>
      <c r="E424" s="2" t="s">
        <v>1196</v>
      </c>
      <c r="F424" s="2" t="s">
        <v>1197</v>
      </c>
      <c r="G424" s="2" t="s">
        <v>38</v>
      </c>
      <c r="H424" s="2" t="s">
        <v>25</v>
      </c>
      <c r="I424" s="2" t="s">
        <v>487</v>
      </c>
      <c r="J424" s="2" t="s">
        <v>470</v>
      </c>
      <c r="K424" s="2" t="s">
        <v>28</v>
      </c>
      <c r="L424" s="2" t="s">
        <v>193</v>
      </c>
      <c r="M424" s="2" t="s">
        <v>30</v>
      </c>
      <c r="N424" s="2" t="s">
        <v>42</v>
      </c>
      <c r="O424" s="2" t="s">
        <v>194</v>
      </c>
      <c r="P424" s="4">
        <v>245.2936</v>
      </c>
      <c r="Q424" s="4">
        <v>2</v>
      </c>
      <c r="R424" s="4">
        <v>-75.907200000000003</v>
      </c>
      <c r="S424" s="2" t="s">
        <v>121</v>
      </c>
      <c r="T424" s="2" t="s">
        <v>133</v>
      </c>
    </row>
    <row r="425" spans="1:20" x14ac:dyDescent="0.25">
      <c r="A425" s="2" t="s">
        <v>1198</v>
      </c>
      <c r="B425" s="3">
        <v>42071</v>
      </c>
      <c r="C425" s="3">
        <v>42073</v>
      </c>
      <c r="D425" s="2" t="s">
        <v>55</v>
      </c>
      <c r="E425" s="2" t="s">
        <v>1199</v>
      </c>
      <c r="F425" s="2" t="s">
        <v>1200</v>
      </c>
      <c r="G425" s="2" t="s">
        <v>58</v>
      </c>
      <c r="H425" s="2" t="s">
        <v>25</v>
      </c>
      <c r="I425" s="2" t="s">
        <v>288</v>
      </c>
      <c r="J425" s="2" t="s">
        <v>289</v>
      </c>
      <c r="K425" s="2" t="s">
        <v>82</v>
      </c>
      <c r="L425" s="2" t="s">
        <v>252</v>
      </c>
      <c r="M425" s="2" t="s">
        <v>30</v>
      </c>
      <c r="N425" s="2" t="s">
        <v>31</v>
      </c>
      <c r="O425" s="2" t="s">
        <v>253</v>
      </c>
      <c r="P425" s="4">
        <v>57.872900000000001</v>
      </c>
      <c r="Q425" s="4">
        <v>3</v>
      </c>
      <c r="R425" s="4">
        <v>17.097100000000001</v>
      </c>
      <c r="S425" s="2" t="s">
        <v>53</v>
      </c>
      <c r="T425" s="2" t="s">
        <v>44</v>
      </c>
    </row>
    <row r="426" spans="1:20" x14ac:dyDescent="0.25">
      <c r="A426" s="2" t="s">
        <v>1198</v>
      </c>
      <c r="B426" s="3">
        <v>42071</v>
      </c>
      <c r="C426" s="3">
        <v>42073</v>
      </c>
      <c r="D426" s="2" t="s">
        <v>55</v>
      </c>
      <c r="E426" s="2" t="s">
        <v>1199</v>
      </c>
      <c r="F426" s="2" t="s">
        <v>1200</v>
      </c>
      <c r="G426" s="2" t="s">
        <v>58</v>
      </c>
      <c r="H426" s="2" t="s">
        <v>25</v>
      </c>
      <c r="I426" s="2" t="s">
        <v>288</v>
      </c>
      <c r="J426" s="2" t="s">
        <v>289</v>
      </c>
      <c r="K426" s="2" t="s">
        <v>82</v>
      </c>
      <c r="L426" s="2" t="s">
        <v>207</v>
      </c>
      <c r="M426" s="2" t="s">
        <v>30</v>
      </c>
      <c r="N426" s="2" t="s">
        <v>31</v>
      </c>
      <c r="O426" s="2" t="s">
        <v>208</v>
      </c>
      <c r="P426" s="4">
        <v>138.12610000000001</v>
      </c>
      <c r="Q426" s="4">
        <v>3</v>
      </c>
      <c r="R426" s="4">
        <v>-20.723600000000001</v>
      </c>
      <c r="S426" s="2" t="s">
        <v>53</v>
      </c>
      <c r="T426" s="2" t="s">
        <v>44</v>
      </c>
    </row>
    <row r="427" spans="1:20" x14ac:dyDescent="0.25">
      <c r="A427" s="2" t="s">
        <v>1198</v>
      </c>
      <c r="B427" s="3">
        <v>42071</v>
      </c>
      <c r="C427" s="3">
        <v>42073</v>
      </c>
      <c r="D427" s="2" t="s">
        <v>55</v>
      </c>
      <c r="E427" s="2" t="s">
        <v>1199</v>
      </c>
      <c r="F427" s="2" t="s">
        <v>1200</v>
      </c>
      <c r="G427" s="2" t="s">
        <v>58</v>
      </c>
      <c r="H427" s="2" t="s">
        <v>25</v>
      </c>
      <c r="I427" s="2" t="s">
        <v>288</v>
      </c>
      <c r="J427" s="2" t="s">
        <v>289</v>
      </c>
      <c r="K427" s="2" t="s">
        <v>82</v>
      </c>
      <c r="L427" s="2" t="s">
        <v>45</v>
      </c>
      <c r="M427" s="2" t="s">
        <v>30</v>
      </c>
      <c r="N427" s="2" t="s">
        <v>31</v>
      </c>
      <c r="O427" s="2" t="s">
        <v>46</v>
      </c>
      <c r="P427" s="4">
        <v>51.802500000000002</v>
      </c>
      <c r="Q427" s="4">
        <v>6</v>
      </c>
      <c r="R427" s="4">
        <v>15.210599999999999</v>
      </c>
      <c r="S427" s="2" t="s">
        <v>53</v>
      </c>
      <c r="T427" s="2" t="s">
        <v>44</v>
      </c>
    </row>
    <row r="428" spans="1:20" x14ac:dyDescent="0.25">
      <c r="A428" s="2" t="s">
        <v>1201</v>
      </c>
      <c r="B428" s="3">
        <v>42041</v>
      </c>
      <c r="C428" s="3">
        <v>42046</v>
      </c>
      <c r="D428" s="2" t="s">
        <v>55</v>
      </c>
      <c r="E428" s="2" t="s">
        <v>1142</v>
      </c>
      <c r="F428" s="2" t="s">
        <v>1143</v>
      </c>
      <c r="G428" s="2" t="s">
        <v>58</v>
      </c>
      <c r="H428" s="2" t="s">
        <v>25</v>
      </c>
      <c r="I428" s="2" t="s">
        <v>343</v>
      </c>
      <c r="J428" s="2" t="s">
        <v>153</v>
      </c>
      <c r="K428" s="2" t="s">
        <v>147</v>
      </c>
      <c r="L428" s="2" t="s">
        <v>453</v>
      </c>
      <c r="M428" s="2" t="s">
        <v>30</v>
      </c>
      <c r="N428" s="2" t="s">
        <v>42</v>
      </c>
      <c r="O428" s="2" t="s">
        <v>454</v>
      </c>
      <c r="P428" s="4">
        <v>407.69080000000002</v>
      </c>
      <c r="Q428" s="4">
        <v>1</v>
      </c>
      <c r="R428" s="4">
        <v>72.933499999999995</v>
      </c>
      <c r="S428" s="2" t="s">
        <v>85</v>
      </c>
      <c r="T428" s="2" t="s">
        <v>101</v>
      </c>
    </row>
    <row r="429" spans="1:20" x14ac:dyDescent="0.25">
      <c r="A429" s="2" t="s">
        <v>1202</v>
      </c>
      <c r="B429" s="3">
        <v>42802</v>
      </c>
      <c r="C429" s="3">
        <v>42803</v>
      </c>
      <c r="D429" s="2" t="s">
        <v>48</v>
      </c>
      <c r="E429" s="2" t="s">
        <v>314</v>
      </c>
      <c r="F429" s="2" t="s">
        <v>315</v>
      </c>
      <c r="G429" s="2" t="s">
        <v>58</v>
      </c>
      <c r="H429" s="2" t="s">
        <v>25</v>
      </c>
      <c r="I429" s="2" t="s">
        <v>423</v>
      </c>
      <c r="J429" s="2" t="s">
        <v>424</v>
      </c>
      <c r="K429" s="2" t="s">
        <v>28</v>
      </c>
      <c r="L429" s="2" t="s">
        <v>793</v>
      </c>
      <c r="M429" s="2" t="s">
        <v>30</v>
      </c>
      <c r="N429" s="2" t="s">
        <v>63</v>
      </c>
      <c r="O429" s="2" t="s">
        <v>794</v>
      </c>
      <c r="P429" s="4">
        <v>1191.2072000000001</v>
      </c>
      <c r="Q429" s="4">
        <v>6</v>
      </c>
      <c r="R429" s="4">
        <v>168.8631</v>
      </c>
      <c r="S429" s="2" t="s">
        <v>33</v>
      </c>
      <c r="T429" s="2" t="s">
        <v>44</v>
      </c>
    </row>
    <row r="430" spans="1:20" x14ac:dyDescent="0.25">
      <c r="A430" s="2" t="s">
        <v>1202</v>
      </c>
      <c r="B430" s="3">
        <v>42802</v>
      </c>
      <c r="C430" s="3">
        <v>42803</v>
      </c>
      <c r="D430" s="2" t="s">
        <v>48</v>
      </c>
      <c r="E430" s="2" t="s">
        <v>314</v>
      </c>
      <c r="F430" s="2" t="s">
        <v>315</v>
      </c>
      <c r="G430" s="2" t="s">
        <v>58</v>
      </c>
      <c r="H430" s="2" t="s">
        <v>25</v>
      </c>
      <c r="I430" s="2" t="s">
        <v>423</v>
      </c>
      <c r="J430" s="2" t="s">
        <v>424</v>
      </c>
      <c r="K430" s="2" t="s">
        <v>28</v>
      </c>
      <c r="L430" s="2" t="s">
        <v>245</v>
      </c>
      <c r="M430" s="2" t="s">
        <v>30</v>
      </c>
      <c r="N430" s="2" t="s">
        <v>42</v>
      </c>
      <c r="O430" s="2" t="s">
        <v>246</v>
      </c>
      <c r="P430" s="4">
        <v>392.2097</v>
      </c>
      <c r="Q430" s="4">
        <v>5</v>
      </c>
      <c r="R430" s="4">
        <v>135.8202</v>
      </c>
      <c r="S430" s="2" t="s">
        <v>33</v>
      </c>
      <c r="T430" s="2" t="s">
        <v>44</v>
      </c>
    </row>
    <row r="431" spans="1:20" x14ac:dyDescent="0.25">
      <c r="A431" s="2" t="s">
        <v>1203</v>
      </c>
      <c r="B431" s="3">
        <v>42377</v>
      </c>
      <c r="C431" s="3">
        <v>42377</v>
      </c>
      <c r="D431" s="2" t="s">
        <v>142</v>
      </c>
      <c r="E431" s="2" t="s">
        <v>957</v>
      </c>
      <c r="F431" s="2" t="s">
        <v>958</v>
      </c>
      <c r="G431" s="2" t="s">
        <v>58</v>
      </c>
      <c r="H431" s="2" t="s">
        <v>25</v>
      </c>
      <c r="I431" s="2" t="s">
        <v>805</v>
      </c>
      <c r="J431" s="2" t="s">
        <v>351</v>
      </c>
      <c r="K431" s="2" t="s">
        <v>147</v>
      </c>
      <c r="L431" s="2" t="s">
        <v>235</v>
      </c>
      <c r="M431" s="2" t="s">
        <v>30</v>
      </c>
      <c r="N431" s="2" t="s">
        <v>31</v>
      </c>
      <c r="O431" s="2" t="s">
        <v>236</v>
      </c>
      <c r="P431" s="4">
        <v>107.54219999999999</v>
      </c>
      <c r="Q431" s="4">
        <v>5</v>
      </c>
      <c r="R431" s="4">
        <v>1.4704999999999999</v>
      </c>
      <c r="S431" s="2" t="s">
        <v>121</v>
      </c>
      <c r="T431" s="2" t="s">
        <v>115</v>
      </c>
    </row>
    <row r="432" spans="1:20" x14ac:dyDescent="0.25">
      <c r="A432" s="2" t="s">
        <v>1204</v>
      </c>
      <c r="B432" s="3">
        <v>42742</v>
      </c>
      <c r="C432" s="3">
        <v>42746</v>
      </c>
      <c r="D432" s="2" t="s">
        <v>55</v>
      </c>
      <c r="E432" s="2" t="s">
        <v>1205</v>
      </c>
      <c r="F432" s="2" t="s">
        <v>1206</v>
      </c>
      <c r="G432" s="2" t="s">
        <v>58</v>
      </c>
      <c r="H432" s="2" t="s">
        <v>25</v>
      </c>
      <c r="I432" s="2" t="s">
        <v>97</v>
      </c>
      <c r="J432" s="2" t="s">
        <v>98</v>
      </c>
      <c r="K432" s="2" t="s">
        <v>82</v>
      </c>
      <c r="L432" s="2" t="s">
        <v>323</v>
      </c>
      <c r="M432" s="2" t="s">
        <v>30</v>
      </c>
      <c r="N432" s="2" t="s">
        <v>31</v>
      </c>
      <c r="O432" s="2" t="s">
        <v>324</v>
      </c>
      <c r="P432" s="4">
        <v>36.012799999999999</v>
      </c>
      <c r="Q432" s="4">
        <v>2</v>
      </c>
      <c r="R432" s="4">
        <v>8.3331999999999997</v>
      </c>
      <c r="S432" s="2" t="s">
        <v>75</v>
      </c>
      <c r="T432" s="2" t="s">
        <v>115</v>
      </c>
    </row>
    <row r="433" spans="1:20" x14ac:dyDescent="0.25">
      <c r="A433" s="2" t="s">
        <v>1207</v>
      </c>
      <c r="B433" s="3">
        <v>42951</v>
      </c>
      <c r="C433" s="3">
        <v>42954</v>
      </c>
      <c r="D433" s="2" t="s">
        <v>55</v>
      </c>
      <c r="E433" s="2" t="s">
        <v>331</v>
      </c>
      <c r="F433" s="2" t="s">
        <v>332</v>
      </c>
      <c r="G433" s="2" t="s">
        <v>38</v>
      </c>
      <c r="H433" s="2" t="s">
        <v>25</v>
      </c>
      <c r="I433" s="2" t="s">
        <v>126</v>
      </c>
      <c r="J433" s="2" t="s">
        <v>127</v>
      </c>
      <c r="K433" s="2" t="s">
        <v>82</v>
      </c>
      <c r="L433" s="2" t="s">
        <v>218</v>
      </c>
      <c r="M433" s="2" t="s">
        <v>30</v>
      </c>
      <c r="N433" s="2" t="s">
        <v>31</v>
      </c>
      <c r="O433" s="2" t="s">
        <v>219</v>
      </c>
      <c r="P433" s="4">
        <v>120.69629999999999</v>
      </c>
      <c r="Q433" s="4">
        <v>3</v>
      </c>
      <c r="R433" s="4">
        <v>-24.978899999999999</v>
      </c>
      <c r="S433" s="2" t="s">
        <v>92</v>
      </c>
      <c r="T433" s="2" t="s">
        <v>34</v>
      </c>
    </row>
    <row r="434" spans="1:20" x14ac:dyDescent="0.25">
      <c r="A434" s="2" t="s">
        <v>1208</v>
      </c>
      <c r="B434" s="3">
        <v>42187</v>
      </c>
      <c r="C434" s="3">
        <v>42189</v>
      </c>
      <c r="D434" s="2" t="s">
        <v>55</v>
      </c>
      <c r="E434" s="2" t="s">
        <v>701</v>
      </c>
      <c r="F434" s="2" t="s">
        <v>702</v>
      </c>
      <c r="G434" s="2" t="s">
        <v>24</v>
      </c>
      <c r="H434" s="2" t="s">
        <v>25</v>
      </c>
      <c r="I434" s="2" t="s">
        <v>71</v>
      </c>
      <c r="J434" s="2" t="s">
        <v>72</v>
      </c>
      <c r="K434" s="2" t="s">
        <v>61</v>
      </c>
      <c r="L434" s="2" t="s">
        <v>228</v>
      </c>
      <c r="M434" s="2" t="s">
        <v>30</v>
      </c>
      <c r="N434" s="2" t="s">
        <v>42</v>
      </c>
      <c r="O434" s="2" t="s">
        <v>229</v>
      </c>
      <c r="P434" s="4">
        <v>377.88900000000001</v>
      </c>
      <c r="Q434" s="4">
        <v>7</v>
      </c>
      <c r="R434" s="4">
        <v>57.652700000000003</v>
      </c>
      <c r="S434" s="2" t="s">
        <v>53</v>
      </c>
      <c r="T434" s="2" t="s">
        <v>86</v>
      </c>
    </row>
    <row r="435" spans="1:20" x14ac:dyDescent="0.25">
      <c r="A435" s="2" t="s">
        <v>1208</v>
      </c>
      <c r="B435" s="3">
        <v>42187</v>
      </c>
      <c r="C435" s="3">
        <v>42189</v>
      </c>
      <c r="D435" s="2" t="s">
        <v>55</v>
      </c>
      <c r="E435" s="2" t="s">
        <v>701</v>
      </c>
      <c r="F435" s="2" t="s">
        <v>702</v>
      </c>
      <c r="G435" s="2" t="s">
        <v>24</v>
      </c>
      <c r="H435" s="2" t="s">
        <v>25</v>
      </c>
      <c r="I435" s="2" t="s">
        <v>71</v>
      </c>
      <c r="J435" s="2" t="s">
        <v>72</v>
      </c>
      <c r="K435" s="2" t="s">
        <v>61</v>
      </c>
      <c r="L435" s="2" t="s">
        <v>218</v>
      </c>
      <c r="M435" s="2" t="s">
        <v>30</v>
      </c>
      <c r="N435" s="2" t="s">
        <v>31</v>
      </c>
      <c r="O435" s="2" t="s">
        <v>219</v>
      </c>
      <c r="P435" s="4">
        <v>49.5854</v>
      </c>
      <c r="Q435" s="4">
        <v>6</v>
      </c>
      <c r="R435" s="4">
        <v>28.348099999999999</v>
      </c>
      <c r="S435" s="2" t="s">
        <v>53</v>
      </c>
      <c r="T435" s="2" t="s">
        <v>86</v>
      </c>
    </row>
    <row r="436" spans="1:20" x14ac:dyDescent="0.25">
      <c r="A436" s="2" t="s">
        <v>1209</v>
      </c>
      <c r="B436" s="3">
        <v>43075</v>
      </c>
      <c r="C436" s="3">
        <v>43076</v>
      </c>
      <c r="D436" s="2" t="s">
        <v>48</v>
      </c>
      <c r="E436" s="2" t="s">
        <v>1210</v>
      </c>
      <c r="F436" s="2" t="s">
        <v>1211</v>
      </c>
      <c r="G436" s="2" t="s">
        <v>58</v>
      </c>
      <c r="H436" s="2" t="s">
        <v>25</v>
      </c>
      <c r="I436" s="2" t="s">
        <v>1212</v>
      </c>
      <c r="J436" s="2" t="s">
        <v>496</v>
      </c>
      <c r="K436" s="2" t="s">
        <v>147</v>
      </c>
      <c r="L436" s="2" t="s">
        <v>719</v>
      </c>
      <c r="M436" s="2" t="s">
        <v>30</v>
      </c>
      <c r="N436" s="2" t="s">
        <v>63</v>
      </c>
      <c r="O436" s="2" t="s">
        <v>720</v>
      </c>
      <c r="P436" s="4">
        <v>259.81889999999999</v>
      </c>
      <c r="Q436" s="4">
        <v>5</v>
      </c>
      <c r="R436" s="4">
        <v>-5.0738000000000003</v>
      </c>
      <c r="S436" s="2" t="s">
        <v>33</v>
      </c>
      <c r="T436" s="2" t="s">
        <v>76</v>
      </c>
    </row>
    <row r="437" spans="1:20" x14ac:dyDescent="0.25">
      <c r="A437" s="2" t="s">
        <v>1213</v>
      </c>
      <c r="B437" s="3">
        <v>42713</v>
      </c>
      <c r="C437" s="3">
        <v>42716</v>
      </c>
      <c r="D437" s="2" t="s">
        <v>55</v>
      </c>
      <c r="E437" s="2" t="s">
        <v>1214</v>
      </c>
      <c r="F437" s="2" t="s">
        <v>1215</v>
      </c>
      <c r="G437" s="2" t="s">
        <v>58</v>
      </c>
      <c r="H437" s="2" t="s">
        <v>25</v>
      </c>
      <c r="I437" s="2" t="s">
        <v>51</v>
      </c>
      <c r="J437" s="2" t="s">
        <v>52</v>
      </c>
      <c r="K437" s="2" t="s">
        <v>28</v>
      </c>
      <c r="L437" s="2" t="s">
        <v>677</v>
      </c>
      <c r="M437" s="2" t="s">
        <v>30</v>
      </c>
      <c r="N437" s="2" t="s">
        <v>162</v>
      </c>
      <c r="O437" s="2" t="s">
        <v>678</v>
      </c>
      <c r="P437" s="4">
        <v>379.9579</v>
      </c>
      <c r="Q437" s="4">
        <v>8</v>
      </c>
      <c r="R437" s="4">
        <v>-3.7446000000000002</v>
      </c>
      <c r="S437" s="2" t="s">
        <v>92</v>
      </c>
      <c r="T437" s="2" t="s">
        <v>76</v>
      </c>
    </row>
    <row r="438" spans="1:20" x14ac:dyDescent="0.25">
      <c r="A438" s="2" t="s">
        <v>1216</v>
      </c>
      <c r="B438" s="3">
        <v>41908</v>
      </c>
      <c r="C438" s="3">
        <v>41912</v>
      </c>
      <c r="D438" s="2" t="s">
        <v>55</v>
      </c>
      <c r="E438" s="2" t="s">
        <v>1217</v>
      </c>
      <c r="F438" s="2" t="s">
        <v>1218</v>
      </c>
      <c r="G438" s="2" t="s">
        <v>58</v>
      </c>
      <c r="H438" s="2" t="s">
        <v>25</v>
      </c>
      <c r="I438" s="2" t="s">
        <v>505</v>
      </c>
      <c r="J438" s="2" t="s">
        <v>244</v>
      </c>
      <c r="K438" s="2" t="s">
        <v>61</v>
      </c>
      <c r="L438" s="2" t="s">
        <v>154</v>
      </c>
      <c r="M438" s="2" t="s">
        <v>30</v>
      </c>
      <c r="N438" s="2" t="s">
        <v>42</v>
      </c>
      <c r="O438" s="2" t="s">
        <v>155</v>
      </c>
      <c r="P438" s="4">
        <v>436.87709999999998</v>
      </c>
      <c r="Q438" s="4">
        <v>3</v>
      </c>
      <c r="R438" s="4">
        <v>67.350300000000004</v>
      </c>
      <c r="S438" s="2" t="s">
        <v>75</v>
      </c>
      <c r="T438" s="2" t="s">
        <v>148</v>
      </c>
    </row>
    <row r="439" spans="1:20" x14ac:dyDescent="0.25">
      <c r="A439" s="2" t="s">
        <v>1219</v>
      </c>
      <c r="B439" s="3">
        <v>42744</v>
      </c>
      <c r="C439" s="3">
        <v>42746</v>
      </c>
      <c r="D439" s="2" t="s">
        <v>21</v>
      </c>
      <c r="E439" s="2" t="s">
        <v>1220</v>
      </c>
      <c r="F439" s="2" t="s">
        <v>1221</v>
      </c>
      <c r="G439" s="2" t="s">
        <v>38</v>
      </c>
      <c r="H439" s="2" t="s">
        <v>25</v>
      </c>
      <c r="I439" s="2" t="s">
        <v>382</v>
      </c>
      <c r="J439" s="2" t="s">
        <v>192</v>
      </c>
      <c r="K439" s="2" t="s">
        <v>82</v>
      </c>
      <c r="L439" s="2" t="s">
        <v>333</v>
      </c>
      <c r="M439" s="2" t="s">
        <v>30</v>
      </c>
      <c r="N439" s="2" t="s">
        <v>162</v>
      </c>
      <c r="O439" s="2" t="s">
        <v>334</v>
      </c>
      <c r="P439" s="4">
        <v>600.49720000000002</v>
      </c>
      <c r="Q439" s="4">
        <v>8</v>
      </c>
      <c r="R439" s="4">
        <v>19.976700000000001</v>
      </c>
      <c r="S439" s="2" t="s">
        <v>53</v>
      </c>
      <c r="T439" s="2" t="s">
        <v>115</v>
      </c>
    </row>
    <row r="440" spans="1:20" x14ac:dyDescent="0.25">
      <c r="A440" s="2" t="s">
        <v>1219</v>
      </c>
      <c r="B440" s="3">
        <v>42744</v>
      </c>
      <c r="C440" s="3">
        <v>42746</v>
      </c>
      <c r="D440" s="2" t="s">
        <v>21</v>
      </c>
      <c r="E440" s="2" t="s">
        <v>1220</v>
      </c>
      <c r="F440" s="2" t="s">
        <v>1221</v>
      </c>
      <c r="G440" s="2" t="s">
        <v>38</v>
      </c>
      <c r="H440" s="2" t="s">
        <v>25</v>
      </c>
      <c r="I440" s="2" t="s">
        <v>382</v>
      </c>
      <c r="J440" s="2" t="s">
        <v>192</v>
      </c>
      <c r="K440" s="2" t="s">
        <v>82</v>
      </c>
      <c r="L440" s="2" t="s">
        <v>66</v>
      </c>
      <c r="M440" s="2" t="s">
        <v>30</v>
      </c>
      <c r="N440" s="2" t="s">
        <v>31</v>
      </c>
      <c r="O440" s="2" t="s">
        <v>67</v>
      </c>
      <c r="P440" s="4">
        <v>223.0104</v>
      </c>
      <c r="Q440" s="4">
        <v>3</v>
      </c>
      <c r="R440" s="4">
        <v>25.568000000000001</v>
      </c>
      <c r="S440" s="2" t="s">
        <v>53</v>
      </c>
      <c r="T440" s="2" t="s">
        <v>115</v>
      </c>
    </row>
    <row r="441" spans="1:20" x14ac:dyDescent="0.25">
      <c r="A441" s="2" t="s">
        <v>1222</v>
      </c>
      <c r="B441" s="3">
        <v>42270</v>
      </c>
      <c r="C441" s="3">
        <v>42272</v>
      </c>
      <c r="D441" s="2" t="s">
        <v>55</v>
      </c>
      <c r="E441" s="2" t="s">
        <v>568</v>
      </c>
      <c r="F441" s="2" t="s">
        <v>569</v>
      </c>
      <c r="G441" s="2" t="s">
        <v>58</v>
      </c>
      <c r="H441" s="2" t="s">
        <v>25</v>
      </c>
      <c r="I441" s="2" t="s">
        <v>594</v>
      </c>
      <c r="J441" s="2" t="s">
        <v>595</v>
      </c>
      <c r="K441" s="2" t="s">
        <v>61</v>
      </c>
      <c r="L441" s="2" t="s">
        <v>933</v>
      </c>
      <c r="M441" s="2" t="s">
        <v>30</v>
      </c>
      <c r="N441" s="2" t="s">
        <v>162</v>
      </c>
      <c r="O441" s="2" t="s">
        <v>934</v>
      </c>
      <c r="P441" s="4">
        <v>78.159300000000002</v>
      </c>
      <c r="Q441" s="4">
        <v>2</v>
      </c>
      <c r="R441" s="4">
        <v>19.658200000000001</v>
      </c>
      <c r="S441" s="2" t="s">
        <v>53</v>
      </c>
      <c r="T441" s="2" t="s">
        <v>148</v>
      </c>
    </row>
    <row r="442" spans="1:20" x14ac:dyDescent="0.25">
      <c r="A442" s="2" t="s">
        <v>1223</v>
      </c>
      <c r="B442" s="3">
        <v>43048</v>
      </c>
      <c r="C442" s="3">
        <v>43050</v>
      </c>
      <c r="D442" s="2" t="s">
        <v>48</v>
      </c>
      <c r="E442" s="2" t="s">
        <v>603</v>
      </c>
      <c r="F442" s="2" t="s">
        <v>604</v>
      </c>
      <c r="G442" s="2" t="s">
        <v>58</v>
      </c>
      <c r="H442" s="2" t="s">
        <v>25</v>
      </c>
      <c r="I442" s="2" t="s">
        <v>394</v>
      </c>
      <c r="J442" s="2" t="s">
        <v>289</v>
      </c>
      <c r="K442" s="2" t="s">
        <v>82</v>
      </c>
      <c r="L442" s="2" t="s">
        <v>820</v>
      </c>
      <c r="M442" s="2" t="s">
        <v>30</v>
      </c>
      <c r="N442" s="2" t="s">
        <v>162</v>
      </c>
      <c r="O442" s="2" t="s">
        <v>821</v>
      </c>
      <c r="P442" s="4">
        <v>923.03009999999995</v>
      </c>
      <c r="Q442" s="4">
        <v>4</v>
      </c>
      <c r="R442" s="4">
        <v>-256.78399999999999</v>
      </c>
      <c r="S442" s="2" t="s">
        <v>53</v>
      </c>
      <c r="T442" s="2" t="s">
        <v>93</v>
      </c>
    </row>
    <row r="443" spans="1:20" x14ac:dyDescent="0.25">
      <c r="A443" s="2" t="s">
        <v>1224</v>
      </c>
      <c r="B443" s="3">
        <v>42535</v>
      </c>
      <c r="C443" s="3">
        <v>42541</v>
      </c>
      <c r="D443" s="2" t="s">
        <v>55</v>
      </c>
      <c r="E443" s="2" t="s">
        <v>507</v>
      </c>
      <c r="F443" s="2" t="s">
        <v>508</v>
      </c>
      <c r="G443" s="2" t="s">
        <v>58</v>
      </c>
      <c r="H443" s="2" t="s">
        <v>25</v>
      </c>
      <c r="I443" s="2" t="s">
        <v>198</v>
      </c>
      <c r="J443" s="2" t="s">
        <v>199</v>
      </c>
      <c r="K443" s="2" t="s">
        <v>82</v>
      </c>
      <c r="L443" s="2" t="s">
        <v>612</v>
      </c>
      <c r="M443" s="2" t="s">
        <v>30</v>
      </c>
      <c r="N443" s="2" t="s">
        <v>162</v>
      </c>
      <c r="O443" s="2" t="s">
        <v>613</v>
      </c>
      <c r="P443" s="4">
        <v>338.60050000000001</v>
      </c>
      <c r="Q443" s="4">
        <v>2</v>
      </c>
      <c r="R443" s="4">
        <v>-262.7842</v>
      </c>
      <c r="S443" s="2" t="s">
        <v>65</v>
      </c>
      <c r="T443" s="2" t="s">
        <v>133</v>
      </c>
    </row>
    <row r="444" spans="1:20" x14ac:dyDescent="0.25">
      <c r="A444" s="2" t="s">
        <v>1225</v>
      </c>
      <c r="B444" s="3">
        <v>43061</v>
      </c>
      <c r="C444" s="3">
        <v>43061</v>
      </c>
      <c r="D444" s="2" t="s">
        <v>48</v>
      </c>
      <c r="E444" s="2" t="s">
        <v>1205</v>
      </c>
      <c r="F444" s="2" t="s">
        <v>1206</v>
      </c>
      <c r="G444" s="2" t="s">
        <v>38</v>
      </c>
      <c r="H444" s="2" t="s">
        <v>25</v>
      </c>
      <c r="I444" s="2" t="s">
        <v>1055</v>
      </c>
      <c r="J444" s="2" t="s">
        <v>106</v>
      </c>
      <c r="K444" s="2" t="s">
        <v>61</v>
      </c>
      <c r="L444" s="2" t="s">
        <v>139</v>
      </c>
      <c r="M444" s="2" t="s">
        <v>30</v>
      </c>
      <c r="N444" s="2" t="s">
        <v>42</v>
      </c>
      <c r="O444" s="2" t="s">
        <v>140</v>
      </c>
      <c r="P444" s="4">
        <v>1044.6981000000001</v>
      </c>
      <c r="Q444" s="4">
        <v>7</v>
      </c>
      <c r="R444" s="4">
        <v>55.560899999999997</v>
      </c>
      <c r="S444" s="2" t="s">
        <v>121</v>
      </c>
      <c r="T444" s="2" t="s">
        <v>93</v>
      </c>
    </row>
    <row r="445" spans="1:20" x14ac:dyDescent="0.25">
      <c r="A445" s="2" t="s">
        <v>1226</v>
      </c>
      <c r="B445" s="3">
        <v>42905</v>
      </c>
      <c r="C445" s="3">
        <v>42905</v>
      </c>
      <c r="D445" s="2" t="s">
        <v>55</v>
      </c>
      <c r="E445" s="2" t="s">
        <v>172</v>
      </c>
      <c r="F445" s="2" t="s">
        <v>173</v>
      </c>
      <c r="G445" s="2" t="s">
        <v>38</v>
      </c>
      <c r="H445" s="2" t="s">
        <v>25</v>
      </c>
      <c r="I445" s="2" t="s">
        <v>216</v>
      </c>
      <c r="J445" s="2" t="s">
        <v>217</v>
      </c>
      <c r="K445" s="2" t="s">
        <v>82</v>
      </c>
      <c r="L445" s="2" t="s">
        <v>415</v>
      </c>
      <c r="M445" s="2" t="s">
        <v>30</v>
      </c>
      <c r="N445" s="2" t="s">
        <v>63</v>
      </c>
      <c r="O445" s="2" t="s">
        <v>416</v>
      </c>
      <c r="P445" s="4">
        <v>1035.3108</v>
      </c>
      <c r="Q445" s="4">
        <v>3</v>
      </c>
      <c r="R445" s="4">
        <v>13.846500000000001</v>
      </c>
      <c r="S445" s="2" t="s">
        <v>121</v>
      </c>
      <c r="T445" s="2" t="s">
        <v>133</v>
      </c>
    </row>
    <row r="446" spans="1:20" x14ac:dyDescent="0.25">
      <c r="A446" s="2" t="s">
        <v>1226</v>
      </c>
      <c r="B446" s="3">
        <v>42905</v>
      </c>
      <c r="C446" s="3">
        <v>42905</v>
      </c>
      <c r="D446" s="2" t="s">
        <v>55</v>
      </c>
      <c r="E446" s="2" t="s">
        <v>172</v>
      </c>
      <c r="F446" s="2" t="s">
        <v>173</v>
      </c>
      <c r="G446" s="2" t="s">
        <v>38</v>
      </c>
      <c r="H446" s="2" t="s">
        <v>25</v>
      </c>
      <c r="I446" s="2" t="s">
        <v>216</v>
      </c>
      <c r="J446" s="2" t="s">
        <v>217</v>
      </c>
      <c r="K446" s="2" t="s">
        <v>82</v>
      </c>
      <c r="L446" s="2" t="s">
        <v>316</v>
      </c>
      <c r="M446" s="2" t="s">
        <v>30</v>
      </c>
      <c r="N446" s="2" t="s">
        <v>42</v>
      </c>
      <c r="O446" s="2" t="s">
        <v>317</v>
      </c>
      <c r="P446" s="4">
        <v>135.4931</v>
      </c>
      <c r="Q446" s="4">
        <v>6</v>
      </c>
      <c r="R446" s="4">
        <v>-3.7339000000000002</v>
      </c>
      <c r="S446" s="2" t="s">
        <v>121</v>
      </c>
      <c r="T446" s="2" t="s">
        <v>133</v>
      </c>
    </row>
    <row r="447" spans="1:20" x14ac:dyDescent="0.25">
      <c r="A447" s="2" t="s">
        <v>1226</v>
      </c>
      <c r="B447" s="3">
        <v>42905</v>
      </c>
      <c r="C447" s="3">
        <v>42905</v>
      </c>
      <c r="D447" s="2" t="s">
        <v>55</v>
      </c>
      <c r="E447" s="2" t="s">
        <v>172</v>
      </c>
      <c r="F447" s="2" t="s">
        <v>173</v>
      </c>
      <c r="G447" s="2" t="s">
        <v>38</v>
      </c>
      <c r="H447" s="2" t="s">
        <v>25</v>
      </c>
      <c r="I447" s="2" t="s">
        <v>216</v>
      </c>
      <c r="J447" s="2" t="s">
        <v>217</v>
      </c>
      <c r="K447" s="2" t="s">
        <v>82</v>
      </c>
      <c r="L447" s="2" t="s">
        <v>218</v>
      </c>
      <c r="M447" s="2" t="s">
        <v>30</v>
      </c>
      <c r="N447" s="2" t="s">
        <v>31</v>
      </c>
      <c r="O447" s="2" t="s">
        <v>219</v>
      </c>
      <c r="P447" s="4">
        <v>92.951300000000003</v>
      </c>
      <c r="Q447" s="4">
        <v>2</v>
      </c>
      <c r="R447" s="4">
        <v>34.880800000000001</v>
      </c>
      <c r="S447" s="2" t="s">
        <v>121</v>
      </c>
      <c r="T447" s="2" t="s">
        <v>133</v>
      </c>
    </row>
    <row r="448" spans="1:20" x14ac:dyDescent="0.25">
      <c r="A448" s="2" t="s">
        <v>1227</v>
      </c>
      <c r="B448" s="3">
        <v>41656</v>
      </c>
      <c r="C448" s="3">
        <v>41663</v>
      </c>
      <c r="D448" s="2" t="s">
        <v>55</v>
      </c>
      <c r="E448" s="2" t="s">
        <v>291</v>
      </c>
      <c r="F448" s="2" t="s">
        <v>292</v>
      </c>
      <c r="G448" s="2" t="s">
        <v>58</v>
      </c>
      <c r="H448" s="2" t="s">
        <v>25</v>
      </c>
      <c r="I448" s="2" t="s">
        <v>216</v>
      </c>
      <c r="J448" s="2" t="s">
        <v>217</v>
      </c>
      <c r="K448" s="2" t="s">
        <v>82</v>
      </c>
      <c r="L448" s="2" t="s">
        <v>933</v>
      </c>
      <c r="M448" s="2" t="s">
        <v>30</v>
      </c>
      <c r="N448" s="2" t="s">
        <v>162</v>
      </c>
      <c r="O448" s="2" t="s">
        <v>934</v>
      </c>
      <c r="P448" s="4">
        <v>520.74199999999996</v>
      </c>
      <c r="Q448" s="4">
        <v>8</v>
      </c>
      <c r="R448" s="4">
        <v>137.3468</v>
      </c>
      <c r="S448" s="2" t="s">
        <v>107</v>
      </c>
      <c r="T448" s="2" t="s">
        <v>115</v>
      </c>
    </row>
    <row r="449" spans="1:20" x14ac:dyDescent="0.25">
      <c r="A449" s="2" t="s">
        <v>1227</v>
      </c>
      <c r="B449" s="3">
        <v>41656</v>
      </c>
      <c r="C449" s="3">
        <v>41663</v>
      </c>
      <c r="D449" s="2" t="s">
        <v>55</v>
      </c>
      <c r="E449" s="2" t="s">
        <v>291</v>
      </c>
      <c r="F449" s="2" t="s">
        <v>292</v>
      </c>
      <c r="G449" s="2" t="s">
        <v>58</v>
      </c>
      <c r="H449" s="2" t="s">
        <v>25</v>
      </c>
      <c r="I449" s="2" t="s">
        <v>216</v>
      </c>
      <c r="J449" s="2" t="s">
        <v>217</v>
      </c>
      <c r="K449" s="2" t="s">
        <v>82</v>
      </c>
      <c r="L449" s="2" t="s">
        <v>316</v>
      </c>
      <c r="M449" s="2" t="s">
        <v>30</v>
      </c>
      <c r="N449" s="2" t="s">
        <v>42</v>
      </c>
      <c r="O449" s="2" t="s">
        <v>317</v>
      </c>
      <c r="P449" s="4">
        <v>120.4862</v>
      </c>
      <c r="Q449" s="4">
        <v>5</v>
      </c>
      <c r="R449" s="4">
        <v>31.4727</v>
      </c>
      <c r="S449" s="2" t="s">
        <v>107</v>
      </c>
      <c r="T449" s="2" t="s">
        <v>115</v>
      </c>
    </row>
    <row r="450" spans="1:20" x14ac:dyDescent="0.25">
      <c r="A450" s="2" t="s">
        <v>1227</v>
      </c>
      <c r="B450" s="3">
        <v>41656</v>
      </c>
      <c r="C450" s="3">
        <v>41663</v>
      </c>
      <c r="D450" s="2" t="s">
        <v>55</v>
      </c>
      <c r="E450" s="2" t="s">
        <v>291</v>
      </c>
      <c r="F450" s="2" t="s">
        <v>292</v>
      </c>
      <c r="G450" s="2" t="s">
        <v>58</v>
      </c>
      <c r="H450" s="2" t="s">
        <v>25</v>
      </c>
      <c r="I450" s="2" t="s">
        <v>216</v>
      </c>
      <c r="J450" s="2" t="s">
        <v>217</v>
      </c>
      <c r="K450" s="2" t="s">
        <v>82</v>
      </c>
      <c r="L450" s="2" t="s">
        <v>719</v>
      </c>
      <c r="M450" s="2" t="s">
        <v>30</v>
      </c>
      <c r="N450" s="2" t="s">
        <v>63</v>
      </c>
      <c r="O450" s="2" t="s">
        <v>720</v>
      </c>
      <c r="P450" s="4">
        <v>466.07639999999998</v>
      </c>
      <c r="Q450" s="4">
        <v>3</v>
      </c>
      <c r="R450" s="4">
        <v>-158.10239999999999</v>
      </c>
      <c r="S450" s="2" t="s">
        <v>107</v>
      </c>
      <c r="T450" s="2" t="s">
        <v>115</v>
      </c>
    </row>
    <row r="451" spans="1:20" x14ac:dyDescent="0.25">
      <c r="A451" s="2" t="s">
        <v>1227</v>
      </c>
      <c r="B451" s="3">
        <v>41656</v>
      </c>
      <c r="C451" s="3">
        <v>41663</v>
      </c>
      <c r="D451" s="2" t="s">
        <v>55</v>
      </c>
      <c r="E451" s="2" t="s">
        <v>291</v>
      </c>
      <c r="F451" s="2" t="s">
        <v>292</v>
      </c>
      <c r="G451" s="2" t="s">
        <v>58</v>
      </c>
      <c r="H451" s="2" t="s">
        <v>25</v>
      </c>
      <c r="I451" s="2" t="s">
        <v>216</v>
      </c>
      <c r="J451" s="2" t="s">
        <v>217</v>
      </c>
      <c r="K451" s="2" t="s">
        <v>82</v>
      </c>
      <c r="L451" s="2" t="s">
        <v>618</v>
      </c>
      <c r="M451" s="2" t="s">
        <v>30</v>
      </c>
      <c r="N451" s="2" t="s">
        <v>63</v>
      </c>
      <c r="O451" s="2" t="s">
        <v>619</v>
      </c>
      <c r="P451" s="4">
        <v>361.45859999999999</v>
      </c>
      <c r="Q451" s="4">
        <v>1</v>
      </c>
      <c r="R451" s="4">
        <v>-274.21589999999998</v>
      </c>
      <c r="S451" s="2" t="s">
        <v>107</v>
      </c>
      <c r="T451" s="2" t="s">
        <v>115</v>
      </c>
    </row>
    <row r="452" spans="1:20" x14ac:dyDescent="0.25">
      <c r="A452" s="2" t="s">
        <v>1228</v>
      </c>
      <c r="B452" s="3">
        <v>42011</v>
      </c>
      <c r="C452" s="3">
        <v>42018</v>
      </c>
      <c r="D452" s="2" t="s">
        <v>55</v>
      </c>
      <c r="E452" s="2" t="s">
        <v>451</v>
      </c>
      <c r="F452" s="2" t="s">
        <v>452</v>
      </c>
      <c r="G452" s="2" t="s">
        <v>24</v>
      </c>
      <c r="H452" s="2" t="s">
        <v>25</v>
      </c>
      <c r="I452" s="2" t="s">
        <v>527</v>
      </c>
      <c r="J452" s="2" t="s">
        <v>496</v>
      </c>
      <c r="K452" s="2" t="s">
        <v>147</v>
      </c>
      <c r="L452" s="2" t="s">
        <v>207</v>
      </c>
      <c r="M452" s="2" t="s">
        <v>30</v>
      </c>
      <c r="N452" s="2" t="s">
        <v>31</v>
      </c>
      <c r="O452" s="2" t="s">
        <v>208</v>
      </c>
      <c r="P452" s="4">
        <v>4.7361000000000004</v>
      </c>
      <c r="Q452" s="4">
        <v>5</v>
      </c>
      <c r="R452" s="4">
        <v>0.40610000000000002</v>
      </c>
      <c r="S452" s="2" t="s">
        <v>107</v>
      </c>
      <c r="T452" s="2" t="s">
        <v>115</v>
      </c>
    </row>
    <row r="453" spans="1:20" x14ac:dyDescent="0.25">
      <c r="A453" s="2" t="s">
        <v>1229</v>
      </c>
      <c r="B453" s="3">
        <v>42583</v>
      </c>
      <c r="C453" s="3">
        <v>42585</v>
      </c>
      <c r="D453" s="2" t="s">
        <v>21</v>
      </c>
      <c r="E453" s="2" t="s">
        <v>1230</v>
      </c>
      <c r="F453" s="2" t="s">
        <v>1231</v>
      </c>
      <c r="G453" s="2" t="s">
        <v>38</v>
      </c>
      <c r="H453" s="2" t="s">
        <v>25</v>
      </c>
      <c r="I453" s="2" t="s">
        <v>309</v>
      </c>
      <c r="J453" s="2" t="s">
        <v>310</v>
      </c>
      <c r="K453" s="2" t="s">
        <v>28</v>
      </c>
      <c r="L453" s="2" t="s">
        <v>154</v>
      </c>
      <c r="M453" s="2" t="s">
        <v>30</v>
      </c>
      <c r="N453" s="2" t="s">
        <v>42</v>
      </c>
      <c r="O453" s="2" t="s">
        <v>155</v>
      </c>
      <c r="P453" s="4">
        <v>165.7525</v>
      </c>
      <c r="Q453" s="4">
        <v>3</v>
      </c>
      <c r="R453" s="4">
        <v>32.297699999999999</v>
      </c>
      <c r="S453" s="2" t="s">
        <v>53</v>
      </c>
      <c r="T453" s="2" t="s">
        <v>34</v>
      </c>
    </row>
    <row r="454" spans="1:20" x14ac:dyDescent="0.25">
      <c r="A454" s="2" t="s">
        <v>1229</v>
      </c>
      <c r="B454" s="3">
        <v>42583</v>
      </c>
      <c r="C454" s="3">
        <v>42585</v>
      </c>
      <c r="D454" s="2" t="s">
        <v>21</v>
      </c>
      <c r="E454" s="2" t="s">
        <v>1230</v>
      </c>
      <c r="F454" s="2" t="s">
        <v>1231</v>
      </c>
      <c r="G454" s="2" t="s">
        <v>38</v>
      </c>
      <c r="H454" s="2" t="s">
        <v>25</v>
      </c>
      <c r="I454" s="2" t="s">
        <v>309</v>
      </c>
      <c r="J454" s="2" t="s">
        <v>310</v>
      </c>
      <c r="K454" s="2" t="s">
        <v>28</v>
      </c>
      <c r="L454" s="2" t="s">
        <v>513</v>
      </c>
      <c r="M454" s="2" t="s">
        <v>30</v>
      </c>
      <c r="N454" s="2" t="s">
        <v>63</v>
      </c>
      <c r="O454" s="2" t="s">
        <v>514</v>
      </c>
      <c r="P454" s="4">
        <v>515.66480000000001</v>
      </c>
      <c r="Q454" s="4">
        <v>3</v>
      </c>
      <c r="R454" s="4">
        <v>131.17070000000001</v>
      </c>
      <c r="S454" s="2" t="s">
        <v>53</v>
      </c>
      <c r="T454" s="2" t="s">
        <v>34</v>
      </c>
    </row>
    <row r="455" spans="1:20" x14ac:dyDescent="0.25">
      <c r="A455" s="2" t="s">
        <v>1232</v>
      </c>
      <c r="B455" s="3">
        <v>42706</v>
      </c>
      <c r="C455" s="3">
        <v>42708</v>
      </c>
      <c r="D455" s="2" t="s">
        <v>48</v>
      </c>
      <c r="E455" s="2" t="s">
        <v>1155</v>
      </c>
      <c r="F455" s="2" t="s">
        <v>1156</v>
      </c>
      <c r="G455" s="2" t="s">
        <v>58</v>
      </c>
      <c r="H455" s="2" t="s">
        <v>25</v>
      </c>
      <c r="I455" s="2" t="s">
        <v>119</v>
      </c>
      <c r="J455" s="2" t="s">
        <v>120</v>
      </c>
      <c r="K455" s="2" t="s">
        <v>61</v>
      </c>
      <c r="L455" s="2" t="s">
        <v>99</v>
      </c>
      <c r="M455" s="2" t="s">
        <v>30</v>
      </c>
      <c r="N455" s="2" t="s">
        <v>42</v>
      </c>
      <c r="O455" s="2" t="s">
        <v>100</v>
      </c>
      <c r="P455" s="4">
        <v>236.26159999999999</v>
      </c>
      <c r="Q455" s="4">
        <v>5</v>
      </c>
      <c r="R455" s="4">
        <v>-5.5164</v>
      </c>
      <c r="S455" s="2" t="s">
        <v>53</v>
      </c>
      <c r="T455" s="2" t="s">
        <v>76</v>
      </c>
    </row>
    <row r="456" spans="1:20" x14ac:dyDescent="0.25">
      <c r="A456" s="2" t="s">
        <v>1233</v>
      </c>
      <c r="B456" s="3">
        <v>42529</v>
      </c>
      <c r="C456" s="3">
        <v>42532</v>
      </c>
      <c r="D456" s="2" t="s">
        <v>55</v>
      </c>
      <c r="E456" s="2" t="s">
        <v>1234</v>
      </c>
      <c r="F456" s="2" t="s">
        <v>1235</v>
      </c>
      <c r="G456" s="2" t="s">
        <v>58</v>
      </c>
      <c r="H456" s="2" t="s">
        <v>25</v>
      </c>
      <c r="I456" s="2" t="s">
        <v>533</v>
      </c>
      <c r="J456" s="2" t="s">
        <v>72</v>
      </c>
      <c r="K456" s="2" t="s">
        <v>61</v>
      </c>
      <c r="L456" s="2" t="s">
        <v>793</v>
      </c>
      <c r="M456" s="2" t="s">
        <v>30</v>
      </c>
      <c r="N456" s="2" t="s">
        <v>63</v>
      </c>
      <c r="O456" s="2" t="s">
        <v>794</v>
      </c>
      <c r="P456" s="4">
        <v>447.07029999999997</v>
      </c>
      <c r="Q456" s="4">
        <v>8</v>
      </c>
      <c r="R456" s="4">
        <v>-283.11349999999999</v>
      </c>
      <c r="S456" s="2" t="s">
        <v>92</v>
      </c>
      <c r="T456" s="2" t="s">
        <v>133</v>
      </c>
    </row>
    <row r="457" spans="1:20" x14ac:dyDescent="0.25">
      <c r="A457" s="2" t="s">
        <v>1236</v>
      </c>
      <c r="B457" s="3">
        <v>42613</v>
      </c>
      <c r="C457" s="3">
        <v>42618</v>
      </c>
      <c r="D457" s="2" t="s">
        <v>55</v>
      </c>
      <c r="E457" s="2" t="s">
        <v>1237</v>
      </c>
      <c r="F457" s="2" t="s">
        <v>1238</v>
      </c>
      <c r="G457" s="2" t="s">
        <v>38</v>
      </c>
      <c r="H457" s="2" t="s">
        <v>25</v>
      </c>
      <c r="I457" s="2" t="s">
        <v>138</v>
      </c>
      <c r="J457" s="2" t="s">
        <v>407</v>
      </c>
      <c r="K457" s="2" t="s">
        <v>28</v>
      </c>
      <c r="L457" s="2" t="s">
        <v>235</v>
      </c>
      <c r="M457" s="2" t="s">
        <v>30</v>
      </c>
      <c r="N457" s="2" t="s">
        <v>31</v>
      </c>
      <c r="O457" s="2" t="s">
        <v>236</v>
      </c>
      <c r="P457" s="4">
        <v>37.576500000000003</v>
      </c>
      <c r="Q457" s="4">
        <v>1</v>
      </c>
      <c r="R457" s="4">
        <v>14.120100000000001</v>
      </c>
      <c r="S457" s="2" t="s">
        <v>85</v>
      </c>
      <c r="T457" s="2" t="s">
        <v>34</v>
      </c>
    </row>
    <row r="458" spans="1:20" x14ac:dyDescent="0.25">
      <c r="A458" s="2" t="s">
        <v>1236</v>
      </c>
      <c r="B458" s="3">
        <v>42613</v>
      </c>
      <c r="C458" s="3">
        <v>42618</v>
      </c>
      <c r="D458" s="2" t="s">
        <v>55</v>
      </c>
      <c r="E458" s="2" t="s">
        <v>1237</v>
      </c>
      <c r="F458" s="2" t="s">
        <v>1238</v>
      </c>
      <c r="G458" s="2" t="s">
        <v>38</v>
      </c>
      <c r="H458" s="2" t="s">
        <v>25</v>
      </c>
      <c r="I458" s="2" t="s">
        <v>138</v>
      </c>
      <c r="J458" s="2" t="s">
        <v>407</v>
      </c>
      <c r="K458" s="2" t="s">
        <v>28</v>
      </c>
      <c r="L458" s="2" t="s">
        <v>62</v>
      </c>
      <c r="M458" s="2" t="s">
        <v>30</v>
      </c>
      <c r="N458" s="2" t="s">
        <v>63</v>
      </c>
      <c r="O458" s="2" t="s">
        <v>64</v>
      </c>
      <c r="P458" s="4">
        <v>791.10609999999997</v>
      </c>
      <c r="Q458" s="4">
        <v>8</v>
      </c>
      <c r="R458" s="4">
        <v>162.15889999999999</v>
      </c>
      <c r="S458" s="2" t="s">
        <v>85</v>
      </c>
      <c r="T458" s="2" t="s">
        <v>34</v>
      </c>
    </row>
    <row r="459" spans="1:20" x14ac:dyDescent="0.25">
      <c r="A459" s="2" t="s">
        <v>1239</v>
      </c>
      <c r="B459" s="3">
        <v>42960</v>
      </c>
      <c r="C459" s="3">
        <v>42965</v>
      </c>
      <c r="D459" s="2" t="s">
        <v>55</v>
      </c>
      <c r="E459" s="2" t="s">
        <v>831</v>
      </c>
      <c r="F459" s="2" t="s">
        <v>832</v>
      </c>
      <c r="G459" s="2" t="s">
        <v>38</v>
      </c>
      <c r="H459" s="2" t="s">
        <v>25</v>
      </c>
      <c r="I459" s="2" t="s">
        <v>662</v>
      </c>
      <c r="J459" s="2" t="s">
        <v>310</v>
      </c>
      <c r="K459" s="2" t="s">
        <v>28</v>
      </c>
      <c r="L459" s="2" t="s">
        <v>333</v>
      </c>
      <c r="M459" s="2" t="s">
        <v>30</v>
      </c>
      <c r="N459" s="2" t="s">
        <v>162</v>
      </c>
      <c r="O459" s="2" t="s">
        <v>334</v>
      </c>
      <c r="P459" s="4">
        <v>279.6626</v>
      </c>
      <c r="Q459" s="4">
        <v>3</v>
      </c>
      <c r="R459" s="4">
        <v>-68.465599999999995</v>
      </c>
      <c r="S459" s="2" t="s">
        <v>85</v>
      </c>
      <c r="T459" s="2" t="s">
        <v>34</v>
      </c>
    </row>
    <row r="460" spans="1:20" x14ac:dyDescent="0.25">
      <c r="A460" s="2" t="s">
        <v>1240</v>
      </c>
      <c r="B460" s="3">
        <v>41683</v>
      </c>
      <c r="C460" s="3">
        <v>41687</v>
      </c>
      <c r="D460" s="2" t="s">
        <v>21</v>
      </c>
      <c r="E460" s="2" t="s">
        <v>1241</v>
      </c>
      <c r="F460" s="2" t="s">
        <v>1242</v>
      </c>
      <c r="G460" s="2" t="s">
        <v>38</v>
      </c>
      <c r="H460" s="2" t="s">
        <v>25</v>
      </c>
      <c r="I460" s="2" t="s">
        <v>1243</v>
      </c>
      <c r="J460" s="2" t="s">
        <v>595</v>
      </c>
      <c r="K460" s="2" t="s">
        <v>61</v>
      </c>
      <c r="L460" s="2" t="s">
        <v>207</v>
      </c>
      <c r="M460" s="2" t="s">
        <v>30</v>
      </c>
      <c r="N460" s="2" t="s">
        <v>31</v>
      </c>
      <c r="O460" s="2" t="s">
        <v>208</v>
      </c>
      <c r="P460" s="4">
        <v>56.301400000000001</v>
      </c>
      <c r="Q460" s="4">
        <v>6</v>
      </c>
      <c r="R460" s="4">
        <v>13.864699999999999</v>
      </c>
      <c r="S460" s="2" t="s">
        <v>75</v>
      </c>
      <c r="T460" s="2" t="s">
        <v>101</v>
      </c>
    </row>
    <row r="461" spans="1:20" x14ac:dyDescent="0.25">
      <c r="A461" s="2" t="s">
        <v>1244</v>
      </c>
      <c r="B461" s="3">
        <v>42800</v>
      </c>
      <c r="C461" s="3">
        <v>42802</v>
      </c>
      <c r="D461" s="2" t="s">
        <v>55</v>
      </c>
      <c r="E461" s="2" t="s">
        <v>1245</v>
      </c>
      <c r="F461" s="2" t="s">
        <v>1246</v>
      </c>
      <c r="G461" s="2" t="s">
        <v>58</v>
      </c>
      <c r="H461" s="2" t="s">
        <v>25</v>
      </c>
      <c r="I461" s="2" t="s">
        <v>394</v>
      </c>
      <c r="J461" s="2" t="s">
        <v>289</v>
      </c>
      <c r="K461" s="2" t="s">
        <v>82</v>
      </c>
      <c r="L461" s="2" t="s">
        <v>113</v>
      </c>
      <c r="M461" s="2" t="s">
        <v>30</v>
      </c>
      <c r="N461" s="2" t="s">
        <v>31</v>
      </c>
      <c r="O461" s="2" t="s">
        <v>114</v>
      </c>
      <c r="P461" s="4">
        <v>188.23079999999999</v>
      </c>
      <c r="Q461" s="4">
        <v>4</v>
      </c>
      <c r="R461" s="4">
        <v>62.978099999999998</v>
      </c>
      <c r="S461" s="2" t="s">
        <v>53</v>
      </c>
      <c r="T461" s="2" t="s">
        <v>44</v>
      </c>
    </row>
    <row r="462" spans="1:20" x14ac:dyDescent="0.25">
      <c r="A462" s="2" t="s">
        <v>1247</v>
      </c>
      <c r="B462" s="3">
        <v>42391</v>
      </c>
      <c r="C462" s="3">
        <v>42393</v>
      </c>
      <c r="D462" s="2" t="s">
        <v>21</v>
      </c>
      <c r="E462" s="2" t="s">
        <v>801</v>
      </c>
      <c r="F462" s="2" t="s">
        <v>802</v>
      </c>
      <c r="G462" s="2" t="s">
        <v>38</v>
      </c>
      <c r="H462" s="2" t="s">
        <v>25</v>
      </c>
      <c r="I462" s="2" t="s">
        <v>682</v>
      </c>
      <c r="J462" s="2" t="s">
        <v>632</v>
      </c>
      <c r="K462" s="2" t="s">
        <v>82</v>
      </c>
      <c r="L462" s="2" t="s">
        <v>154</v>
      </c>
      <c r="M462" s="2" t="s">
        <v>30</v>
      </c>
      <c r="N462" s="2" t="s">
        <v>42</v>
      </c>
      <c r="O462" s="2" t="s">
        <v>155</v>
      </c>
      <c r="P462" s="4">
        <v>435.09230000000002</v>
      </c>
      <c r="Q462" s="4">
        <v>5</v>
      </c>
      <c r="R462" s="4">
        <v>-177.39089999999999</v>
      </c>
      <c r="S462" s="2" t="s">
        <v>53</v>
      </c>
      <c r="T462" s="2" t="s">
        <v>115</v>
      </c>
    </row>
    <row r="463" spans="1:20" x14ac:dyDescent="0.25">
      <c r="A463" s="2" t="s">
        <v>1248</v>
      </c>
      <c r="B463" s="3">
        <v>41769</v>
      </c>
      <c r="C463" s="3">
        <v>41771</v>
      </c>
      <c r="D463" s="2" t="s">
        <v>21</v>
      </c>
      <c r="E463" s="2" t="s">
        <v>1249</v>
      </c>
      <c r="F463" s="2" t="s">
        <v>1250</v>
      </c>
      <c r="G463" s="2" t="s">
        <v>38</v>
      </c>
      <c r="H463" s="2" t="s">
        <v>25</v>
      </c>
      <c r="I463" s="2" t="s">
        <v>191</v>
      </c>
      <c r="J463" s="2" t="s">
        <v>192</v>
      </c>
      <c r="K463" s="2" t="s">
        <v>82</v>
      </c>
      <c r="L463" s="2" t="s">
        <v>73</v>
      </c>
      <c r="M463" s="2" t="s">
        <v>30</v>
      </c>
      <c r="N463" s="2" t="s">
        <v>42</v>
      </c>
      <c r="O463" s="2" t="s">
        <v>74</v>
      </c>
      <c r="P463" s="4">
        <v>205.9324</v>
      </c>
      <c r="Q463" s="4">
        <v>7</v>
      </c>
      <c r="R463" s="4">
        <v>-2.8919999999999999</v>
      </c>
      <c r="S463" s="2" t="s">
        <v>53</v>
      </c>
      <c r="T463" s="2" t="s">
        <v>122</v>
      </c>
    </row>
    <row r="464" spans="1:20" x14ac:dyDescent="0.25">
      <c r="A464" s="2" t="s">
        <v>1251</v>
      </c>
      <c r="B464" s="3">
        <v>42711</v>
      </c>
      <c r="C464" s="3">
        <v>42718</v>
      </c>
      <c r="D464" s="2" t="s">
        <v>55</v>
      </c>
      <c r="E464" s="2" t="s">
        <v>1252</v>
      </c>
      <c r="F464" s="2" t="s">
        <v>1253</v>
      </c>
      <c r="G464" s="2" t="s">
        <v>24</v>
      </c>
      <c r="H464" s="2" t="s">
        <v>25</v>
      </c>
      <c r="I464" s="2" t="s">
        <v>138</v>
      </c>
      <c r="J464" s="2" t="s">
        <v>407</v>
      </c>
      <c r="K464" s="2" t="s">
        <v>28</v>
      </c>
      <c r="L464" s="2" t="s">
        <v>311</v>
      </c>
      <c r="M464" s="2" t="s">
        <v>30</v>
      </c>
      <c r="N464" s="2" t="s">
        <v>63</v>
      </c>
      <c r="O464" s="2" t="s">
        <v>312</v>
      </c>
      <c r="P464" s="4">
        <v>272.77080000000001</v>
      </c>
      <c r="Q464" s="4">
        <v>5</v>
      </c>
      <c r="R464" s="4">
        <v>98.463800000000006</v>
      </c>
      <c r="S464" s="2" t="s">
        <v>107</v>
      </c>
      <c r="T464" s="2" t="s">
        <v>76</v>
      </c>
    </row>
    <row r="465" spans="1:20" x14ac:dyDescent="0.25">
      <c r="A465" s="2" t="s">
        <v>1254</v>
      </c>
      <c r="B465" s="3">
        <v>42435</v>
      </c>
      <c r="C465" s="3">
        <v>42436</v>
      </c>
      <c r="D465" s="2" t="s">
        <v>55</v>
      </c>
      <c r="E465" s="2" t="s">
        <v>1255</v>
      </c>
      <c r="F465" s="2" t="s">
        <v>1256</v>
      </c>
      <c r="G465" s="2" t="s">
        <v>38</v>
      </c>
      <c r="H465" s="2" t="s">
        <v>25</v>
      </c>
      <c r="I465" s="2" t="s">
        <v>1243</v>
      </c>
      <c r="J465" s="2" t="s">
        <v>595</v>
      </c>
      <c r="K465" s="2" t="s">
        <v>61</v>
      </c>
      <c r="L465" s="2" t="s">
        <v>235</v>
      </c>
      <c r="M465" s="2" t="s">
        <v>30</v>
      </c>
      <c r="N465" s="2" t="s">
        <v>31</v>
      </c>
      <c r="O465" s="2" t="s">
        <v>236</v>
      </c>
      <c r="P465" s="4">
        <v>359.44880000000001</v>
      </c>
      <c r="Q465" s="4">
        <v>2</v>
      </c>
      <c r="R465" s="4">
        <v>135.4623</v>
      </c>
      <c r="S465" s="2" t="s">
        <v>33</v>
      </c>
      <c r="T465" s="2" t="s">
        <v>44</v>
      </c>
    </row>
    <row r="466" spans="1:20" x14ac:dyDescent="0.25">
      <c r="A466" s="2" t="s">
        <v>1257</v>
      </c>
      <c r="B466" s="3">
        <v>42646</v>
      </c>
      <c r="C466" s="3">
        <v>42649</v>
      </c>
      <c r="D466" s="2" t="s">
        <v>21</v>
      </c>
      <c r="E466" s="2" t="s">
        <v>1258</v>
      </c>
      <c r="F466" s="2" t="s">
        <v>1259</v>
      </c>
      <c r="G466" s="2" t="s">
        <v>38</v>
      </c>
      <c r="H466" s="2" t="s">
        <v>25</v>
      </c>
      <c r="I466" s="2" t="s">
        <v>805</v>
      </c>
      <c r="J466" s="2" t="s">
        <v>351</v>
      </c>
      <c r="K466" s="2" t="s">
        <v>147</v>
      </c>
      <c r="L466" s="2" t="s">
        <v>174</v>
      </c>
      <c r="M466" s="2" t="s">
        <v>30</v>
      </c>
      <c r="N466" s="2" t="s">
        <v>31</v>
      </c>
      <c r="O466" s="2" t="s">
        <v>175</v>
      </c>
      <c r="P466" s="4">
        <v>39.717599999999997</v>
      </c>
      <c r="Q466" s="4">
        <v>2</v>
      </c>
      <c r="R466" s="4">
        <v>10.694800000000001</v>
      </c>
      <c r="S466" s="2" t="s">
        <v>92</v>
      </c>
      <c r="T466" s="2" t="s">
        <v>224</v>
      </c>
    </row>
    <row r="467" spans="1:20" x14ac:dyDescent="0.25">
      <c r="A467" s="2" t="s">
        <v>1257</v>
      </c>
      <c r="B467" s="3">
        <v>42646</v>
      </c>
      <c r="C467" s="3">
        <v>42649</v>
      </c>
      <c r="D467" s="2" t="s">
        <v>21</v>
      </c>
      <c r="E467" s="2" t="s">
        <v>1258</v>
      </c>
      <c r="F467" s="2" t="s">
        <v>1259</v>
      </c>
      <c r="G467" s="2" t="s">
        <v>38</v>
      </c>
      <c r="H467" s="2" t="s">
        <v>25</v>
      </c>
      <c r="I467" s="2" t="s">
        <v>805</v>
      </c>
      <c r="J467" s="2" t="s">
        <v>351</v>
      </c>
      <c r="K467" s="2" t="s">
        <v>147</v>
      </c>
      <c r="L467" s="2" t="s">
        <v>131</v>
      </c>
      <c r="M467" s="2" t="s">
        <v>30</v>
      </c>
      <c r="N467" s="2" t="s">
        <v>31</v>
      </c>
      <c r="O467" s="2" t="s">
        <v>132</v>
      </c>
      <c r="P467" s="4">
        <v>61.045099999999998</v>
      </c>
      <c r="Q467" s="4">
        <v>7</v>
      </c>
      <c r="R467" s="4">
        <v>19.860600000000002</v>
      </c>
      <c r="S467" s="2" t="s">
        <v>92</v>
      </c>
      <c r="T467" s="2" t="s">
        <v>224</v>
      </c>
    </row>
    <row r="468" spans="1:20" x14ac:dyDescent="0.25">
      <c r="A468" s="2" t="s">
        <v>1260</v>
      </c>
      <c r="B468" s="3">
        <v>42723</v>
      </c>
      <c r="C468" s="3">
        <v>42726</v>
      </c>
      <c r="D468" s="2" t="s">
        <v>55</v>
      </c>
      <c r="E468" s="2" t="s">
        <v>157</v>
      </c>
      <c r="F468" s="2" t="s">
        <v>158</v>
      </c>
      <c r="G468" s="2" t="s">
        <v>24</v>
      </c>
      <c r="H468" s="2" t="s">
        <v>25</v>
      </c>
      <c r="I468" s="2" t="s">
        <v>250</v>
      </c>
      <c r="J468" s="2" t="s">
        <v>251</v>
      </c>
      <c r="K468" s="2" t="s">
        <v>147</v>
      </c>
      <c r="L468" s="2" t="s">
        <v>453</v>
      </c>
      <c r="M468" s="2" t="s">
        <v>30</v>
      </c>
      <c r="N468" s="2" t="s">
        <v>42</v>
      </c>
      <c r="O468" s="2" t="s">
        <v>454</v>
      </c>
      <c r="P468" s="4">
        <v>217.7174</v>
      </c>
      <c r="Q468" s="4">
        <v>4</v>
      </c>
      <c r="R468" s="4">
        <v>-8.2055000000000007</v>
      </c>
      <c r="S468" s="2" t="s">
        <v>92</v>
      </c>
      <c r="T468" s="2" t="s">
        <v>76</v>
      </c>
    </row>
    <row r="469" spans="1:20" x14ac:dyDescent="0.25">
      <c r="A469" s="2" t="s">
        <v>1261</v>
      </c>
      <c r="B469" s="3">
        <v>42985</v>
      </c>
      <c r="C469" s="3">
        <v>42989</v>
      </c>
      <c r="D469" s="2" t="s">
        <v>21</v>
      </c>
      <c r="E469" s="2" t="s">
        <v>1262</v>
      </c>
      <c r="F469" s="2" t="s">
        <v>1263</v>
      </c>
      <c r="G469" s="2" t="s">
        <v>38</v>
      </c>
      <c r="H469" s="2" t="s">
        <v>25</v>
      </c>
      <c r="I469" s="2" t="s">
        <v>805</v>
      </c>
      <c r="J469" s="2" t="s">
        <v>806</v>
      </c>
      <c r="K469" s="2" t="s">
        <v>28</v>
      </c>
      <c r="L469" s="2" t="s">
        <v>161</v>
      </c>
      <c r="M469" s="2" t="s">
        <v>30</v>
      </c>
      <c r="N469" s="2" t="s">
        <v>162</v>
      </c>
      <c r="O469" s="2" t="s">
        <v>163</v>
      </c>
      <c r="P469" s="4">
        <v>80.2089</v>
      </c>
      <c r="Q469" s="4">
        <v>3</v>
      </c>
      <c r="R469" s="4">
        <v>-63.290500000000002</v>
      </c>
      <c r="S469" s="2" t="s">
        <v>75</v>
      </c>
      <c r="T469" s="2" t="s">
        <v>148</v>
      </c>
    </row>
    <row r="470" spans="1:20" x14ac:dyDescent="0.25">
      <c r="A470" s="2" t="s">
        <v>1264</v>
      </c>
      <c r="B470" s="3">
        <v>42514</v>
      </c>
      <c r="C470" s="3">
        <v>42518</v>
      </c>
      <c r="D470" s="2" t="s">
        <v>21</v>
      </c>
      <c r="E470" s="2" t="s">
        <v>1265</v>
      </c>
      <c r="F470" s="2" t="s">
        <v>1266</v>
      </c>
      <c r="G470" s="2" t="s">
        <v>38</v>
      </c>
      <c r="H470" s="2" t="s">
        <v>25</v>
      </c>
      <c r="I470" s="2" t="s">
        <v>639</v>
      </c>
      <c r="J470" s="2" t="s">
        <v>192</v>
      </c>
      <c r="K470" s="2" t="s">
        <v>82</v>
      </c>
      <c r="L470" s="2" t="s">
        <v>283</v>
      </c>
      <c r="M470" s="2" t="s">
        <v>30</v>
      </c>
      <c r="N470" s="2" t="s">
        <v>162</v>
      </c>
      <c r="O470" s="2" t="s">
        <v>284</v>
      </c>
      <c r="P470" s="4">
        <v>140.90100000000001</v>
      </c>
      <c r="Q470" s="4">
        <v>5</v>
      </c>
      <c r="R470" s="4">
        <v>-21.935199999999998</v>
      </c>
      <c r="S470" s="2" t="s">
        <v>75</v>
      </c>
      <c r="T470" s="2" t="s">
        <v>122</v>
      </c>
    </row>
    <row r="471" spans="1:20" x14ac:dyDescent="0.25">
      <c r="A471" s="2" t="s">
        <v>1264</v>
      </c>
      <c r="B471" s="3">
        <v>42514</v>
      </c>
      <c r="C471" s="3">
        <v>42518</v>
      </c>
      <c r="D471" s="2" t="s">
        <v>21</v>
      </c>
      <c r="E471" s="2" t="s">
        <v>1265</v>
      </c>
      <c r="F471" s="2" t="s">
        <v>1266</v>
      </c>
      <c r="G471" s="2" t="s">
        <v>38</v>
      </c>
      <c r="H471" s="2" t="s">
        <v>25</v>
      </c>
      <c r="I471" s="2" t="s">
        <v>639</v>
      </c>
      <c r="J471" s="2" t="s">
        <v>192</v>
      </c>
      <c r="K471" s="2" t="s">
        <v>82</v>
      </c>
      <c r="L471" s="2" t="s">
        <v>113</v>
      </c>
      <c r="M471" s="2" t="s">
        <v>30</v>
      </c>
      <c r="N471" s="2" t="s">
        <v>31</v>
      </c>
      <c r="O471" s="2" t="s">
        <v>114</v>
      </c>
      <c r="P471" s="4">
        <v>52.508600000000001</v>
      </c>
      <c r="Q471" s="4">
        <v>6</v>
      </c>
      <c r="R471" s="4">
        <v>-1.6414</v>
      </c>
      <c r="S471" s="2" t="s">
        <v>75</v>
      </c>
      <c r="T471" s="2" t="s">
        <v>122</v>
      </c>
    </row>
    <row r="472" spans="1:20" x14ac:dyDescent="0.25">
      <c r="A472" s="2" t="s">
        <v>1264</v>
      </c>
      <c r="B472" s="3">
        <v>42514</v>
      </c>
      <c r="C472" s="3">
        <v>42518</v>
      </c>
      <c r="D472" s="2" t="s">
        <v>21</v>
      </c>
      <c r="E472" s="2" t="s">
        <v>1265</v>
      </c>
      <c r="F472" s="2" t="s">
        <v>1266</v>
      </c>
      <c r="G472" s="2" t="s">
        <v>38</v>
      </c>
      <c r="H472" s="2" t="s">
        <v>25</v>
      </c>
      <c r="I472" s="2" t="s">
        <v>639</v>
      </c>
      <c r="J472" s="2" t="s">
        <v>192</v>
      </c>
      <c r="K472" s="2" t="s">
        <v>82</v>
      </c>
      <c r="L472" s="2" t="s">
        <v>186</v>
      </c>
      <c r="M472" s="2" t="s">
        <v>30</v>
      </c>
      <c r="N472" s="2" t="s">
        <v>31</v>
      </c>
      <c r="O472" s="2" t="s">
        <v>187</v>
      </c>
      <c r="P472" s="4">
        <v>6.5770999999999997</v>
      </c>
      <c r="Q472" s="4">
        <v>3</v>
      </c>
      <c r="R472" s="4">
        <v>-0.60340000000000005</v>
      </c>
      <c r="S472" s="2" t="s">
        <v>75</v>
      </c>
      <c r="T472" s="2" t="s">
        <v>122</v>
      </c>
    </row>
    <row r="473" spans="1:20" x14ac:dyDescent="0.25">
      <c r="A473" s="2" t="s">
        <v>1264</v>
      </c>
      <c r="B473" s="3">
        <v>42514</v>
      </c>
      <c r="C473" s="3">
        <v>42518</v>
      </c>
      <c r="D473" s="2" t="s">
        <v>21</v>
      </c>
      <c r="E473" s="2" t="s">
        <v>1265</v>
      </c>
      <c r="F473" s="2" t="s">
        <v>1266</v>
      </c>
      <c r="G473" s="2" t="s">
        <v>38</v>
      </c>
      <c r="H473" s="2" t="s">
        <v>25</v>
      </c>
      <c r="I473" s="2" t="s">
        <v>639</v>
      </c>
      <c r="J473" s="2" t="s">
        <v>192</v>
      </c>
      <c r="K473" s="2" t="s">
        <v>82</v>
      </c>
      <c r="L473" s="2" t="s">
        <v>45</v>
      </c>
      <c r="M473" s="2" t="s">
        <v>30</v>
      </c>
      <c r="N473" s="2" t="s">
        <v>31</v>
      </c>
      <c r="O473" s="2" t="s">
        <v>46</v>
      </c>
      <c r="P473" s="4">
        <v>42.051499999999997</v>
      </c>
      <c r="Q473" s="4">
        <v>2</v>
      </c>
      <c r="R473" s="4">
        <v>9.3605999999999998</v>
      </c>
      <c r="S473" s="2" t="s">
        <v>75</v>
      </c>
      <c r="T473" s="2" t="s">
        <v>122</v>
      </c>
    </row>
    <row r="474" spans="1:20" x14ac:dyDescent="0.25">
      <c r="A474" s="2" t="s">
        <v>1267</v>
      </c>
      <c r="B474" s="3">
        <v>42936</v>
      </c>
      <c r="C474" s="3">
        <v>42943</v>
      </c>
      <c r="D474" s="2" t="s">
        <v>55</v>
      </c>
      <c r="E474" s="2" t="s">
        <v>1268</v>
      </c>
      <c r="F474" s="2" t="s">
        <v>1269</v>
      </c>
      <c r="G474" s="2" t="s">
        <v>38</v>
      </c>
      <c r="H474" s="2" t="s">
        <v>25</v>
      </c>
      <c r="I474" s="2" t="s">
        <v>1128</v>
      </c>
      <c r="J474" s="2" t="s">
        <v>667</v>
      </c>
      <c r="K474" s="2" t="s">
        <v>28</v>
      </c>
      <c r="L474" s="2" t="s">
        <v>154</v>
      </c>
      <c r="M474" s="2" t="s">
        <v>30</v>
      </c>
      <c r="N474" s="2" t="s">
        <v>42</v>
      </c>
      <c r="O474" s="2" t="s">
        <v>155</v>
      </c>
      <c r="P474" s="4">
        <v>926.26769999999999</v>
      </c>
      <c r="Q474" s="4">
        <v>3</v>
      </c>
      <c r="R474" s="4">
        <v>-24.787099999999999</v>
      </c>
      <c r="S474" s="2" t="s">
        <v>107</v>
      </c>
      <c r="T474" s="2" t="s">
        <v>86</v>
      </c>
    </row>
    <row r="475" spans="1:20" x14ac:dyDescent="0.25">
      <c r="A475" s="2" t="s">
        <v>1270</v>
      </c>
      <c r="B475" s="3">
        <v>41710</v>
      </c>
      <c r="C475" s="3">
        <v>41713</v>
      </c>
      <c r="D475" s="2" t="s">
        <v>55</v>
      </c>
      <c r="E475" s="2" t="s">
        <v>88</v>
      </c>
      <c r="F475" s="2" t="s">
        <v>89</v>
      </c>
      <c r="G475" s="2" t="s">
        <v>58</v>
      </c>
      <c r="H475" s="2" t="s">
        <v>25</v>
      </c>
      <c r="I475" s="2" t="s">
        <v>469</v>
      </c>
      <c r="J475" s="2" t="s">
        <v>470</v>
      </c>
      <c r="K475" s="2" t="s">
        <v>28</v>
      </c>
      <c r="L475" s="2" t="s">
        <v>154</v>
      </c>
      <c r="M475" s="2" t="s">
        <v>30</v>
      </c>
      <c r="N475" s="2" t="s">
        <v>42</v>
      </c>
      <c r="O475" s="2" t="s">
        <v>155</v>
      </c>
      <c r="P475" s="4">
        <v>212.1756</v>
      </c>
      <c r="Q475" s="4">
        <v>1</v>
      </c>
      <c r="R475" s="4">
        <v>-89.253299999999996</v>
      </c>
      <c r="S475" s="2" t="s">
        <v>92</v>
      </c>
      <c r="T475" s="2" t="s">
        <v>44</v>
      </c>
    </row>
    <row r="476" spans="1:20" x14ac:dyDescent="0.25">
      <c r="A476" s="2" t="s">
        <v>1271</v>
      </c>
      <c r="B476" s="3">
        <v>42205</v>
      </c>
      <c r="C476" s="3">
        <v>42208</v>
      </c>
      <c r="D476" s="2" t="s">
        <v>55</v>
      </c>
      <c r="E476" s="2" t="s">
        <v>1272</v>
      </c>
      <c r="F476" s="2" t="s">
        <v>1273</v>
      </c>
      <c r="G476" s="2" t="s">
        <v>58</v>
      </c>
      <c r="H476" s="2" t="s">
        <v>25</v>
      </c>
      <c r="I476" s="2" t="s">
        <v>1184</v>
      </c>
      <c r="J476" s="2" t="s">
        <v>435</v>
      </c>
      <c r="K476" s="2" t="s">
        <v>61</v>
      </c>
      <c r="L476" s="2" t="s">
        <v>252</v>
      </c>
      <c r="M476" s="2" t="s">
        <v>30</v>
      </c>
      <c r="N476" s="2" t="s">
        <v>31</v>
      </c>
      <c r="O476" s="2" t="s">
        <v>253</v>
      </c>
      <c r="P476" s="4">
        <v>69.982799999999997</v>
      </c>
      <c r="Q476" s="4">
        <v>4</v>
      </c>
      <c r="R476" s="4">
        <v>29.279</v>
      </c>
      <c r="S476" s="2" t="s">
        <v>92</v>
      </c>
      <c r="T476" s="2" t="s">
        <v>86</v>
      </c>
    </row>
    <row r="477" spans="1:20" x14ac:dyDescent="0.25">
      <c r="A477" s="2" t="s">
        <v>1274</v>
      </c>
      <c r="B477" s="3">
        <v>42808</v>
      </c>
      <c r="C477" s="3">
        <v>42808</v>
      </c>
      <c r="D477" s="2" t="s">
        <v>48</v>
      </c>
      <c r="E477" s="2" t="s">
        <v>1275</v>
      </c>
      <c r="F477" s="2" t="s">
        <v>1276</v>
      </c>
      <c r="G477" s="2" t="s">
        <v>24</v>
      </c>
      <c r="H477" s="2" t="s">
        <v>25</v>
      </c>
      <c r="I477" s="2" t="s">
        <v>779</v>
      </c>
      <c r="J477" s="2" t="s">
        <v>356</v>
      </c>
      <c r="K477" s="2" t="s">
        <v>147</v>
      </c>
      <c r="L477" s="2" t="s">
        <v>218</v>
      </c>
      <c r="M477" s="2" t="s">
        <v>30</v>
      </c>
      <c r="N477" s="2" t="s">
        <v>31</v>
      </c>
      <c r="O477" s="2" t="s">
        <v>219</v>
      </c>
      <c r="P477" s="4">
        <v>28.637899999999998</v>
      </c>
      <c r="Q477" s="4">
        <v>3</v>
      </c>
      <c r="R477" s="4">
        <v>-1.2152000000000001</v>
      </c>
      <c r="S477" s="2" t="s">
        <v>121</v>
      </c>
      <c r="T477" s="2" t="s">
        <v>44</v>
      </c>
    </row>
    <row r="478" spans="1:20" x14ac:dyDescent="0.25">
      <c r="A478" s="2" t="s">
        <v>1277</v>
      </c>
      <c r="B478" s="3">
        <v>42820</v>
      </c>
      <c r="C478" s="3">
        <v>42820</v>
      </c>
      <c r="D478" s="2" t="s">
        <v>55</v>
      </c>
      <c r="E478" s="2" t="s">
        <v>931</v>
      </c>
      <c r="F478" s="2" t="s">
        <v>932</v>
      </c>
      <c r="G478" s="2" t="s">
        <v>38</v>
      </c>
      <c r="H478" s="2" t="s">
        <v>25</v>
      </c>
      <c r="I478" s="2" t="s">
        <v>355</v>
      </c>
      <c r="J478" s="2" t="s">
        <v>356</v>
      </c>
      <c r="K478" s="2" t="s">
        <v>147</v>
      </c>
      <c r="L478" s="2" t="s">
        <v>193</v>
      </c>
      <c r="M478" s="2" t="s">
        <v>30</v>
      </c>
      <c r="N478" s="2" t="s">
        <v>42</v>
      </c>
      <c r="O478" s="2" t="s">
        <v>194</v>
      </c>
      <c r="P478" s="4">
        <v>294.43400000000003</v>
      </c>
      <c r="Q478" s="4">
        <v>2</v>
      </c>
      <c r="R478" s="4">
        <v>-46.756100000000004</v>
      </c>
      <c r="S478" s="2" t="s">
        <v>121</v>
      </c>
      <c r="T478" s="2" t="s">
        <v>44</v>
      </c>
    </row>
    <row r="479" spans="1:20" x14ac:dyDescent="0.25">
      <c r="A479" s="2" t="s">
        <v>1277</v>
      </c>
      <c r="B479" s="3">
        <v>42820</v>
      </c>
      <c r="C479" s="3">
        <v>42820</v>
      </c>
      <c r="D479" s="2" t="s">
        <v>55</v>
      </c>
      <c r="E479" s="2" t="s">
        <v>931</v>
      </c>
      <c r="F479" s="2" t="s">
        <v>932</v>
      </c>
      <c r="G479" s="2" t="s">
        <v>38</v>
      </c>
      <c r="H479" s="2" t="s">
        <v>25</v>
      </c>
      <c r="I479" s="2" t="s">
        <v>355</v>
      </c>
      <c r="J479" s="2" t="s">
        <v>356</v>
      </c>
      <c r="K479" s="2" t="s">
        <v>147</v>
      </c>
      <c r="L479" s="2" t="s">
        <v>301</v>
      </c>
      <c r="M479" s="2" t="s">
        <v>30</v>
      </c>
      <c r="N479" s="2" t="s">
        <v>162</v>
      </c>
      <c r="O479" s="2" t="s">
        <v>302</v>
      </c>
      <c r="P479" s="4">
        <v>367.98070000000001</v>
      </c>
      <c r="Q479" s="4">
        <v>7</v>
      </c>
      <c r="R479" s="4">
        <v>-93.069199999999995</v>
      </c>
      <c r="S479" s="2" t="s">
        <v>121</v>
      </c>
      <c r="T479" s="2" t="s">
        <v>44</v>
      </c>
    </row>
    <row r="480" spans="1:20" x14ac:dyDescent="0.25">
      <c r="A480" s="2" t="s">
        <v>1278</v>
      </c>
      <c r="B480" s="3">
        <v>42104</v>
      </c>
      <c r="C480" s="3">
        <v>42109</v>
      </c>
      <c r="D480" s="2" t="s">
        <v>55</v>
      </c>
      <c r="E480" s="2" t="s">
        <v>987</v>
      </c>
      <c r="F480" s="2" t="s">
        <v>988</v>
      </c>
      <c r="G480" s="2" t="s">
        <v>38</v>
      </c>
      <c r="H480" s="2" t="s">
        <v>25</v>
      </c>
      <c r="I480" s="2" t="s">
        <v>233</v>
      </c>
      <c r="J480" s="2" t="s">
        <v>234</v>
      </c>
      <c r="K480" s="2" t="s">
        <v>82</v>
      </c>
      <c r="L480" s="2" t="s">
        <v>453</v>
      </c>
      <c r="M480" s="2" t="s">
        <v>30</v>
      </c>
      <c r="N480" s="2" t="s">
        <v>42</v>
      </c>
      <c r="O480" s="2" t="s">
        <v>454</v>
      </c>
      <c r="P480" s="4">
        <v>305.60210000000001</v>
      </c>
      <c r="Q480" s="4">
        <v>2</v>
      </c>
      <c r="R480" s="4">
        <v>125.94759999999999</v>
      </c>
      <c r="S480" s="2" t="s">
        <v>85</v>
      </c>
      <c r="T480" s="2" t="s">
        <v>108</v>
      </c>
    </row>
    <row r="481" spans="1:20" x14ac:dyDescent="0.25">
      <c r="A481" s="2" t="s">
        <v>1279</v>
      </c>
      <c r="B481" s="3">
        <v>43069</v>
      </c>
      <c r="C481" s="3">
        <v>43070</v>
      </c>
      <c r="D481" s="2" t="s">
        <v>55</v>
      </c>
      <c r="E481" s="2" t="s">
        <v>1280</v>
      </c>
      <c r="F481" s="2" t="s">
        <v>1281</v>
      </c>
      <c r="G481" s="2" t="s">
        <v>58</v>
      </c>
      <c r="H481" s="2" t="s">
        <v>25</v>
      </c>
      <c r="I481" s="2" t="s">
        <v>378</v>
      </c>
      <c r="J481" s="2" t="s">
        <v>98</v>
      </c>
      <c r="K481" s="2" t="s">
        <v>82</v>
      </c>
      <c r="L481" s="2" t="s">
        <v>193</v>
      </c>
      <c r="M481" s="2" t="s">
        <v>30</v>
      </c>
      <c r="N481" s="2" t="s">
        <v>42</v>
      </c>
      <c r="O481" s="2" t="s">
        <v>194</v>
      </c>
      <c r="P481" s="4">
        <v>992.55769999999995</v>
      </c>
      <c r="Q481" s="4">
        <v>6</v>
      </c>
      <c r="R481" s="4">
        <v>-384.29410000000001</v>
      </c>
      <c r="S481" s="2" t="s">
        <v>33</v>
      </c>
      <c r="T481" s="2" t="s">
        <v>93</v>
      </c>
    </row>
    <row r="482" spans="1:20" x14ac:dyDescent="0.25">
      <c r="A482" s="2" t="s">
        <v>1282</v>
      </c>
      <c r="B482" s="3">
        <v>41943</v>
      </c>
      <c r="C482" s="3">
        <v>41949</v>
      </c>
      <c r="D482" s="2" t="s">
        <v>55</v>
      </c>
      <c r="E482" s="2" t="s">
        <v>1283</v>
      </c>
      <c r="F482" s="2" t="s">
        <v>1284</v>
      </c>
      <c r="G482" s="2" t="s">
        <v>58</v>
      </c>
      <c r="H482" s="2" t="s">
        <v>25</v>
      </c>
      <c r="I482" s="2" t="s">
        <v>861</v>
      </c>
      <c r="J482" s="2" t="s">
        <v>403</v>
      </c>
      <c r="K482" s="2" t="s">
        <v>147</v>
      </c>
      <c r="L482" s="2" t="s">
        <v>323</v>
      </c>
      <c r="M482" s="2" t="s">
        <v>30</v>
      </c>
      <c r="N482" s="2" t="s">
        <v>31</v>
      </c>
      <c r="O482" s="2" t="s">
        <v>324</v>
      </c>
      <c r="P482" s="4">
        <v>113.877</v>
      </c>
      <c r="Q482" s="4">
        <v>4</v>
      </c>
      <c r="R482" s="4">
        <v>29.205100000000002</v>
      </c>
      <c r="S482" s="2" t="s">
        <v>65</v>
      </c>
      <c r="T482" s="2" t="s">
        <v>224</v>
      </c>
    </row>
    <row r="483" spans="1:20" x14ac:dyDescent="0.25">
      <c r="A483" s="2" t="s">
        <v>1285</v>
      </c>
      <c r="B483" s="3">
        <v>41916</v>
      </c>
      <c r="C483" s="3">
        <v>41919</v>
      </c>
      <c r="D483" s="2" t="s">
        <v>55</v>
      </c>
      <c r="E483" s="2" t="s">
        <v>1286</v>
      </c>
      <c r="F483" s="2" t="s">
        <v>1287</v>
      </c>
      <c r="G483" s="2" t="s">
        <v>58</v>
      </c>
      <c r="H483" s="2" t="s">
        <v>25</v>
      </c>
      <c r="I483" s="2" t="s">
        <v>338</v>
      </c>
      <c r="J483" s="2" t="s">
        <v>339</v>
      </c>
      <c r="K483" s="2" t="s">
        <v>82</v>
      </c>
      <c r="L483" s="2" t="s">
        <v>193</v>
      </c>
      <c r="M483" s="2" t="s">
        <v>30</v>
      </c>
      <c r="N483" s="2" t="s">
        <v>42</v>
      </c>
      <c r="O483" s="2" t="s">
        <v>194</v>
      </c>
      <c r="P483" s="4">
        <v>636.89290000000005</v>
      </c>
      <c r="Q483" s="4">
        <v>3</v>
      </c>
      <c r="R483" s="4">
        <v>-76.485600000000005</v>
      </c>
      <c r="S483" s="2" t="s">
        <v>92</v>
      </c>
      <c r="T483" s="2" t="s">
        <v>224</v>
      </c>
    </row>
    <row r="484" spans="1:20" x14ac:dyDescent="0.25">
      <c r="A484" s="2" t="s">
        <v>1288</v>
      </c>
      <c r="B484" s="3">
        <v>42302</v>
      </c>
      <c r="C484" s="3">
        <v>42307</v>
      </c>
      <c r="D484" s="2" t="s">
        <v>55</v>
      </c>
      <c r="E484" s="2" t="s">
        <v>936</v>
      </c>
      <c r="F484" s="2" t="s">
        <v>937</v>
      </c>
      <c r="G484" s="2" t="s">
        <v>38</v>
      </c>
      <c r="H484" s="2" t="s">
        <v>25</v>
      </c>
      <c r="I484" s="2" t="s">
        <v>223</v>
      </c>
      <c r="J484" s="2" t="s">
        <v>81</v>
      </c>
      <c r="K484" s="2" t="s">
        <v>82</v>
      </c>
      <c r="L484" s="2" t="s">
        <v>328</v>
      </c>
      <c r="M484" s="2" t="s">
        <v>30</v>
      </c>
      <c r="N484" s="2" t="s">
        <v>63</v>
      </c>
      <c r="O484" s="2" t="s">
        <v>329</v>
      </c>
      <c r="P484" s="4">
        <v>302.0677</v>
      </c>
      <c r="Q484" s="4">
        <v>3</v>
      </c>
      <c r="R484" s="4">
        <v>249.80850000000001</v>
      </c>
      <c r="S484" s="2" t="s">
        <v>85</v>
      </c>
      <c r="T484" s="2" t="s">
        <v>224</v>
      </c>
    </row>
    <row r="485" spans="1:20" x14ac:dyDescent="0.25">
      <c r="A485" s="2" t="s">
        <v>1289</v>
      </c>
      <c r="B485" s="3">
        <v>41986</v>
      </c>
      <c r="C485" s="3">
        <v>41989</v>
      </c>
      <c r="D485" s="2" t="s">
        <v>55</v>
      </c>
      <c r="E485" s="2" t="s">
        <v>1290</v>
      </c>
      <c r="F485" s="2" t="s">
        <v>1291</v>
      </c>
      <c r="G485" s="2" t="s">
        <v>24</v>
      </c>
      <c r="H485" s="2" t="s">
        <v>25</v>
      </c>
      <c r="I485" s="2" t="s">
        <v>1114</v>
      </c>
      <c r="J485" s="2" t="s">
        <v>138</v>
      </c>
      <c r="K485" s="2" t="s">
        <v>82</v>
      </c>
      <c r="L485" s="2" t="s">
        <v>154</v>
      </c>
      <c r="M485" s="2" t="s">
        <v>30</v>
      </c>
      <c r="N485" s="2" t="s">
        <v>42</v>
      </c>
      <c r="O485" s="2" t="s">
        <v>155</v>
      </c>
      <c r="P485" s="4">
        <v>244.68639999999999</v>
      </c>
      <c r="Q485" s="4">
        <v>1</v>
      </c>
      <c r="R485" s="4">
        <v>68.222300000000004</v>
      </c>
      <c r="S485" s="2" t="s">
        <v>92</v>
      </c>
      <c r="T485" s="2" t="s">
        <v>76</v>
      </c>
    </row>
    <row r="486" spans="1:20" x14ac:dyDescent="0.25">
      <c r="A486" s="2" t="s">
        <v>1292</v>
      </c>
      <c r="B486" s="3">
        <v>41815</v>
      </c>
      <c r="C486" s="3">
        <v>41816</v>
      </c>
      <c r="D486" s="2" t="s">
        <v>55</v>
      </c>
      <c r="E486" s="2" t="s">
        <v>1293</v>
      </c>
      <c r="F486" s="2" t="s">
        <v>1294</v>
      </c>
      <c r="G486" s="2" t="s">
        <v>58</v>
      </c>
      <c r="H486" s="2" t="s">
        <v>25</v>
      </c>
      <c r="I486" s="2" t="s">
        <v>458</v>
      </c>
      <c r="J486" s="2" t="s">
        <v>27</v>
      </c>
      <c r="K486" s="2" t="s">
        <v>28</v>
      </c>
      <c r="L486" s="2" t="s">
        <v>283</v>
      </c>
      <c r="M486" s="2" t="s">
        <v>30</v>
      </c>
      <c r="N486" s="2" t="s">
        <v>162</v>
      </c>
      <c r="O486" s="2" t="s">
        <v>284</v>
      </c>
      <c r="P486" s="4">
        <v>1023.4296000000001</v>
      </c>
      <c r="Q486" s="4">
        <v>4</v>
      </c>
      <c r="R486" s="4">
        <v>552.31820000000005</v>
      </c>
      <c r="S486" s="2" t="s">
        <v>33</v>
      </c>
      <c r="T486" s="2" t="s">
        <v>133</v>
      </c>
    </row>
    <row r="487" spans="1:20" x14ac:dyDescent="0.25">
      <c r="A487" s="2" t="s">
        <v>1295</v>
      </c>
      <c r="B487" s="3">
        <v>42068</v>
      </c>
      <c r="C487" s="3">
        <v>42069</v>
      </c>
      <c r="D487" s="2" t="s">
        <v>21</v>
      </c>
      <c r="E487" s="2" t="s">
        <v>1296</v>
      </c>
      <c r="F487" s="2" t="s">
        <v>1297</v>
      </c>
      <c r="G487" s="2" t="s">
        <v>38</v>
      </c>
      <c r="H487" s="2" t="s">
        <v>25</v>
      </c>
      <c r="I487" s="2" t="s">
        <v>26</v>
      </c>
      <c r="J487" s="2" t="s">
        <v>91</v>
      </c>
      <c r="K487" s="2" t="s">
        <v>61</v>
      </c>
      <c r="L487" s="2" t="s">
        <v>45</v>
      </c>
      <c r="M487" s="2" t="s">
        <v>30</v>
      </c>
      <c r="N487" s="2" t="s">
        <v>31</v>
      </c>
      <c r="O487" s="2" t="s">
        <v>46</v>
      </c>
      <c r="P487" s="4">
        <v>22.886500000000002</v>
      </c>
      <c r="Q487" s="4">
        <v>2</v>
      </c>
      <c r="R487" s="4">
        <v>-4.2655000000000003</v>
      </c>
      <c r="S487" s="2" t="s">
        <v>33</v>
      </c>
      <c r="T487" s="2" t="s">
        <v>44</v>
      </c>
    </row>
    <row r="488" spans="1:20" x14ac:dyDescent="0.25">
      <c r="A488" s="2" t="s">
        <v>1298</v>
      </c>
      <c r="B488" s="3">
        <v>42833</v>
      </c>
      <c r="C488" s="3">
        <v>42833</v>
      </c>
      <c r="D488" s="2" t="s">
        <v>21</v>
      </c>
      <c r="E488" s="2" t="s">
        <v>657</v>
      </c>
      <c r="F488" s="2" t="s">
        <v>658</v>
      </c>
      <c r="G488" s="2" t="s">
        <v>58</v>
      </c>
      <c r="H488" s="2" t="s">
        <v>25</v>
      </c>
      <c r="I488" s="2" t="s">
        <v>482</v>
      </c>
      <c r="J488" s="2" t="s">
        <v>120</v>
      </c>
      <c r="K488" s="2" t="s">
        <v>61</v>
      </c>
      <c r="L488" s="2" t="s">
        <v>252</v>
      </c>
      <c r="M488" s="2" t="s">
        <v>30</v>
      </c>
      <c r="N488" s="2" t="s">
        <v>31</v>
      </c>
      <c r="O488" s="2" t="s">
        <v>253</v>
      </c>
      <c r="P488" s="4">
        <v>242.35159999999999</v>
      </c>
      <c r="Q488" s="4">
        <v>3</v>
      </c>
      <c r="R488" s="4">
        <v>-97.859700000000004</v>
      </c>
      <c r="S488" s="2" t="s">
        <v>121</v>
      </c>
      <c r="T488" s="2" t="s">
        <v>108</v>
      </c>
    </row>
    <row r="489" spans="1:20" x14ac:dyDescent="0.25">
      <c r="A489" s="2" t="s">
        <v>1299</v>
      </c>
      <c r="B489" s="3">
        <v>42435</v>
      </c>
      <c r="C489" s="3">
        <v>42441</v>
      </c>
      <c r="D489" s="2" t="s">
        <v>55</v>
      </c>
      <c r="E489" s="2" t="s">
        <v>571</v>
      </c>
      <c r="F489" s="2" t="s">
        <v>572</v>
      </c>
      <c r="G489" s="2" t="s">
        <v>24</v>
      </c>
      <c r="H489" s="2" t="s">
        <v>25</v>
      </c>
      <c r="I489" s="2" t="s">
        <v>1300</v>
      </c>
      <c r="J489" s="2" t="s">
        <v>60</v>
      </c>
      <c r="K489" s="2" t="s">
        <v>61</v>
      </c>
      <c r="L489" s="2" t="s">
        <v>154</v>
      </c>
      <c r="M489" s="2" t="s">
        <v>30</v>
      </c>
      <c r="N489" s="2" t="s">
        <v>42</v>
      </c>
      <c r="O489" s="2" t="s">
        <v>155</v>
      </c>
      <c r="P489" s="4">
        <v>205.01240000000001</v>
      </c>
      <c r="Q489" s="4">
        <v>1</v>
      </c>
      <c r="R489" s="4">
        <v>81.438400000000001</v>
      </c>
      <c r="S489" s="2" t="s">
        <v>65</v>
      </c>
      <c r="T489" s="2" t="s">
        <v>44</v>
      </c>
    </row>
    <row r="490" spans="1:20" x14ac:dyDescent="0.25">
      <c r="A490" s="2" t="s">
        <v>1301</v>
      </c>
      <c r="B490" s="3">
        <v>41843</v>
      </c>
      <c r="C490" s="3">
        <v>41850</v>
      </c>
      <c r="D490" s="2" t="s">
        <v>55</v>
      </c>
      <c r="E490" s="2" t="s">
        <v>1302</v>
      </c>
      <c r="F490" s="2" t="s">
        <v>1303</v>
      </c>
      <c r="G490" s="2" t="s">
        <v>24</v>
      </c>
      <c r="H490" s="2" t="s">
        <v>25</v>
      </c>
      <c r="I490" s="2" t="s">
        <v>152</v>
      </c>
      <c r="J490" s="2" t="s">
        <v>153</v>
      </c>
      <c r="K490" s="2" t="s">
        <v>147</v>
      </c>
      <c r="L490" s="2" t="s">
        <v>174</v>
      </c>
      <c r="M490" s="2" t="s">
        <v>30</v>
      </c>
      <c r="N490" s="2" t="s">
        <v>31</v>
      </c>
      <c r="O490" s="2" t="s">
        <v>175</v>
      </c>
      <c r="P490" s="4">
        <v>162.8963</v>
      </c>
      <c r="Q490" s="4">
        <v>6</v>
      </c>
      <c r="R490" s="4">
        <v>10.755000000000001</v>
      </c>
      <c r="S490" s="2" t="s">
        <v>107</v>
      </c>
      <c r="T490" s="2" t="s">
        <v>86</v>
      </c>
    </row>
    <row r="491" spans="1:20" x14ac:dyDescent="0.25">
      <c r="A491" s="2" t="s">
        <v>1304</v>
      </c>
      <c r="B491" s="3">
        <v>42146</v>
      </c>
      <c r="C491" s="3">
        <v>42148</v>
      </c>
      <c r="D491" s="2" t="s">
        <v>21</v>
      </c>
      <c r="E491" s="2" t="s">
        <v>1305</v>
      </c>
      <c r="F491" s="2" t="s">
        <v>1306</v>
      </c>
      <c r="G491" s="2" t="s">
        <v>58</v>
      </c>
      <c r="H491" s="2" t="s">
        <v>25</v>
      </c>
      <c r="I491" s="2" t="s">
        <v>605</v>
      </c>
      <c r="J491" s="2" t="s">
        <v>424</v>
      </c>
      <c r="K491" s="2" t="s">
        <v>28</v>
      </c>
      <c r="L491" s="2" t="s">
        <v>453</v>
      </c>
      <c r="M491" s="2" t="s">
        <v>30</v>
      </c>
      <c r="N491" s="2" t="s">
        <v>42</v>
      </c>
      <c r="O491" s="2" t="s">
        <v>454</v>
      </c>
      <c r="P491" s="4">
        <v>131.46340000000001</v>
      </c>
      <c r="Q491" s="4">
        <v>2</v>
      </c>
      <c r="R491" s="4">
        <v>-4.6199000000000003</v>
      </c>
      <c r="S491" s="2" t="s">
        <v>53</v>
      </c>
      <c r="T491" s="2" t="s">
        <v>122</v>
      </c>
    </row>
    <row r="492" spans="1:20" x14ac:dyDescent="0.25">
      <c r="A492" s="2" t="s">
        <v>1307</v>
      </c>
      <c r="B492" s="3">
        <v>42204</v>
      </c>
      <c r="C492" s="3">
        <v>42204</v>
      </c>
      <c r="D492" s="2" t="s">
        <v>142</v>
      </c>
      <c r="E492" s="2" t="s">
        <v>1071</v>
      </c>
      <c r="F492" s="2" t="s">
        <v>1072</v>
      </c>
      <c r="G492" s="2" t="s">
        <v>58</v>
      </c>
      <c r="H492" s="2" t="s">
        <v>25</v>
      </c>
      <c r="I492" s="2" t="s">
        <v>297</v>
      </c>
      <c r="J492" s="2" t="s">
        <v>234</v>
      </c>
      <c r="K492" s="2" t="s">
        <v>82</v>
      </c>
      <c r="L492" s="2" t="s">
        <v>193</v>
      </c>
      <c r="M492" s="2" t="s">
        <v>30</v>
      </c>
      <c r="N492" s="2" t="s">
        <v>42</v>
      </c>
      <c r="O492" s="2" t="s">
        <v>194</v>
      </c>
      <c r="P492" s="4">
        <v>1131.0324000000001</v>
      </c>
      <c r="Q492" s="4">
        <v>7</v>
      </c>
      <c r="R492" s="4">
        <v>45.6218</v>
      </c>
      <c r="S492" s="2" t="s">
        <v>121</v>
      </c>
      <c r="T492" s="2" t="s">
        <v>86</v>
      </c>
    </row>
    <row r="493" spans="1:20" x14ac:dyDescent="0.25">
      <c r="A493" s="2" t="s">
        <v>1308</v>
      </c>
      <c r="B493" s="3">
        <v>42985</v>
      </c>
      <c r="C493" s="3">
        <v>42991</v>
      </c>
      <c r="D493" s="2" t="s">
        <v>55</v>
      </c>
      <c r="E493" s="2" t="s">
        <v>1309</v>
      </c>
      <c r="F493" s="2" t="s">
        <v>1310</v>
      </c>
      <c r="G493" s="2" t="s">
        <v>38</v>
      </c>
      <c r="H493" s="2" t="s">
        <v>25</v>
      </c>
      <c r="I493" s="2" t="s">
        <v>666</v>
      </c>
      <c r="J493" s="2" t="s">
        <v>667</v>
      </c>
      <c r="K493" s="2" t="s">
        <v>28</v>
      </c>
      <c r="L493" s="2" t="s">
        <v>186</v>
      </c>
      <c r="M493" s="2" t="s">
        <v>30</v>
      </c>
      <c r="N493" s="2" t="s">
        <v>31</v>
      </c>
      <c r="O493" s="2" t="s">
        <v>187</v>
      </c>
      <c r="P493" s="4">
        <v>23.702000000000002</v>
      </c>
      <c r="Q493" s="4">
        <v>6</v>
      </c>
      <c r="R493" s="4">
        <v>-5.0490000000000004</v>
      </c>
      <c r="S493" s="2" t="s">
        <v>65</v>
      </c>
      <c r="T493" s="2" t="s">
        <v>148</v>
      </c>
    </row>
    <row r="494" spans="1:20" x14ac:dyDescent="0.25">
      <c r="A494" s="2" t="s">
        <v>1308</v>
      </c>
      <c r="B494" s="3">
        <v>42985</v>
      </c>
      <c r="C494" s="3">
        <v>42991</v>
      </c>
      <c r="D494" s="2" t="s">
        <v>55</v>
      </c>
      <c r="E494" s="2" t="s">
        <v>1309</v>
      </c>
      <c r="F494" s="2" t="s">
        <v>1310</v>
      </c>
      <c r="G494" s="2" t="s">
        <v>38</v>
      </c>
      <c r="H494" s="2" t="s">
        <v>25</v>
      </c>
      <c r="I494" s="2" t="s">
        <v>666</v>
      </c>
      <c r="J494" s="2" t="s">
        <v>667</v>
      </c>
      <c r="K494" s="2" t="s">
        <v>28</v>
      </c>
      <c r="L494" s="2" t="s">
        <v>677</v>
      </c>
      <c r="M494" s="2" t="s">
        <v>30</v>
      </c>
      <c r="N494" s="2" t="s">
        <v>162</v>
      </c>
      <c r="O494" s="2" t="s">
        <v>678</v>
      </c>
      <c r="P494" s="4">
        <v>174.99170000000001</v>
      </c>
      <c r="Q494" s="4">
        <v>2</v>
      </c>
      <c r="R494" s="4">
        <v>97.483000000000004</v>
      </c>
      <c r="S494" s="2" t="s">
        <v>65</v>
      </c>
      <c r="T494" s="2" t="s">
        <v>148</v>
      </c>
    </row>
    <row r="495" spans="1:20" x14ac:dyDescent="0.25">
      <c r="A495" s="2" t="s">
        <v>1308</v>
      </c>
      <c r="B495" s="3">
        <v>42985</v>
      </c>
      <c r="C495" s="3">
        <v>42991</v>
      </c>
      <c r="D495" s="2" t="s">
        <v>55</v>
      </c>
      <c r="E495" s="2" t="s">
        <v>1309</v>
      </c>
      <c r="F495" s="2" t="s">
        <v>1310</v>
      </c>
      <c r="G495" s="2" t="s">
        <v>38</v>
      </c>
      <c r="H495" s="2" t="s">
        <v>25</v>
      </c>
      <c r="I495" s="2" t="s">
        <v>666</v>
      </c>
      <c r="J495" s="2" t="s">
        <v>667</v>
      </c>
      <c r="K495" s="2" t="s">
        <v>28</v>
      </c>
      <c r="L495" s="2" t="s">
        <v>316</v>
      </c>
      <c r="M495" s="2" t="s">
        <v>30</v>
      </c>
      <c r="N495" s="2" t="s">
        <v>42</v>
      </c>
      <c r="O495" s="2" t="s">
        <v>317</v>
      </c>
      <c r="P495" s="4">
        <v>249.6491</v>
      </c>
      <c r="Q495" s="4">
        <v>3</v>
      </c>
      <c r="R495" s="4">
        <v>-57.069699999999997</v>
      </c>
      <c r="S495" s="2" t="s">
        <v>65</v>
      </c>
      <c r="T495" s="2" t="s">
        <v>148</v>
      </c>
    </row>
    <row r="496" spans="1:20" x14ac:dyDescent="0.25">
      <c r="A496" s="2" t="s">
        <v>1311</v>
      </c>
      <c r="B496" s="3">
        <v>42829</v>
      </c>
      <c r="C496" s="3">
        <v>42833</v>
      </c>
      <c r="D496" s="2" t="s">
        <v>21</v>
      </c>
      <c r="E496" s="2" t="s">
        <v>1048</v>
      </c>
      <c r="F496" s="2" t="s">
        <v>1049</v>
      </c>
      <c r="G496" s="2" t="s">
        <v>58</v>
      </c>
      <c r="H496" s="2" t="s">
        <v>25</v>
      </c>
      <c r="I496" s="2" t="s">
        <v>666</v>
      </c>
      <c r="J496" s="2" t="s">
        <v>667</v>
      </c>
      <c r="K496" s="2" t="s">
        <v>28</v>
      </c>
      <c r="L496" s="2" t="s">
        <v>453</v>
      </c>
      <c r="M496" s="2" t="s">
        <v>30</v>
      </c>
      <c r="N496" s="2" t="s">
        <v>42</v>
      </c>
      <c r="O496" s="2" t="s">
        <v>454</v>
      </c>
      <c r="P496" s="4">
        <v>589.70230000000004</v>
      </c>
      <c r="Q496" s="4">
        <v>3</v>
      </c>
      <c r="R496" s="4">
        <v>-127.0804</v>
      </c>
      <c r="S496" s="2" t="s">
        <v>75</v>
      </c>
      <c r="T496" s="2" t="s">
        <v>108</v>
      </c>
    </row>
    <row r="497" spans="1:20" x14ac:dyDescent="0.25">
      <c r="A497" s="2" t="s">
        <v>1311</v>
      </c>
      <c r="B497" s="3">
        <v>42829</v>
      </c>
      <c r="C497" s="3">
        <v>42833</v>
      </c>
      <c r="D497" s="2" t="s">
        <v>21</v>
      </c>
      <c r="E497" s="2" t="s">
        <v>1048</v>
      </c>
      <c r="F497" s="2" t="s">
        <v>1049</v>
      </c>
      <c r="G497" s="2" t="s">
        <v>58</v>
      </c>
      <c r="H497" s="2" t="s">
        <v>25</v>
      </c>
      <c r="I497" s="2" t="s">
        <v>666</v>
      </c>
      <c r="J497" s="2" t="s">
        <v>667</v>
      </c>
      <c r="K497" s="2" t="s">
        <v>28</v>
      </c>
      <c r="L497" s="2" t="s">
        <v>254</v>
      </c>
      <c r="M497" s="2" t="s">
        <v>30</v>
      </c>
      <c r="N497" s="2" t="s">
        <v>162</v>
      </c>
      <c r="O497" s="2" t="s">
        <v>255</v>
      </c>
      <c r="P497" s="4">
        <v>352.13279999999997</v>
      </c>
      <c r="Q497" s="4">
        <v>1</v>
      </c>
      <c r="R497" s="4">
        <v>-72.784300000000002</v>
      </c>
      <c r="S497" s="2" t="s">
        <v>75</v>
      </c>
      <c r="T497" s="2" t="s">
        <v>108</v>
      </c>
    </row>
    <row r="498" spans="1:20" x14ac:dyDescent="0.25">
      <c r="A498" s="2" t="s">
        <v>1312</v>
      </c>
      <c r="B498" s="3">
        <v>41882</v>
      </c>
      <c r="C498" s="3">
        <v>41885</v>
      </c>
      <c r="D498" s="2" t="s">
        <v>21</v>
      </c>
      <c r="E498" s="2" t="s">
        <v>1313</v>
      </c>
      <c r="F498" s="2" t="s">
        <v>1314</v>
      </c>
      <c r="G498" s="2" t="s">
        <v>24</v>
      </c>
      <c r="H498" s="2" t="s">
        <v>25</v>
      </c>
      <c r="I498" s="2" t="s">
        <v>474</v>
      </c>
      <c r="J498" s="2" t="s">
        <v>475</v>
      </c>
      <c r="K498" s="2" t="s">
        <v>28</v>
      </c>
      <c r="L498" s="2" t="s">
        <v>154</v>
      </c>
      <c r="M498" s="2" t="s">
        <v>30</v>
      </c>
      <c r="N498" s="2" t="s">
        <v>42</v>
      </c>
      <c r="O498" s="2" t="s">
        <v>155</v>
      </c>
      <c r="P498" s="4">
        <v>670.51890000000003</v>
      </c>
      <c r="Q498" s="4">
        <v>3</v>
      </c>
      <c r="R498" s="4">
        <v>-224.42939999999999</v>
      </c>
      <c r="S498" s="2" t="s">
        <v>92</v>
      </c>
      <c r="T498" s="2" t="s">
        <v>34</v>
      </c>
    </row>
    <row r="499" spans="1:20" x14ac:dyDescent="0.25">
      <c r="A499" s="2" t="s">
        <v>1312</v>
      </c>
      <c r="B499" s="3">
        <v>41882</v>
      </c>
      <c r="C499" s="3">
        <v>41885</v>
      </c>
      <c r="D499" s="2" t="s">
        <v>21</v>
      </c>
      <c r="E499" s="2" t="s">
        <v>1313</v>
      </c>
      <c r="F499" s="2" t="s">
        <v>1314</v>
      </c>
      <c r="G499" s="2" t="s">
        <v>24</v>
      </c>
      <c r="H499" s="2" t="s">
        <v>25</v>
      </c>
      <c r="I499" s="2" t="s">
        <v>474</v>
      </c>
      <c r="J499" s="2" t="s">
        <v>475</v>
      </c>
      <c r="K499" s="2" t="s">
        <v>28</v>
      </c>
      <c r="L499" s="2" t="s">
        <v>235</v>
      </c>
      <c r="M499" s="2" t="s">
        <v>30</v>
      </c>
      <c r="N499" s="2" t="s">
        <v>31</v>
      </c>
      <c r="O499" s="2" t="s">
        <v>236</v>
      </c>
      <c r="P499" s="4">
        <v>10.103199999999999</v>
      </c>
      <c r="Q499" s="4">
        <v>4</v>
      </c>
      <c r="R499" s="4">
        <v>-4.7454000000000001</v>
      </c>
      <c r="S499" s="2" t="s">
        <v>92</v>
      </c>
      <c r="T499" s="2" t="s">
        <v>34</v>
      </c>
    </row>
    <row r="500" spans="1:20" x14ac:dyDescent="0.25">
      <c r="A500" s="2" t="s">
        <v>1312</v>
      </c>
      <c r="B500" s="3">
        <v>41882</v>
      </c>
      <c r="C500" s="3">
        <v>41885</v>
      </c>
      <c r="D500" s="2" t="s">
        <v>21</v>
      </c>
      <c r="E500" s="2" t="s">
        <v>1313</v>
      </c>
      <c r="F500" s="2" t="s">
        <v>1314</v>
      </c>
      <c r="G500" s="2" t="s">
        <v>24</v>
      </c>
      <c r="H500" s="2" t="s">
        <v>25</v>
      </c>
      <c r="I500" s="2" t="s">
        <v>474</v>
      </c>
      <c r="J500" s="2" t="s">
        <v>475</v>
      </c>
      <c r="K500" s="2" t="s">
        <v>28</v>
      </c>
      <c r="L500" s="2" t="s">
        <v>131</v>
      </c>
      <c r="M500" s="2" t="s">
        <v>30</v>
      </c>
      <c r="N500" s="2" t="s">
        <v>31</v>
      </c>
      <c r="O500" s="2" t="s">
        <v>132</v>
      </c>
      <c r="P500" s="4">
        <v>352.74099999999999</v>
      </c>
      <c r="Q500" s="4">
        <v>9</v>
      </c>
      <c r="R500" s="4">
        <v>26.897600000000001</v>
      </c>
      <c r="S500" s="2" t="s">
        <v>92</v>
      </c>
      <c r="T500" s="2" t="s">
        <v>34</v>
      </c>
    </row>
    <row r="501" spans="1:20" x14ac:dyDescent="0.25">
      <c r="A501" s="2" t="s">
        <v>1315</v>
      </c>
      <c r="B501" s="3">
        <v>41951</v>
      </c>
      <c r="C501" s="3">
        <v>41955</v>
      </c>
      <c r="D501" s="2" t="s">
        <v>21</v>
      </c>
      <c r="E501" s="2" t="s">
        <v>268</v>
      </c>
      <c r="F501" s="2" t="s">
        <v>269</v>
      </c>
      <c r="G501" s="2" t="s">
        <v>58</v>
      </c>
      <c r="H501" s="2" t="s">
        <v>25</v>
      </c>
      <c r="I501" s="2" t="s">
        <v>274</v>
      </c>
      <c r="J501" s="2" t="s">
        <v>146</v>
      </c>
      <c r="K501" s="2" t="s">
        <v>147</v>
      </c>
      <c r="L501" s="2" t="s">
        <v>99</v>
      </c>
      <c r="M501" s="2" t="s">
        <v>30</v>
      </c>
      <c r="N501" s="2" t="s">
        <v>42</v>
      </c>
      <c r="O501" s="2" t="s">
        <v>100</v>
      </c>
      <c r="P501" s="4">
        <v>1054.1466</v>
      </c>
      <c r="Q501" s="4">
        <v>2</v>
      </c>
      <c r="R501" s="4">
        <v>-163.20359999999999</v>
      </c>
      <c r="S501" s="2" t="s">
        <v>75</v>
      </c>
      <c r="T501" s="2" t="s">
        <v>93</v>
      </c>
    </row>
    <row r="502" spans="1:20" x14ac:dyDescent="0.25">
      <c r="A502" s="2" t="s">
        <v>1316</v>
      </c>
      <c r="B502" s="3">
        <v>41693</v>
      </c>
      <c r="C502" s="3">
        <v>41695</v>
      </c>
      <c r="D502" s="2" t="s">
        <v>21</v>
      </c>
      <c r="E502" s="2" t="s">
        <v>1317</v>
      </c>
      <c r="F502" s="2" t="s">
        <v>1318</v>
      </c>
      <c r="G502" s="2" t="s">
        <v>38</v>
      </c>
      <c r="H502" s="2" t="s">
        <v>25</v>
      </c>
      <c r="I502" s="2" t="s">
        <v>1319</v>
      </c>
      <c r="J502" s="2" t="s">
        <v>632</v>
      </c>
      <c r="K502" s="2" t="s">
        <v>82</v>
      </c>
      <c r="L502" s="2" t="s">
        <v>139</v>
      </c>
      <c r="M502" s="2" t="s">
        <v>30</v>
      </c>
      <c r="N502" s="2" t="s">
        <v>42</v>
      </c>
      <c r="O502" s="2" t="s">
        <v>140</v>
      </c>
      <c r="P502" s="4">
        <v>320.73860000000002</v>
      </c>
      <c r="Q502" s="4">
        <v>2</v>
      </c>
      <c r="R502" s="4">
        <v>31.272400000000001</v>
      </c>
      <c r="S502" s="2" t="s">
        <v>53</v>
      </c>
      <c r="T502" s="2" t="s">
        <v>101</v>
      </c>
    </row>
    <row r="503" spans="1:20" x14ac:dyDescent="0.25">
      <c r="A503" s="2" t="s">
        <v>1320</v>
      </c>
      <c r="B503" s="3">
        <v>41921</v>
      </c>
      <c r="C503" s="3">
        <v>41921</v>
      </c>
      <c r="D503" s="2" t="s">
        <v>142</v>
      </c>
      <c r="E503" s="2" t="s">
        <v>951</v>
      </c>
      <c r="F503" s="2" t="s">
        <v>952</v>
      </c>
      <c r="G503" s="2" t="s">
        <v>58</v>
      </c>
      <c r="H503" s="2" t="s">
        <v>25</v>
      </c>
      <c r="I503" s="2" t="s">
        <v>233</v>
      </c>
      <c r="J503" s="2" t="s">
        <v>234</v>
      </c>
      <c r="K503" s="2" t="s">
        <v>82</v>
      </c>
      <c r="L503" s="2" t="s">
        <v>207</v>
      </c>
      <c r="M503" s="2" t="s">
        <v>30</v>
      </c>
      <c r="N503" s="2" t="s">
        <v>31</v>
      </c>
      <c r="O503" s="2" t="s">
        <v>208</v>
      </c>
      <c r="P503" s="4">
        <v>89.892700000000005</v>
      </c>
      <c r="Q503" s="4">
        <v>5</v>
      </c>
      <c r="R503" s="4">
        <v>-36.444000000000003</v>
      </c>
      <c r="S503" s="2" t="s">
        <v>121</v>
      </c>
      <c r="T503" s="2" t="s">
        <v>224</v>
      </c>
    </row>
    <row r="504" spans="1:20" x14ac:dyDescent="0.25">
      <c r="A504" s="2" t="s">
        <v>1321</v>
      </c>
      <c r="B504" s="3">
        <v>42058</v>
      </c>
      <c r="C504" s="3">
        <v>42061</v>
      </c>
      <c r="D504" s="2" t="s">
        <v>21</v>
      </c>
      <c r="E504" s="2" t="s">
        <v>1322</v>
      </c>
      <c r="F504" s="2" t="s">
        <v>1323</v>
      </c>
      <c r="G504" s="2" t="s">
        <v>24</v>
      </c>
      <c r="H504" s="2" t="s">
        <v>25</v>
      </c>
      <c r="I504" s="2" t="s">
        <v>445</v>
      </c>
      <c r="J504" s="2" t="s">
        <v>138</v>
      </c>
      <c r="K504" s="2" t="s">
        <v>82</v>
      </c>
      <c r="L504" s="2" t="s">
        <v>933</v>
      </c>
      <c r="M504" s="2" t="s">
        <v>30</v>
      </c>
      <c r="N504" s="2" t="s">
        <v>162</v>
      </c>
      <c r="O504" s="2" t="s">
        <v>934</v>
      </c>
      <c r="P504" s="4">
        <v>2480.4229999999998</v>
      </c>
      <c r="Q504" s="4">
        <v>2</v>
      </c>
      <c r="R504" s="4">
        <v>32.823399999999999</v>
      </c>
      <c r="S504" s="2" t="s">
        <v>92</v>
      </c>
      <c r="T504" s="2" t="s">
        <v>101</v>
      </c>
    </row>
    <row r="505" spans="1:20" x14ac:dyDescent="0.25">
      <c r="A505" s="2" t="s">
        <v>1321</v>
      </c>
      <c r="B505" s="3">
        <v>42058</v>
      </c>
      <c r="C505" s="3">
        <v>42061</v>
      </c>
      <c r="D505" s="2" t="s">
        <v>21</v>
      </c>
      <c r="E505" s="2" t="s">
        <v>1322</v>
      </c>
      <c r="F505" s="2" t="s">
        <v>1323</v>
      </c>
      <c r="G505" s="2" t="s">
        <v>24</v>
      </c>
      <c r="H505" s="2" t="s">
        <v>25</v>
      </c>
      <c r="I505" s="2" t="s">
        <v>445</v>
      </c>
      <c r="J505" s="2" t="s">
        <v>138</v>
      </c>
      <c r="K505" s="2" t="s">
        <v>82</v>
      </c>
      <c r="L505" s="2" t="s">
        <v>45</v>
      </c>
      <c r="M505" s="2" t="s">
        <v>30</v>
      </c>
      <c r="N505" s="2" t="s">
        <v>31</v>
      </c>
      <c r="O505" s="2" t="s">
        <v>46</v>
      </c>
      <c r="P505" s="4">
        <v>140.64230000000001</v>
      </c>
      <c r="Q505" s="4">
        <v>8</v>
      </c>
      <c r="R505" s="4">
        <v>67.537499999999994</v>
      </c>
      <c r="S505" s="2" t="s">
        <v>92</v>
      </c>
      <c r="T505" s="2" t="s">
        <v>101</v>
      </c>
    </row>
    <row r="506" spans="1:20" x14ac:dyDescent="0.25">
      <c r="A506" s="2" t="s">
        <v>1324</v>
      </c>
      <c r="B506" s="3">
        <v>42280</v>
      </c>
      <c r="C506" s="3">
        <v>42280</v>
      </c>
      <c r="D506" s="2" t="s">
        <v>55</v>
      </c>
      <c r="E506" s="2" t="s">
        <v>519</v>
      </c>
      <c r="F506" s="2" t="s">
        <v>520</v>
      </c>
      <c r="G506" s="2" t="s">
        <v>24</v>
      </c>
      <c r="H506" s="2" t="s">
        <v>25</v>
      </c>
      <c r="I506" s="2" t="s">
        <v>402</v>
      </c>
      <c r="J506" s="2" t="s">
        <v>403</v>
      </c>
      <c r="K506" s="2" t="s">
        <v>147</v>
      </c>
      <c r="L506" s="2" t="s">
        <v>453</v>
      </c>
      <c r="M506" s="2" t="s">
        <v>30</v>
      </c>
      <c r="N506" s="2" t="s">
        <v>42</v>
      </c>
      <c r="O506" s="2" t="s">
        <v>454</v>
      </c>
      <c r="P506" s="4">
        <v>248.96600000000001</v>
      </c>
      <c r="Q506" s="4">
        <v>3</v>
      </c>
      <c r="R506" s="4">
        <v>-82.313299999999998</v>
      </c>
      <c r="S506" s="2" t="s">
        <v>121</v>
      </c>
      <c r="T506" s="2" t="s">
        <v>224</v>
      </c>
    </row>
    <row r="507" spans="1:20" x14ac:dyDescent="0.25">
      <c r="A507" s="2" t="s">
        <v>1324</v>
      </c>
      <c r="B507" s="3">
        <v>42280</v>
      </c>
      <c r="C507" s="3">
        <v>42280</v>
      </c>
      <c r="D507" s="2" t="s">
        <v>55</v>
      </c>
      <c r="E507" s="2" t="s">
        <v>519</v>
      </c>
      <c r="F507" s="2" t="s">
        <v>520</v>
      </c>
      <c r="G507" s="2" t="s">
        <v>24</v>
      </c>
      <c r="H507" s="2" t="s">
        <v>25</v>
      </c>
      <c r="I507" s="2" t="s">
        <v>402</v>
      </c>
      <c r="J507" s="2" t="s">
        <v>403</v>
      </c>
      <c r="K507" s="2" t="s">
        <v>147</v>
      </c>
      <c r="L507" s="2" t="s">
        <v>154</v>
      </c>
      <c r="M507" s="2" t="s">
        <v>30</v>
      </c>
      <c r="N507" s="2" t="s">
        <v>42</v>
      </c>
      <c r="O507" s="2" t="s">
        <v>155</v>
      </c>
      <c r="P507" s="4">
        <v>454.55739999999997</v>
      </c>
      <c r="Q507" s="4">
        <v>4</v>
      </c>
      <c r="R507" s="4">
        <v>253.94370000000001</v>
      </c>
      <c r="S507" s="2" t="s">
        <v>121</v>
      </c>
      <c r="T507" s="2" t="s">
        <v>224</v>
      </c>
    </row>
    <row r="508" spans="1:20" x14ac:dyDescent="0.25">
      <c r="A508" s="2" t="s">
        <v>1325</v>
      </c>
      <c r="B508" s="3">
        <v>41720</v>
      </c>
      <c r="C508" s="3">
        <v>41724</v>
      </c>
      <c r="D508" s="2" t="s">
        <v>55</v>
      </c>
      <c r="E508" s="2" t="s">
        <v>948</v>
      </c>
      <c r="F508" s="2" t="s">
        <v>949</v>
      </c>
      <c r="G508" s="2" t="s">
        <v>38</v>
      </c>
      <c r="H508" s="2" t="s">
        <v>25</v>
      </c>
      <c r="I508" s="2" t="s">
        <v>398</v>
      </c>
      <c r="J508" s="2" t="s">
        <v>251</v>
      </c>
      <c r="K508" s="2" t="s">
        <v>147</v>
      </c>
      <c r="L508" s="2" t="s">
        <v>316</v>
      </c>
      <c r="M508" s="2" t="s">
        <v>30</v>
      </c>
      <c r="N508" s="2" t="s">
        <v>42</v>
      </c>
      <c r="O508" s="2" t="s">
        <v>317</v>
      </c>
      <c r="P508" s="4">
        <v>481.3252</v>
      </c>
      <c r="Q508" s="4">
        <v>2</v>
      </c>
      <c r="R508" s="4">
        <v>-47.497700000000002</v>
      </c>
      <c r="S508" s="2" t="s">
        <v>75</v>
      </c>
      <c r="T508" s="2" t="s">
        <v>44</v>
      </c>
    </row>
    <row r="509" spans="1:20" x14ac:dyDescent="0.25">
      <c r="A509" s="2" t="s">
        <v>1326</v>
      </c>
      <c r="B509" s="3">
        <v>42505</v>
      </c>
      <c r="C509" s="3">
        <v>42506</v>
      </c>
      <c r="D509" s="2" t="s">
        <v>55</v>
      </c>
      <c r="E509" s="2" t="s">
        <v>1327</v>
      </c>
      <c r="F509" s="2" t="s">
        <v>1328</v>
      </c>
      <c r="G509" s="2" t="s">
        <v>24</v>
      </c>
      <c r="H509" s="2" t="s">
        <v>25</v>
      </c>
      <c r="I509" s="2" t="s">
        <v>491</v>
      </c>
      <c r="J509" s="2" t="s">
        <v>310</v>
      </c>
      <c r="K509" s="2" t="s">
        <v>28</v>
      </c>
      <c r="L509" s="2" t="s">
        <v>218</v>
      </c>
      <c r="M509" s="2" t="s">
        <v>30</v>
      </c>
      <c r="N509" s="2" t="s">
        <v>31</v>
      </c>
      <c r="O509" s="2" t="s">
        <v>219</v>
      </c>
      <c r="P509" s="4">
        <v>136.61879999999999</v>
      </c>
      <c r="Q509" s="4">
        <v>3</v>
      </c>
      <c r="R509" s="4">
        <v>-28.659500000000001</v>
      </c>
      <c r="S509" s="2" t="s">
        <v>33</v>
      </c>
      <c r="T509" s="2" t="s">
        <v>122</v>
      </c>
    </row>
    <row r="510" spans="1:20" x14ac:dyDescent="0.25">
      <c r="A510" s="2" t="s">
        <v>1329</v>
      </c>
      <c r="B510" s="3">
        <v>42759</v>
      </c>
      <c r="C510" s="3">
        <v>42762</v>
      </c>
      <c r="D510" s="2" t="s">
        <v>55</v>
      </c>
      <c r="E510" s="2" t="s">
        <v>731</v>
      </c>
      <c r="F510" s="2" t="s">
        <v>732</v>
      </c>
      <c r="G510" s="2" t="s">
        <v>58</v>
      </c>
      <c r="H510" s="2" t="s">
        <v>25</v>
      </c>
      <c r="I510" s="2" t="s">
        <v>501</v>
      </c>
      <c r="J510" s="2" t="s">
        <v>234</v>
      </c>
      <c r="K510" s="2" t="s">
        <v>82</v>
      </c>
      <c r="L510" s="2" t="s">
        <v>62</v>
      </c>
      <c r="M510" s="2" t="s">
        <v>30</v>
      </c>
      <c r="N510" s="2" t="s">
        <v>63</v>
      </c>
      <c r="O510" s="2" t="s">
        <v>64</v>
      </c>
      <c r="P510" s="4">
        <v>939.61090000000002</v>
      </c>
      <c r="Q510" s="4">
        <v>3</v>
      </c>
      <c r="R510" s="4">
        <v>-463.58339999999998</v>
      </c>
      <c r="S510" s="2" t="s">
        <v>92</v>
      </c>
      <c r="T510" s="2" t="s">
        <v>115</v>
      </c>
    </row>
    <row r="511" spans="1:20" x14ac:dyDescent="0.25">
      <c r="A511" s="2" t="s">
        <v>1329</v>
      </c>
      <c r="B511" s="3">
        <v>42759</v>
      </c>
      <c r="C511" s="3">
        <v>42762</v>
      </c>
      <c r="D511" s="2" t="s">
        <v>55</v>
      </c>
      <c r="E511" s="2" t="s">
        <v>731</v>
      </c>
      <c r="F511" s="2" t="s">
        <v>732</v>
      </c>
      <c r="G511" s="2" t="s">
        <v>58</v>
      </c>
      <c r="H511" s="2" t="s">
        <v>25</v>
      </c>
      <c r="I511" s="2" t="s">
        <v>501</v>
      </c>
      <c r="J511" s="2" t="s">
        <v>234</v>
      </c>
      <c r="K511" s="2" t="s">
        <v>82</v>
      </c>
      <c r="L511" s="2" t="s">
        <v>218</v>
      </c>
      <c r="M511" s="2" t="s">
        <v>30</v>
      </c>
      <c r="N511" s="2" t="s">
        <v>31</v>
      </c>
      <c r="O511" s="2" t="s">
        <v>219</v>
      </c>
      <c r="P511" s="4">
        <v>20.5566</v>
      </c>
      <c r="Q511" s="4">
        <v>5</v>
      </c>
      <c r="R511" s="4">
        <v>-1.5537000000000001</v>
      </c>
      <c r="S511" s="2" t="s">
        <v>92</v>
      </c>
      <c r="T511" s="2" t="s">
        <v>115</v>
      </c>
    </row>
    <row r="512" spans="1:20" x14ac:dyDescent="0.25">
      <c r="A512" s="2" t="s">
        <v>1330</v>
      </c>
      <c r="B512" s="3">
        <v>41975</v>
      </c>
      <c r="C512" s="3">
        <v>41981</v>
      </c>
      <c r="D512" s="2" t="s">
        <v>55</v>
      </c>
      <c r="E512" s="2" t="s">
        <v>456</v>
      </c>
      <c r="F512" s="2" t="s">
        <v>457</v>
      </c>
      <c r="G512" s="2" t="s">
        <v>58</v>
      </c>
      <c r="H512" s="2" t="s">
        <v>25</v>
      </c>
      <c r="I512" s="2" t="s">
        <v>699</v>
      </c>
      <c r="J512" s="2" t="s">
        <v>339</v>
      </c>
      <c r="K512" s="2" t="s">
        <v>82</v>
      </c>
      <c r="L512" s="2" t="s">
        <v>29</v>
      </c>
      <c r="M512" s="2" t="s">
        <v>30</v>
      </c>
      <c r="N512" s="2" t="s">
        <v>31</v>
      </c>
      <c r="O512" s="2" t="s">
        <v>32</v>
      </c>
      <c r="P512" s="4">
        <v>4.9335000000000004</v>
      </c>
      <c r="Q512" s="4">
        <v>13</v>
      </c>
      <c r="R512" s="4">
        <v>2.4676999999999998</v>
      </c>
      <c r="S512" s="2" t="s">
        <v>65</v>
      </c>
      <c r="T512" s="2" t="s">
        <v>76</v>
      </c>
    </row>
    <row r="513" spans="1:20" x14ac:dyDescent="0.25">
      <c r="A513" s="2" t="s">
        <v>1331</v>
      </c>
      <c r="B513" s="3">
        <v>41967</v>
      </c>
      <c r="C513" s="3">
        <v>41967</v>
      </c>
      <c r="D513" s="2" t="s">
        <v>48</v>
      </c>
      <c r="E513" s="2" t="s">
        <v>1332</v>
      </c>
      <c r="F513" s="2" t="s">
        <v>1333</v>
      </c>
      <c r="G513" s="2" t="s">
        <v>58</v>
      </c>
      <c r="H513" s="2" t="s">
        <v>25</v>
      </c>
      <c r="I513" s="2" t="s">
        <v>552</v>
      </c>
      <c r="J513" s="2" t="s">
        <v>322</v>
      </c>
      <c r="K513" s="2" t="s">
        <v>28</v>
      </c>
      <c r="L513" s="2" t="s">
        <v>154</v>
      </c>
      <c r="M513" s="2" t="s">
        <v>30</v>
      </c>
      <c r="N513" s="2" t="s">
        <v>42</v>
      </c>
      <c r="O513" s="2" t="s">
        <v>155</v>
      </c>
      <c r="P513" s="4">
        <v>277.76560000000001</v>
      </c>
      <c r="Q513" s="4">
        <v>4</v>
      </c>
      <c r="R513" s="4">
        <v>134.38810000000001</v>
      </c>
      <c r="S513" s="2" t="s">
        <v>121</v>
      </c>
      <c r="T513" s="2" t="s">
        <v>93</v>
      </c>
    </row>
    <row r="514" spans="1:20" x14ac:dyDescent="0.25">
      <c r="A514" s="2" t="s">
        <v>1334</v>
      </c>
      <c r="B514" s="3">
        <v>41745</v>
      </c>
      <c r="C514" s="3">
        <v>41747</v>
      </c>
      <c r="D514" s="2" t="s">
        <v>55</v>
      </c>
      <c r="E514" s="2" t="s">
        <v>1335</v>
      </c>
      <c r="F514" s="2" t="s">
        <v>1336</v>
      </c>
      <c r="G514" s="2" t="s">
        <v>58</v>
      </c>
      <c r="H514" s="2" t="s">
        <v>25</v>
      </c>
      <c r="I514" s="2" t="s">
        <v>394</v>
      </c>
      <c r="J514" s="2" t="s">
        <v>289</v>
      </c>
      <c r="K514" s="2" t="s">
        <v>82</v>
      </c>
      <c r="L514" s="2" t="s">
        <v>328</v>
      </c>
      <c r="M514" s="2" t="s">
        <v>30</v>
      </c>
      <c r="N514" s="2" t="s">
        <v>63</v>
      </c>
      <c r="O514" s="2" t="s">
        <v>329</v>
      </c>
      <c r="P514" s="4">
        <v>257.23910000000001</v>
      </c>
      <c r="Q514" s="4">
        <v>3</v>
      </c>
      <c r="R514" s="4">
        <v>88.247900000000001</v>
      </c>
      <c r="S514" s="2" t="s">
        <v>53</v>
      </c>
      <c r="T514" s="2" t="s">
        <v>108</v>
      </c>
    </row>
    <row r="515" spans="1:20" x14ac:dyDescent="0.25">
      <c r="A515" s="2" t="s">
        <v>1334</v>
      </c>
      <c r="B515" s="3">
        <v>41745</v>
      </c>
      <c r="C515" s="3">
        <v>41747</v>
      </c>
      <c r="D515" s="2" t="s">
        <v>55</v>
      </c>
      <c r="E515" s="2" t="s">
        <v>1335</v>
      </c>
      <c r="F515" s="2" t="s">
        <v>1336</v>
      </c>
      <c r="G515" s="2" t="s">
        <v>58</v>
      </c>
      <c r="H515" s="2" t="s">
        <v>25</v>
      </c>
      <c r="I515" s="2" t="s">
        <v>394</v>
      </c>
      <c r="J515" s="2" t="s">
        <v>289</v>
      </c>
      <c r="K515" s="2" t="s">
        <v>82</v>
      </c>
      <c r="L515" s="2" t="s">
        <v>618</v>
      </c>
      <c r="M515" s="2" t="s">
        <v>30</v>
      </c>
      <c r="N515" s="2" t="s">
        <v>63</v>
      </c>
      <c r="O515" s="2" t="s">
        <v>619</v>
      </c>
      <c r="P515" s="4">
        <v>255.45330000000001</v>
      </c>
      <c r="Q515" s="4">
        <v>3</v>
      </c>
      <c r="R515" s="4">
        <v>74.373000000000005</v>
      </c>
      <c r="S515" s="2" t="s">
        <v>53</v>
      </c>
      <c r="T515" s="2" t="s">
        <v>108</v>
      </c>
    </row>
    <row r="516" spans="1:20" x14ac:dyDescent="0.25">
      <c r="A516" s="2" t="s">
        <v>1334</v>
      </c>
      <c r="B516" s="3">
        <v>41745</v>
      </c>
      <c r="C516" s="3">
        <v>41747</v>
      </c>
      <c r="D516" s="2" t="s">
        <v>55</v>
      </c>
      <c r="E516" s="2" t="s">
        <v>1335</v>
      </c>
      <c r="F516" s="2" t="s">
        <v>1336</v>
      </c>
      <c r="G516" s="2" t="s">
        <v>58</v>
      </c>
      <c r="H516" s="2" t="s">
        <v>25</v>
      </c>
      <c r="I516" s="2" t="s">
        <v>394</v>
      </c>
      <c r="J516" s="2" t="s">
        <v>289</v>
      </c>
      <c r="K516" s="2" t="s">
        <v>82</v>
      </c>
      <c r="L516" s="2" t="s">
        <v>113</v>
      </c>
      <c r="M516" s="2" t="s">
        <v>30</v>
      </c>
      <c r="N516" s="2" t="s">
        <v>31</v>
      </c>
      <c r="O516" s="2" t="s">
        <v>114</v>
      </c>
      <c r="P516" s="4">
        <v>107.4876</v>
      </c>
      <c r="Q516" s="4">
        <v>4</v>
      </c>
      <c r="R516" s="4">
        <v>78.371300000000005</v>
      </c>
      <c r="S516" s="2" t="s">
        <v>53</v>
      </c>
      <c r="T516" s="2" t="s">
        <v>108</v>
      </c>
    </row>
    <row r="517" spans="1:20" x14ac:dyDescent="0.25">
      <c r="A517" s="2" t="s">
        <v>1337</v>
      </c>
      <c r="B517" s="3">
        <v>41651</v>
      </c>
      <c r="C517" s="3">
        <v>41651</v>
      </c>
      <c r="D517" s="2" t="s">
        <v>55</v>
      </c>
      <c r="E517" s="2" t="s">
        <v>1338</v>
      </c>
      <c r="F517" s="2" t="s">
        <v>1339</v>
      </c>
      <c r="G517" s="2" t="s">
        <v>58</v>
      </c>
      <c r="H517" s="2" t="s">
        <v>25</v>
      </c>
      <c r="I517" s="2" t="s">
        <v>449</v>
      </c>
      <c r="J517" s="2" t="s">
        <v>98</v>
      </c>
      <c r="K517" s="2" t="s">
        <v>82</v>
      </c>
      <c r="L517" s="2" t="s">
        <v>612</v>
      </c>
      <c r="M517" s="2" t="s">
        <v>30</v>
      </c>
      <c r="N517" s="2" t="s">
        <v>162</v>
      </c>
      <c r="O517" s="2" t="s">
        <v>613</v>
      </c>
      <c r="P517" s="4">
        <v>387.80279999999999</v>
      </c>
      <c r="Q517" s="4">
        <v>5</v>
      </c>
      <c r="R517" s="4">
        <v>111.8396</v>
      </c>
      <c r="S517" s="2" t="s">
        <v>121</v>
      </c>
      <c r="T517" s="2" t="s">
        <v>115</v>
      </c>
    </row>
    <row r="518" spans="1:20" x14ac:dyDescent="0.25">
      <c r="A518" s="2" t="s">
        <v>1340</v>
      </c>
      <c r="B518" s="3">
        <v>42927</v>
      </c>
      <c r="C518" s="3">
        <v>42927</v>
      </c>
      <c r="D518" s="2" t="s">
        <v>55</v>
      </c>
      <c r="E518" s="2" t="s">
        <v>1341</v>
      </c>
      <c r="F518" s="2" t="s">
        <v>1342</v>
      </c>
      <c r="G518" s="2" t="s">
        <v>58</v>
      </c>
      <c r="H518" s="2" t="s">
        <v>25</v>
      </c>
      <c r="I518" s="2" t="s">
        <v>179</v>
      </c>
      <c r="J518" s="2" t="s">
        <v>180</v>
      </c>
      <c r="K518" s="2" t="s">
        <v>147</v>
      </c>
      <c r="L518" s="2" t="s">
        <v>131</v>
      </c>
      <c r="M518" s="2" t="s">
        <v>30</v>
      </c>
      <c r="N518" s="2" t="s">
        <v>31</v>
      </c>
      <c r="O518" s="2" t="s">
        <v>132</v>
      </c>
      <c r="P518" s="4">
        <v>17.830100000000002</v>
      </c>
      <c r="Q518" s="4">
        <v>1</v>
      </c>
      <c r="R518" s="4">
        <v>-2.2519999999999998</v>
      </c>
      <c r="S518" s="2" t="s">
        <v>121</v>
      </c>
      <c r="T518" s="2" t="s">
        <v>86</v>
      </c>
    </row>
    <row r="519" spans="1:20" x14ac:dyDescent="0.25">
      <c r="A519" s="2" t="s">
        <v>1343</v>
      </c>
      <c r="B519" s="3">
        <v>42318</v>
      </c>
      <c r="C519" s="3">
        <v>42322</v>
      </c>
      <c r="D519" s="2" t="s">
        <v>21</v>
      </c>
      <c r="E519" s="2" t="s">
        <v>1341</v>
      </c>
      <c r="F519" s="2" t="s">
        <v>1342</v>
      </c>
      <c r="G519" s="2" t="s">
        <v>58</v>
      </c>
      <c r="H519" s="2" t="s">
        <v>25</v>
      </c>
      <c r="I519" s="2" t="s">
        <v>138</v>
      </c>
      <c r="J519" s="2" t="s">
        <v>407</v>
      </c>
      <c r="K519" s="2" t="s">
        <v>28</v>
      </c>
      <c r="L519" s="2" t="s">
        <v>66</v>
      </c>
      <c r="M519" s="2" t="s">
        <v>30</v>
      </c>
      <c r="N519" s="2" t="s">
        <v>31</v>
      </c>
      <c r="O519" s="2" t="s">
        <v>67</v>
      </c>
      <c r="P519" s="4">
        <v>24.494499999999999</v>
      </c>
      <c r="Q519" s="4">
        <v>2</v>
      </c>
      <c r="R519" s="4">
        <v>9.7728999999999999</v>
      </c>
      <c r="S519" s="2" t="s">
        <v>75</v>
      </c>
      <c r="T519" s="2" t="s">
        <v>93</v>
      </c>
    </row>
    <row r="520" spans="1:20" x14ac:dyDescent="0.25">
      <c r="A520" s="2" t="s">
        <v>1344</v>
      </c>
      <c r="B520" s="3">
        <v>42825</v>
      </c>
      <c r="C520" s="3">
        <v>42825</v>
      </c>
      <c r="D520" s="2" t="s">
        <v>48</v>
      </c>
      <c r="E520" s="2" t="s">
        <v>842</v>
      </c>
      <c r="F520" s="2" t="s">
        <v>843</v>
      </c>
      <c r="G520" s="2" t="s">
        <v>58</v>
      </c>
      <c r="H520" s="2" t="s">
        <v>25</v>
      </c>
      <c r="I520" s="2" t="s">
        <v>505</v>
      </c>
      <c r="J520" s="2" t="s">
        <v>244</v>
      </c>
      <c r="K520" s="2" t="s">
        <v>61</v>
      </c>
      <c r="L520" s="2" t="s">
        <v>252</v>
      </c>
      <c r="M520" s="2" t="s">
        <v>30</v>
      </c>
      <c r="N520" s="2" t="s">
        <v>31</v>
      </c>
      <c r="O520" s="2" t="s">
        <v>253</v>
      </c>
      <c r="P520" s="4">
        <v>116.0188</v>
      </c>
      <c r="Q520" s="4">
        <v>4</v>
      </c>
      <c r="R520" s="4">
        <v>31.141100000000002</v>
      </c>
      <c r="S520" s="2" t="s">
        <v>121</v>
      </c>
      <c r="T520" s="2" t="s">
        <v>44</v>
      </c>
    </row>
    <row r="521" spans="1:20" x14ac:dyDescent="0.25">
      <c r="A521" s="2" t="s">
        <v>1345</v>
      </c>
      <c r="B521" s="3">
        <v>42239</v>
      </c>
      <c r="C521" s="3">
        <v>42242</v>
      </c>
      <c r="D521" s="2" t="s">
        <v>55</v>
      </c>
      <c r="E521" s="2" t="s">
        <v>597</v>
      </c>
      <c r="F521" s="2" t="s">
        <v>598</v>
      </c>
      <c r="G521" s="2" t="s">
        <v>58</v>
      </c>
      <c r="H521" s="2" t="s">
        <v>25</v>
      </c>
      <c r="I521" s="2" t="s">
        <v>243</v>
      </c>
      <c r="J521" s="2" t="s">
        <v>244</v>
      </c>
      <c r="K521" s="2" t="s">
        <v>61</v>
      </c>
      <c r="L521" s="2" t="s">
        <v>252</v>
      </c>
      <c r="M521" s="2" t="s">
        <v>30</v>
      </c>
      <c r="N521" s="2" t="s">
        <v>31</v>
      </c>
      <c r="O521" s="2" t="s">
        <v>253</v>
      </c>
      <c r="P521" s="4">
        <v>27.0563</v>
      </c>
      <c r="Q521" s="4">
        <v>5</v>
      </c>
      <c r="R521" s="4">
        <v>13.4398</v>
      </c>
      <c r="S521" s="2" t="s">
        <v>92</v>
      </c>
      <c r="T521" s="2" t="s">
        <v>34</v>
      </c>
    </row>
    <row r="522" spans="1:20" x14ac:dyDescent="0.25">
      <c r="A522" s="2" t="s">
        <v>1346</v>
      </c>
      <c r="B522" s="3">
        <v>42810</v>
      </c>
      <c r="C522" s="3">
        <v>42815</v>
      </c>
      <c r="D522" s="2" t="s">
        <v>55</v>
      </c>
      <c r="E522" s="2" t="s">
        <v>1347</v>
      </c>
      <c r="F522" s="2" t="s">
        <v>1348</v>
      </c>
      <c r="G522" s="2" t="s">
        <v>38</v>
      </c>
      <c r="H522" s="2" t="s">
        <v>25</v>
      </c>
      <c r="I522" s="2" t="s">
        <v>105</v>
      </c>
      <c r="J522" s="2" t="s">
        <v>106</v>
      </c>
      <c r="K522" s="2" t="s">
        <v>61</v>
      </c>
      <c r="L522" s="2" t="s">
        <v>66</v>
      </c>
      <c r="M522" s="2" t="s">
        <v>30</v>
      </c>
      <c r="N522" s="2" t="s">
        <v>31</v>
      </c>
      <c r="O522" s="2" t="s">
        <v>67</v>
      </c>
      <c r="P522" s="4">
        <v>76.809100000000001</v>
      </c>
      <c r="Q522" s="4">
        <v>6</v>
      </c>
      <c r="R522" s="4">
        <v>-7.9936999999999996</v>
      </c>
      <c r="S522" s="2" t="s">
        <v>85</v>
      </c>
      <c r="T522" s="2" t="s">
        <v>44</v>
      </c>
    </row>
    <row r="523" spans="1:20" x14ac:dyDescent="0.25">
      <c r="A523" s="2" t="s">
        <v>1346</v>
      </c>
      <c r="B523" s="3">
        <v>42810</v>
      </c>
      <c r="C523" s="3">
        <v>42815</v>
      </c>
      <c r="D523" s="2" t="s">
        <v>55</v>
      </c>
      <c r="E523" s="2" t="s">
        <v>1347</v>
      </c>
      <c r="F523" s="2" t="s">
        <v>1348</v>
      </c>
      <c r="G523" s="2" t="s">
        <v>38</v>
      </c>
      <c r="H523" s="2" t="s">
        <v>25</v>
      </c>
      <c r="I523" s="2" t="s">
        <v>105</v>
      </c>
      <c r="J523" s="2" t="s">
        <v>106</v>
      </c>
      <c r="K523" s="2" t="s">
        <v>61</v>
      </c>
      <c r="L523" s="2" t="s">
        <v>161</v>
      </c>
      <c r="M523" s="2" t="s">
        <v>30</v>
      </c>
      <c r="N523" s="2" t="s">
        <v>162</v>
      </c>
      <c r="O523" s="2" t="s">
        <v>163</v>
      </c>
      <c r="P523" s="4">
        <v>461.60750000000002</v>
      </c>
      <c r="Q523" s="4">
        <v>1</v>
      </c>
      <c r="R523" s="4">
        <v>-295.92270000000002</v>
      </c>
      <c r="S523" s="2" t="s">
        <v>85</v>
      </c>
      <c r="T523" s="2" t="s">
        <v>44</v>
      </c>
    </row>
    <row r="524" spans="1:20" x14ac:dyDescent="0.25">
      <c r="A524" s="2" t="s">
        <v>1349</v>
      </c>
      <c r="B524" s="3">
        <v>42659</v>
      </c>
      <c r="C524" s="3">
        <v>42659</v>
      </c>
      <c r="D524" s="2" t="s">
        <v>142</v>
      </c>
      <c r="E524" s="2" t="s">
        <v>1350</v>
      </c>
      <c r="F524" s="2" t="s">
        <v>1351</v>
      </c>
      <c r="G524" s="2" t="s">
        <v>24</v>
      </c>
      <c r="H524" s="2" t="s">
        <v>25</v>
      </c>
      <c r="I524" s="2" t="s">
        <v>977</v>
      </c>
      <c r="J524" s="2" t="s">
        <v>475</v>
      </c>
      <c r="K524" s="2" t="s">
        <v>28</v>
      </c>
      <c r="L524" s="2" t="s">
        <v>311</v>
      </c>
      <c r="M524" s="2" t="s">
        <v>30</v>
      </c>
      <c r="N524" s="2" t="s">
        <v>63</v>
      </c>
      <c r="O524" s="2" t="s">
        <v>312</v>
      </c>
      <c r="P524" s="4">
        <v>143.66480000000001</v>
      </c>
      <c r="Q524" s="4">
        <v>3</v>
      </c>
      <c r="R524" s="4">
        <v>-2.9220000000000002</v>
      </c>
      <c r="S524" s="2" t="s">
        <v>121</v>
      </c>
      <c r="T524" s="2" t="s">
        <v>224</v>
      </c>
    </row>
    <row r="525" spans="1:20" x14ac:dyDescent="0.25">
      <c r="A525" s="2" t="s">
        <v>1352</v>
      </c>
      <c r="B525" s="3">
        <v>41881</v>
      </c>
      <c r="C525" s="3">
        <v>41884</v>
      </c>
      <c r="D525" s="2" t="s">
        <v>55</v>
      </c>
      <c r="E525" s="2" t="s">
        <v>1060</v>
      </c>
      <c r="F525" s="2" t="s">
        <v>1061</v>
      </c>
      <c r="G525" s="2" t="s">
        <v>24</v>
      </c>
      <c r="H525" s="2" t="s">
        <v>25</v>
      </c>
      <c r="I525" s="2" t="s">
        <v>233</v>
      </c>
      <c r="J525" s="2" t="s">
        <v>234</v>
      </c>
      <c r="K525" s="2" t="s">
        <v>82</v>
      </c>
      <c r="L525" s="2" t="s">
        <v>83</v>
      </c>
      <c r="M525" s="2" t="s">
        <v>30</v>
      </c>
      <c r="N525" s="2" t="s">
        <v>42</v>
      </c>
      <c r="O525" s="2" t="s">
        <v>84</v>
      </c>
      <c r="P525" s="4">
        <v>621.87760000000003</v>
      </c>
      <c r="Q525" s="4">
        <v>2</v>
      </c>
      <c r="R525" s="4">
        <v>13.5259</v>
      </c>
      <c r="S525" s="2" t="s">
        <v>92</v>
      </c>
      <c r="T525" s="2" t="s">
        <v>34</v>
      </c>
    </row>
    <row r="526" spans="1:20" x14ac:dyDescent="0.25">
      <c r="A526" s="2" t="s">
        <v>1353</v>
      </c>
      <c r="B526" s="3">
        <v>42161</v>
      </c>
      <c r="C526" s="3">
        <v>42163</v>
      </c>
      <c r="D526" s="2" t="s">
        <v>21</v>
      </c>
      <c r="E526" s="2" t="s">
        <v>1335</v>
      </c>
      <c r="F526" s="2" t="s">
        <v>1336</v>
      </c>
      <c r="G526" s="2" t="s">
        <v>58</v>
      </c>
      <c r="H526" s="2" t="s">
        <v>25</v>
      </c>
      <c r="I526" s="2" t="s">
        <v>594</v>
      </c>
      <c r="J526" s="2" t="s">
        <v>595</v>
      </c>
      <c r="K526" s="2" t="s">
        <v>61</v>
      </c>
      <c r="L526" s="2" t="s">
        <v>174</v>
      </c>
      <c r="M526" s="2" t="s">
        <v>30</v>
      </c>
      <c r="N526" s="2" t="s">
        <v>31</v>
      </c>
      <c r="O526" s="2" t="s">
        <v>175</v>
      </c>
      <c r="P526" s="4">
        <v>107.88509999999999</v>
      </c>
      <c r="Q526" s="4">
        <v>5</v>
      </c>
      <c r="R526" s="4">
        <v>10.097</v>
      </c>
      <c r="S526" s="2" t="s">
        <v>53</v>
      </c>
      <c r="T526" s="2" t="s">
        <v>133</v>
      </c>
    </row>
    <row r="527" spans="1:20" x14ac:dyDescent="0.25">
      <c r="A527" s="2" t="s">
        <v>1354</v>
      </c>
      <c r="B527" s="3">
        <v>41999</v>
      </c>
      <c r="C527" s="3">
        <v>42002</v>
      </c>
      <c r="D527" s="2" t="s">
        <v>21</v>
      </c>
      <c r="E527" s="2" t="s">
        <v>1104</v>
      </c>
      <c r="F527" s="2" t="s">
        <v>1105</v>
      </c>
      <c r="G527" s="2" t="s">
        <v>24</v>
      </c>
      <c r="H527" s="2" t="s">
        <v>25</v>
      </c>
      <c r="I527" s="2" t="s">
        <v>97</v>
      </c>
      <c r="J527" s="2" t="s">
        <v>98</v>
      </c>
      <c r="K527" s="2" t="s">
        <v>82</v>
      </c>
      <c r="L527" s="2" t="s">
        <v>820</v>
      </c>
      <c r="M527" s="2" t="s">
        <v>30</v>
      </c>
      <c r="N527" s="2" t="s">
        <v>162</v>
      </c>
      <c r="O527" s="2" t="s">
        <v>821</v>
      </c>
      <c r="P527" s="4">
        <v>266.48169999999999</v>
      </c>
      <c r="Q527" s="4">
        <v>2</v>
      </c>
      <c r="R527" s="4">
        <v>-92.087199999999996</v>
      </c>
      <c r="S527" s="2" t="s">
        <v>92</v>
      </c>
      <c r="T527" s="2" t="s">
        <v>76</v>
      </c>
    </row>
    <row r="528" spans="1:20" x14ac:dyDescent="0.25">
      <c r="A528" s="2" t="s">
        <v>1355</v>
      </c>
      <c r="B528" s="3">
        <v>42326</v>
      </c>
      <c r="C528" s="3">
        <v>42331</v>
      </c>
      <c r="D528" s="2" t="s">
        <v>55</v>
      </c>
      <c r="E528" s="2" t="s">
        <v>672</v>
      </c>
      <c r="F528" s="2" t="s">
        <v>673</v>
      </c>
      <c r="G528" s="2" t="s">
        <v>24</v>
      </c>
      <c r="H528" s="2" t="s">
        <v>25</v>
      </c>
      <c r="I528" s="2" t="s">
        <v>861</v>
      </c>
      <c r="J528" s="2" t="s">
        <v>403</v>
      </c>
      <c r="K528" s="2" t="s">
        <v>147</v>
      </c>
      <c r="L528" s="2" t="s">
        <v>899</v>
      </c>
      <c r="M528" s="2" t="s">
        <v>30</v>
      </c>
      <c r="N528" s="2" t="s">
        <v>63</v>
      </c>
      <c r="O528" s="2" t="s">
        <v>900</v>
      </c>
      <c r="P528" s="4">
        <v>702.85410000000002</v>
      </c>
      <c r="Q528" s="4">
        <v>3</v>
      </c>
      <c r="R528" s="4">
        <v>-367.63049999999998</v>
      </c>
      <c r="S528" s="2" t="s">
        <v>85</v>
      </c>
      <c r="T528" s="2" t="s">
        <v>93</v>
      </c>
    </row>
    <row r="529" spans="1:20" x14ac:dyDescent="0.25">
      <c r="A529" s="2" t="s">
        <v>1356</v>
      </c>
      <c r="B529" s="3">
        <v>43043</v>
      </c>
      <c r="C529" s="3">
        <v>43049</v>
      </c>
      <c r="D529" s="2" t="s">
        <v>55</v>
      </c>
      <c r="E529" s="2" t="s">
        <v>1357</v>
      </c>
      <c r="F529" s="2" t="s">
        <v>1358</v>
      </c>
      <c r="G529" s="2" t="s">
        <v>58</v>
      </c>
      <c r="H529" s="2" t="s">
        <v>25</v>
      </c>
      <c r="I529" s="2" t="s">
        <v>469</v>
      </c>
      <c r="J529" s="2" t="s">
        <v>470</v>
      </c>
      <c r="K529" s="2" t="s">
        <v>28</v>
      </c>
      <c r="L529" s="2" t="s">
        <v>29</v>
      </c>
      <c r="M529" s="2" t="s">
        <v>30</v>
      </c>
      <c r="N529" s="2" t="s">
        <v>31</v>
      </c>
      <c r="O529" s="2" t="s">
        <v>32</v>
      </c>
      <c r="P529" s="4">
        <v>45.020800000000001</v>
      </c>
      <c r="Q529" s="4">
        <v>3</v>
      </c>
      <c r="R529" s="4">
        <v>6.7054999999999998</v>
      </c>
      <c r="S529" s="2" t="s">
        <v>65</v>
      </c>
      <c r="T529" s="2" t="s">
        <v>93</v>
      </c>
    </row>
    <row r="530" spans="1:20" x14ac:dyDescent="0.25">
      <c r="A530" s="2" t="s">
        <v>1359</v>
      </c>
      <c r="B530" s="3">
        <v>42880</v>
      </c>
      <c r="C530" s="3">
        <v>42886</v>
      </c>
      <c r="D530" s="2" t="s">
        <v>55</v>
      </c>
      <c r="E530" s="2" t="s">
        <v>1196</v>
      </c>
      <c r="F530" s="2" t="s">
        <v>1197</v>
      </c>
      <c r="G530" s="2" t="s">
        <v>38</v>
      </c>
      <c r="H530" s="2" t="s">
        <v>25</v>
      </c>
      <c r="I530" s="2" t="s">
        <v>243</v>
      </c>
      <c r="J530" s="2" t="s">
        <v>244</v>
      </c>
      <c r="K530" s="2" t="s">
        <v>61</v>
      </c>
      <c r="L530" s="2" t="s">
        <v>186</v>
      </c>
      <c r="M530" s="2" t="s">
        <v>30</v>
      </c>
      <c r="N530" s="2" t="s">
        <v>31</v>
      </c>
      <c r="O530" s="2" t="s">
        <v>187</v>
      </c>
      <c r="P530" s="4">
        <v>233.99080000000001</v>
      </c>
      <c r="Q530" s="4">
        <v>1</v>
      </c>
      <c r="R530" s="4">
        <v>33.785800000000002</v>
      </c>
      <c r="S530" s="2" t="s">
        <v>65</v>
      </c>
      <c r="T530" s="2" t="s">
        <v>122</v>
      </c>
    </row>
    <row r="531" spans="1:20" x14ac:dyDescent="0.25">
      <c r="A531" s="2" t="s">
        <v>1360</v>
      </c>
      <c r="B531" s="3">
        <v>42565</v>
      </c>
      <c r="C531" s="3">
        <v>42566</v>
      </c>
      <c r="D531" s="2" t="s">
        <v>21</v>
      </c>
      <c r="E531" s="2" t="s">
        <v>1361</v>
      </c>
      <c r="F531" s="2" t="s">
        <v>1362</v>
      </c>
      <c r="G531" s="2" t="s">
        <v>38</v>
      </c>
      <c r="H531" s="2" t="s">
        <v>25</v>
      </c>
      <c r="I531" s="2" t="s">
        <v>51</v>
      </c>
      <c r="J531" s="2" t="s">
        <v>52</v>
      </c>
      <c r="K531" s="2" t="s">
        <v>28</v>
      </c>
      <c r="L531" s="2" t="s">
        <v>933</v>
      </c>
      <c r="M531" s="2" t="s">
        <v>30</v>
      </c>
      <c r="N531" s="2" t="s">
        <v>162</v>
      </c>
      <c r="O531" s="2" t="s">
        <v>934</v>
      </c>
      <c r="P531" s="4">
        <v>1051.9123999999999</v>
      </c>
      <c r="Q531" s="4">
        <v>9</v>
      </c>
      <c r="R531" s="4">
        <v>-551.96360000000004</v>
      </c>
      <c r="S531" s="2" t="s">
        <v>33</v>
      </c>
      <c r="T531" s="2" t="s">
        <v>86</v>
      </c>
    </row>
    <row r="532" spans="1:20" x14ac:dyDescent="0.25">
      <c r="A532" s="2" t="s">
        <v>1360</v>
      </c>
      <c r="B532" s="3">
        <v>42565</v>
      </c>
      <c r="C532" s="3">
        <v>42566</v>
      </c>
      <c r="D532" s="2" t="s">
        <v>21</v>
      </c>
      <c r="E532" s="2" t="s">
        <v>1361</v>
      </c>
      <c r="F532" s="2" t="s">
        <v>1362</v>
      </c>
      <c r="G532" s="2" t="s">
        <v>38</v>
      </c>
      <c r="H532" s="2" t="s">
        <v>25</v>
      </c>
      <c r="I532" s="2" t="s">
        <v>51</v>
      </c>
      <c r="J532" s="2" t="s">
        <v>52</v>
      </c>
      <c r="K532" s="2" t="s">
        <v>28</v>
      </c>
      <c r="L532" s="2" t="s">
        <v>113</v>
      </c>
      <c r="M532" s="2" t="s">
        <v>30</v>
      </c>
      <c r="N532" s="2" t="s">
        <v>31</v>
      </c>
      <c r="O532" s="2" t="s">
        <v>114</v>
      </c>
      <c r="P532" s="4">
        <v>65.6815</v>
      </c>
      <c r="Q532" s="4">
        <v>2</v>
      </c>
      <c r="R532" s="4">
        <v>25.945</v>
      </c>
      <c r="S532" s="2" t="s">
        <v>33</v>
      </c>
      <c r="T532" s="2" t="s">
        <v>86</v>
      </c>
    </row>
    <row r="533" spans="1:20" x14ac:dyDescent="0.25">
      <c r="A533" s="2" t="s">
        <v>1363</v>
      </c>
      <c r="B533" s="3">
        <v>41955</v>
      </c>
      <c r="C533" s="3">
        <v>41955</v>
      </c>
      <c r="D533" s="2" t="s">
        <v>21</v>
      </c>
      <c r="E533" s="2" t="s">
        <v>1364</v>
      </c>
      <c r="F533" s="2" t="s">
        <v>1365</v>
      </c>
      <c r="G533" s="2" t="s">
        <v>24</v>
      </c>
      <c r="H533" s="2" t="s">
        <v>25</v>
      </c>
      <c r="I533" s="2" t="s">
        <v>1366</v>
      </c>
      <c r="J533" s="2" t="s">
        <v>244</v>
      </c>
      <c r="K533" s="2" t="s">
        <v>61</v>
      </c>
      <c r="L533" s="2" t="s">
        <v>235</v>
      </c>
      <c r="M533" s="2" t="s">
        <v>30</v>
      </c>
      <c r="N533" s="2" t="s">
        <v>31</v>
      </c>
      <c r="O533" s="2" t="s">
        <v>236</v>
      </c>
      <c r="P533" s="4">
        <v>96.632199999999997</v>
      </c>
      <c r="Q533" s="4">
        <v>4</v>
      </c>
      <c r="R533" s="4">
        <v>53.429200000000002</v>
      </c>
      <c r="S533" s="2" t="s">
        <v>121</v>
      </c>
      <c r="T533" s="2" t="s">
        <v>93</v>
      </c>
    </row>
    <row r="534" spans="1:20" x14ac:dyDescent="0.25">
      <c r="A534" s="2" t="s">
        <v>1363</v>
      </c>
      <c r="B534" s="3">
        <v>41955</v>
      </c>
      <c r="C534" s="3">
        <v>41955</v>
      </c>
      <c r="D534" s="2" t="s">
        <v>21</v>
      </c>
      <c r="E534" s="2" t="s">
        <v>1364</v>
      </c>
      <c r="F534" s="2" t="s">
        <v>1365</v>
      </c>
      <c r="G534" s="2" t="s">
        <v>24</v>
      </c>
      <c r="H534" s="2" t="s">
        <v>25</v>
      </c>
      <c r="I534" s="2" t="s">
        <v>1366</v>
      </c>
      <c r="J534" s="2" t="s">
        <v>244</v>
      </c>
      <c r="K534" s="2" t="s">
        <v>61</v>
      </c>
      <c r="L534" s="2" t="s">
        <v>207</v>
      </c>
      <c r="M534" s="2" t="s">
        <v>30</v>
      </c>
      <c r="N534" s="2" t="s">
        <v>31</v>
      </c>
      <c r="O534" s="2" t="s">
        <v>208</v>
      </c>
      <c r="P534" s="4">
        <v>80.362099999999998</v>
      </c>
      <c r="Q534" s="4">
        <v>2</v>
      </c>
      <c r="R534" s="4">
        <v>-32.7879</v>
      </c>
      <c r="S534" s="2" t="s">
        <v>121</v>
      </c>
      <c r="T534" s="2" t="s">
        <v>93</v>
      </c>
    </row>
    <row r="535" spans="1:20" x14ac:dyDescent="0.25">
      <c r="A535" s="2" t="s">
        <v>1367</v>
      </c>
      <c r="B535" s="3">
        <v>41714</v>
      </c>
      <c r="C535" s="3">
        <v>41716</v>
      </c>
      <c r="D535" s="2" t="s">
        <v>48</v>
      </c>
      <c r="E535" s="2" t="s">
        <v>426</v>
      </c>
      <c r="F535" s="2" t="s">
        <v>427</v>
      </c>
      <c r="G535" s="2" t="s">
        <v>38</v>
      </c>
      <c r="H535" s="2" t="s">
        <v>25</v>
      </c>
      <c r="I535" s="2" t="s">
        <v>752</v>
      </c>
      <c r="J535" s="2" t="s">
        <v>753</v>
      </c>
      <c r="K535" s="2" t="s">
        <v>147</v>
      </c>
      <c r="L535" s="2" t="s">
        <v>186</v>
      </c>
      <c r="M535" s="2" t="s">
        <v>30</v>
      </c>
      <c r="N535" s="2" t="s">
        <v>31</v>
      </c>
      <c r="O535" s="2" t="s">
        <v>187</v>
      </c>
      <c r="P535" s="4">
        <v>50.5214</v>
      </c>
      <c r="Q535" s="4">
        <v>4</v>
      </c>
      <c r="R535" s="4">
        <v>-7.1864999999999997</v>
      </c>
      <c r="S535" s="2" t="s">
        <v>53</v>
      </c>
      <c r="T535" s="2" t="s">
        <v>44</v>
      </c>
    </row>
    <row r="536" spans="1:20" x14ac:dyDescent="0.25">
      <c r="A536" s="2" t="s">
        <v>1367</v>
      </c>
      <c r="B536" s="3">
        <v>41714</v>
      </c>
      <c r="C536" s="3">
        <v>41716</v>
      </c>
      <c r="D536" s="2" t="s">
        <v>48</v>
      </c>
      <c r="E536" s="2" t="s">
        <v>426</v>
      </c>
      <c r="F536" s="2" t="s">
        <v>427</v>
      </c>
      <c r="G536" s="2" t="s">
        <v>38</v>
      </c>
      <c r="H536" s="2" t="s">
        <v>25</v>
      </c>
      <c r="I536" s="2" t="s">
        <v>752</v>
      </c>
      <c r="J536" s="2" t="s">
        <v>753</v>
      </c>
      <c r="K536" s="2" t="s">
        <v>147</v>
      </c>
      <c r="L536" s="2" t="s">
        <v>933</v>
      </c>
      <c r="M536" s="2" t="s">
        <v>30</v>
      </c>
      <c r="N536" s="2" t="s">
        <v>162</v>
      </c>
      <c r="O536" s="2" t="s">
        <v>934</v>
      </c>
      <c r="P536" s="4">
        <v>243.4392</v>
      </c>
      <c r="Q536" s="4">
        <v>6</v>
      </c>
      <c r="R536" s="4">
        <v>-72.765100000000004</v>
      </c>
      <c r="S536" s="2" t="s">
        <v>53</v>
      </c>
      <c r="T536" s="2" t="s">
        <v>44</v>
      </c>
    </row>
    <row r="537" spans="1:20" x14ac:dyDescent="0.25">
      <c r="A537" s="2" t="s">
        <v>1368</v>
      </c>
      <c r="B537" s="3">
        <v>41851</v>
      </c>
      <c r="C537" s="3">
        <v>41854</v>
      </c>
      <c r="D537" s="2" t="s">
        <v>55</v>
      </c>
      <c r="E537" s="2" t="s">
        <v>1369</v>
      </c>
      <c r="F537" s="2" t="s">
        <v>1370</v>
      </c>
      <c r="G537" s="2" t="s">
        <v>38</v>
      </c>
      <c r="H537" s="2" t="s">
        <v>25</v>
      </c>
      <c r="I537" s="2" t="s">
        <v>799</v>
      </c>
      <c r="J537" s="2" t="s">
        <v>160</v>
      </c>
      <c r="K537" s="2" t="s">
        <v>61</v>
      </c>
      <c r="L537" s="2" t="s">
        <v>200</v>
      </c>
      <c r="M537" s="2" t="s">
        <v>30</v>
      </c>
      <c r="N537" s="2" t="s">
        <v>162</v>
      </c>
      <c r="O537" s="2" t="s">
        <v>201</v>
      </c>
      <c r="P537" s="4">
        <v>476.41840000000002</v>
      </c>
      <c r="Q537" s="4">
        <v>5</v>
      </c>
      <c r="R537" s="4">
        <v>-208.27850000000001</v>
      </c>
      <c r="S537" s="2" t="s">
        <v>92</v>
      </c>
      <c r="T537" s="2" t="s">
        <v>86</v>
      </c>
    </row>
    <row r="538" spans="1:20" x14ac:dyDescent="0.25">
      <c r="A538" s="2" t="s">
        <v>1371</v>
      </c>
      <c r="B538" s="3">
        <v>43014</v>
      </c>
      <c r="C538" s="3">
        <v>43014</v>
      </c>
      <c r="D538" s="2" t="s">
        <v>142</v>
      </c>
      <c r="E538" s="2" t="s">
        <v>1372</v>
      </c>
      <c r="F538" s="2" t="s">
        <v>1373</v>
      </c>
      <c r="G538" s="2" t="s">
        <v>58</v>
      </c>
      <c r="H538" s="2" t="s">
        <v>25</v>
      </c>
      <c r="I538" s="2" t="s">
        <v>1300</v>
      </c>
      <c r="J538" s="2" t="s">
        <v>60</v>
      </c>
      <c r="K538" s="2" t="s">
        <v>61</v>
      </c>
      <c r="L538" s="2" t="s">
        <v>513</v>
      </c>
      <c r="M538" s="2" t="s">
        <v>30</v>
      </c>
      <c r="N538" s="2" t="s">
        <v>63</v>
      </c>
      <c r="O538" s="2" t="s">
        <v>514</v>
      </c>
      <c r="P538" s="4">
        <v>699.84939999999995</v>
      </c>
      <c r="Q538" s="4">
        <v>2</v>
      </c>
      <c r="R538" s="4">
        <v>-82.128799999999998</v>
      </c>
      <c r="S538" s="2" t="s">
        <v>121</v>
      </c>
      <c r="T538" s="2" t="s">
        <v>224</v>
      </c>
    </row>
    <row r="539" spans="1:20" x14ac:dyDescent="0.25">
      <c r="A539" s="2" t="s">
        <v>1374</v>
      </c>
      <c r="B539" s="3">
        <v>42357</v>
      </c>
      <c r="C539" s="3">
        <v>42361</v>
      </c>
      <c r="D539" s="2" t="s">
        <v>55</v>
      </c>
      <c r="E539" s="2" t="s">
        <v>701</v>
      </c>
      <c r="F539" s="2" t="s">
        <v>702</v>
      </c>
      <c r="G539" s="2" t="s">
        <v>58</v>
      </c>
      <c r="H539" s="2" t="s">
        <v>25</v>
      </c>
      <c r="I539" s="2" t="s">
        <v>1375</v>
      </c>
      <c r="J539" s="2" t="s">
        <v>72</v>
      </c>
      <c r="K539" s="2" t="s">
        <v>61</v>
      </c>
      <c r="L539" s="2" t="s">
        <v>139</v>
      </c>
      <c r="M539" s="2" t="s">
        <v>30</v>
      </c>
      <c r="N539" s="2" t="s">
        <v>42</v>
      </c>
      <c r="O539" s="2" t="s">
        <v>140</v>
      </c>
      <c r="P539" s="4">
        <v>190.78880000000001</v>
      </c>
      <c r="Q539" s="4">
        <v>5</v>
      </c>
      <c r="R539" s="4">
        <v>-9.6945999999999994</v>
      </c>
      <c r="S539" s="2" t="s">
        <v>75</v>
      </c>
      <c r="T539" s="2" t="s">
        <v>76</v>
      </c>
    </row>
    <row r="540" spans="1:20" x14ac:dyDescent="0.25">
      <c r="A540" s="2" t="s">
        <v>1376</v>
      </c>
      <c r="B540" s="3">
        <v>41743</v>
      </c>
      <c r="C540" s="3">
        <v>41749</v>
      </c>
      <c r="D540" s="2" t="s">
        <v>55</v>
      </c>
      <c r="E540" s="2" t="s">
        <v>1217</v>
      </c>
      <c r="F540" s="2" t="s">
        <v>1218</v>
      </c>
      <c r="G540" s="2" t="s">
        <v>58</v>
      </c>
      <c r="H540" s="2" t="s">
        <v>25</v>
      </c>
      <c r="I540" s="2" t="s">
        <v>495</v>
      </c>
      <c r="J540" s="2" t="s">
        <v>496</v>
      </c>
      <c r="K540" s="2" t="s">
        <v>147</v>
      </c>
      <c r="L540" s="2" t="s">
        <v>29</v>
      </c>
      <c r="M540" s="2" t="s">
        <v>30</v>
      </c>
      <c r="N540" s="2" t="s">
        <v>31</v>
      </c>
      <c r="O540" s="2" t="s">
        <v>32</v>
      </c>
      <c r="P540" s="4">
        <v>69.631</v>
      </c>
      <c r="Q540" s="4">
        <v>4</v>
      </c>
      <c r="R540" s="4">
        <v>5.1612</v>
      </c>
      <c r="S540" s="2" t="s">
        <v>65</v>
      </c>
      <c r="T540" s="2" t="s">
        <v>108</v>
      </c>
    </row>
    <row r="541" spans="1:20" x14ac:dyDescent="0.25">
      <c r="A541" s="2" t="s">
        <v>1377</v>
      </c>
      <c r="B541" s="3">
        <v>42929</v>
      </c>
      <c r="C541" s="3">
        <v>42933</v>
      </c>
      <c r="D541" s="2" t="s">
        <v>21</v>
      </c>
      <c r="E541" s="2" t="s">
        <v>1290</v>
      </c>
      <c r="F541" s="2" t="s">
        <v>1291</v>
      </c>
      <c r="G541" s="2" t="s">
        <v>58</v>
      </c>
      <c r="H541" s="2" t="s">
        <v>25</v>
      </c>
      <c r="I541" s="2" t="s">
        <v>482</v>
      </c>
      <c r="J541" s="2" t="s">
        <v>120</v>
      </c>
      <c r="K541" s="2" t="s">
        <v>61</v>
      </c>
      <c r="L541" s="2" t="s">
        <v>66</v>
      </c>
      <c r="M541" s="2" t="s">
        <v>30</v>
      </c>
      <c r="N541" s="2" t="s">
        <v>31</v>
      </c>
      <c r="O541" s="2" t="s">
        <v>67</v>
      </c>
      <c r="P541" s="4">
        <v>120.0517</v>
      </c>
      <c r="Q541" s="4">
        <v>3</v>
      </c>
      <c r="R541" s="4">
        <v>88.418999999999997</v>
      </c>
      <c r="S541" s="2" t="s">
        <v>75</v>
      </c>
      <c r="T541" s="2" t="s">
        <v>86</v>
      </c>
    </row>
    <row r="542" spans="1:20" x14ac:dyDescent="0.25">
      <c r="A542" s="2" t="s">
        <v>1378</v>
      </c>
      <c r="B542" s="3">
        <v>42802</v>
      </c>
      <c r="C542" s="3">
        <v>42809</v>
      </c>
      <c r="D542" s="2" t="s">
        <v>55</v>
      </c>
      <c r="E542" s="2" t="s">
        <v>1379</v>
      </c>
      <c r="F542" s="2" t="s">
        <v>1380</v>
      </c>
      <c r="G542" s="2" t="s">
        <v>24</v>
      </c>
      <c r="H542" s="2" t="s">
        <v>25</v>
      </c>
      <c r="I542" s="2" t="s">
        <v>1381</v>
      </c>
      <c r="J542" s="2" t="s">
        <v>127</v>
      </c>
      <c r="K542" s="2" t="s">
        <v>82</v>
      </c>
      <c r="L542" s="2" t="s">
        <v>323</v>
      </c>
      <c r="M542" s="2" t="s">
        <v>30</v>
      </c>
      <c r="N542" s="2" t="s">
        <v>31</v>
      </c>
      <c r="O542" s="2" t="s">
        <v>324</v>
      </c>
      <c r="P542" s="4">
        <v>250.58940000000001</v>
      </c>
      <c r="Q542" s="4">
        <v>5</v>
      </c>
      <c r="R542" s="4">
        <v>74.844300000000004</v>
      </c>
      <c r="S542" s="2" t="s">
        <v>107</v>
      </c>
      <c r="T542" s="2" t="s">
        <v>44</v>
      </c>
    </row>
    <row r="543" spans="1:20" x14ac:dyDescent="0.25">
      <c r="A543" s="2" t="s">
        <v>1382</v>
      </c>
      <c r="B543" s="3">
        <v>42903</v>
      </c>
      <c r="C543" s="3">
        <v>42904</v>
      </c>
      <c r="D543" s="2" t="s">
        <v>55</v>
      </c>
      <c r="E543" s="2" t="s">
        <v>1383</v>
      </c>
      <c r="F543" s="2" t="s">
        <v>1384</v>
      </c>
      <c r="G543" s="2" t="s">
        <v>58</v>
      </c>
      <c r="H543" s="2" t="s">
        <v>25</v>
      </c>
      <c r="I543" s="2" t="s">
        <v>505</v>
      </c>
      <c r="J543" s="2" t="s">
        <v>244</v>
      </c>
      <c r="K543" s="2" t="s">
        <v>61</v>
      </c>
      <c r="L543" s="2" t="s">
        <v>139</v>
      </c>
      <c r="M543" s="2" t="s">
        <v>30</v>
      </c>
      <c r="N543" s="2" t="s">
        <v>42</v>
      </c>
      <c r="O543" s="2" t="s">
        <v>140</v>
      </c>
      <c r="P543" s="4">
        <v>184.57169999999999</v>
      </c>
      <c r="Q543" s="4">
        <v>4</v>
      </c>
      <c r="R543" s="4">
        <v>18.357500000000002</v>
      </c>
      <c r="S543" s="2" t="s">
        <v>33</v>
      </c>
      <c r="T543" s="2" t="s">
        <v>133</v>
      </c>
    </row>
    <row r="544" spans="1:20" x14ac:dyDescent="0.25">
      <c r="A544" s="2" t="s">
        <v>1385</v>
      </c>
      <c r="B544" s="3">
        <v>41989</v>
      </c>
      <c r="C544" s="3">
        <v>41990</v>
      </c>
      <c r="D544" s="2" t="s">
        <v>55</v>
      </c>
      <c r="E544" s="2" t="s">
        <v>747</v>
      </c>
      <c r="F544" s="2" t="s">
        <v>748</v>
      </c>
      <c r="G544" s="2" t="s">
        <v>38</v>
      </c>
      <c r="H544" s="2" t="s">
        <v>25</v>
      </c>
      <c r="I544" s="2" t="s">
        <v>1386</v>
      </c>
      <c r="J544" s="2" t="s">
        <v>806</v>
      </c>
      <c r="K544" s="2" t="s">
        <v>28</v>
      </c>
      <c r="L544" s="2" t="s">
        <v>131</v>
      </c>
      <c r="M544" s="2" t="s">
        <v>30</v>
      </c>
      <c r="N544" s="2" t="s">
        <v>31</v>
      </c>
      <c r="O544" s="2" t="s">
        <v>132</v>
      </c>
      <c r="P544" s="4">
        <v>57.4696</v>
      </c>
      <c r="Q544" s="4">
        <v>4</v>
      </c>
      <c r="R544" s="4">
        <v>11.665800000000001</v>
      </c>
      <c r="S544" s="2" t="s">
        <v>33</v>
      </c>
      <c r="T544" s="2" t="s">
        <v>76</v>
      </c>
    </row>
    <row r="545" spans="1:20" x14ac:dyDescent="0.25">
      <c r="A545" s="2" t="s">
        <v>1387</v>
      </c>
      <c r="B545" s="3">
        <v>42731</v>
      </c>
      <c r="C545" s="3">
        <v>42738</v>
      </c>
      <c r="D545" s="2" t="s">
        <v>55</v>
      </c>
      <c r="E545" s="2" t="s">
        <v>1388</v>
      </c>
      <c r="F545" s="2" t="s">
        <v>1389</v>
      </c>
      <c r="G545" s="2" t="s">
        <v>38</v>
      </c>
      <c r="H545" s="2" t="s">
        <v>25</v>
      </c>
      <c r="I545" s="2" t="s">
        <v>623</v>
      </c>
      <c r="J545" s="2" t="s">
        <v>40</v>
      </c>
      <c r="K545" s="2" t="s">
        <v>28</v>
      </c>
      <c r="L545" s="2" t="s">
        <v>154</v>
      </c>
      <c r="M545" s="2" t="s">
        <v>30</v>
      </c>
      <c r="N545" s="2" t="s">
        <v>42</v>
      </c>
      <c r="O545" s="2" t="s">
        <v>155</v>
      </c>
      <c r="P545" s="4">
        <v>290.40789999999998</v>
      </c>
      <c r="Q545" s="4">
        <v>2</v>
      </c>
      <c r="R545" s="4">
        <v>34.482999999999997</v>
      </c>
      <c r="S545" s="2" t="s">
        <v>107</v>
      </c>
      <c r="T545" s="2" t="s">
        <v>76</v>
      </c>
    </row>
    <row r="546" spans="1:20" x14ac:dyDescent="0.25">
      <c r="A546" s="2" t="s">
        <v>1390</v>
      </c>
      <c r="B546" s="3">
        <v>42850</v>
      </c>
      <c r="C546" s="3">
        <v>42851</v>
      </c>
      <c r="D546" s="2" t="s">
        <v>55</v>
      </c>
      <c r="E546" s="2" t="s">
        <v>69</v>
      </c>
      <c r="F546" s="2" t="s">
        <v>70</v>
      </c>
      <c r="G546" s="2" t="s">
        <v>38</v>
      </c>
      <c r="H546" s="2" t="s">
        <v>25</v>
      </c>
      <c r="I546" s="2" t="s">
        <v>539</v>
      </c>
      <c r="J546" s="2" t="s">
        <v>91</v>
      </c>
      <c r="K546" s="2" t="s">
        <v>61</v>
      </c>
      <c r="L546" s="2" t="s">
        <v>66</v>
      </c>
      <c r="M546" s="2" t="s">
        <v>30</v>
      </c>
      <c r="N546" s="2" t="s">
        <v>31</v>
      </c>
      <c r="O546" s="2" t="s">
        <v>67</v>
      </c>
      <c r="P546" s="4">
        <v>52.142400000000002</v>
      </c>
      <c r="Q546" s="4">
        <v>4</v>
      </c>
      <c r="R546" s="4">
        <v>-15.144500000000001</v>
      </c>
      <c r="S546" s="2" t="s">
        <v>33</v>
      </c>
      <c r="T546" s="2" t="s">
        <v>108</v>
      </c>
    </row>
    <row r="547" spans="1:20" x14ac:dyDescent="0.25">
      <c r="A547" s="2" t="s">
        <v>1391</v>
      </c>
      <c r="B547" s="3">
        <v>41874</v>
      </c>
      <c r="C547" s="3">
        <v>41874</v>
      </c>
      <c r="D547" s="2" t="s">
        <v>142</v>
      </c>
      <c r="E547" s="2" t="s">
        <v>762</v>
      </c>
      <c r="F547" s="2" t="s">
        <v>763</v>
      </c>
      <c r="G547" s="2" t="s">
        <v>38</v>
      </c>
      <c r="H547" s="2" t="s">
        <v>25</v>
      </c>
      <c r="I547" s="2" t="s">
        <v>902</v>
      </c>
      <c r="J547" s="2" t="s">
        <v>632</v>
      </c>
      <c r="K547" s="2" t="s">
        <v>82</v>
      </c>
      <c r="L547" s="2" t="s">
        <v>344</v>
      </c>
      <c r="M547" s="2" t="s">
        <v>30</v>
      </c>
      <c r="N547" s="2" t="s">
        <v>42</v>
      </c>
      <c r="O547" s="2" t="s">
        <v>345</v>
      </c>
      <c r="P547" s="4">
        <v>309.64120000000003</v>
      </c>
      <c r="Q547" s="4">
        <v>1</v>
      </c>
      <c r="R547" s="4">
        <v>-93.342699999999994</v>
      </c>
      <c r="S547" s="2" t="s">
        <v>121</v>
      </c>
      <c r="T547" s="2" t="s">
        <v>34</v>
      </c>
    </row>
    <row r="548" spans="1:20" x14ac:dyDescent="0.25">
      <c r="A548" s="2" t="s">
        <v>1392</v>
      </c>
      <c r="B548" s="3">
        <v>42416</v>
      </c>
      <c r="C548" s="3">
        <v>42418</v>
      </c>
      <c r="D548" s="2" t="s">
        <v>48</v>
      </c>
      <c r="E548" s="2" t="s">
        <v>1393</v>
      </c>
      <c r="F548" s="2" t="s">
        <v>1394</v>
      </c>
      <c r="G548" s="2" t="s">
        <v>38</v>
      </c>
      <c r="H548" s="2" t="s">
        <v>25</v>
      </c>
      <c r="I548" s="2" t="s">
        <v>1212</v>
      </c>
      <c r="J548" s="2" t="s">
        <v>496</v>
      </c>
      <c r="K548" s="2" t="s">
        <v>147</v>
      </c>
      <c r="L548" s="2" t="s">
        <v>174</v>
      </c>
      <c r="M548" s="2" t="s">
        <v>30</v>
      </c>
      <c r="N548" s="2" t="s">
        <v>31</v>
      </c>
      <c r="O548" s="2" t="s">
        <v>175</v>
      </c>
      <c r="P548" s="4">
        <v>31.598299999999998</v>
      </c>
      <c r="Q548" s="4">
        <v>7</v>
      </c>
      <c r="R548" s="4">
        <v>0.7268</v>
      </c>
      <c r="S548" s="2" t="s">
        <v>53</v>
      </c>
      <c r="T548" s="2" t="s">
        <v>101</v>
      </c>
    </row>
    <row r="549" spans="1:20" x14ac:dyDescent="0.25">
      <c r="A549" s="2" t="s">
        <v>1392</v>
      </c>
      <c r="B549" s="3">
        <v>42416</v>
      </c>
      <c r="C549" s="3">
        <v>42418</v>
      </c>
      <c r="D549" s="2" t="s">
        <v>48</v>
      </c>
      <c r="E549" s="2" t="s">
        <v>1393</v>
      </c>
      <c r="F549" s="2" t="s">
        <v>1394</v>
      </c>
      <c r="G549" s="2" t="s">
        <v>38</v>
      </c>
      <c r="H549" s="2" t="s">
        <v>25</v>
      </c>
      <c r="I549" s="2" t="s">
        <v>1212</v>
      </c>
      <c r="J549" s="2" t="s">
        <v>496</v>
      </c>
      <c r="K549" s="2" t="s">
        <v>147</v>
      </c>
      <c r="L549" s="2" t="s">
        <v>235</v>
      </c>
      <c r="M549" s="2" t="s">
        <v>30</v>
      </c>
      <c r="N549" s="2" t="s">
        <v>31</v>
      </c>
      <c r="O549" s="2" t="s">
        <v>236</v>
      </c>
      <c r="P549" s="4">
        <v>88.765900000000002</v>
      </c>
      <c r="Q549" s="4">
        <v>3</v>
      </c>
      <c r="R549" s="4">
        <v>68.628600000000006</v>
      </c>
      <c r="S549" s="2" t="s">
        <v>53</v>
      </c>
      <c r="T549" s="2" t="s">
        <v>101</v>
      </c>
    </row>
    <row r="550" spans="1:20" x14ac:dyDescent="0.25">
      <c r="A550" s="2" t="s">
        <v>1395</v>
      </c>
      <c r="B550" s="3">
        <v>41945</v>
      </c>
      <c r="C550" s="3">
        <v>41947</v>
      </c>
      <c r="D550" s="2" t="s">
        <v>21</v>
      </c>
      <c r="E550" s="2" t="s">
        <v>1396</v>
      </c>
      <c r="F550" s="2" t="s">
        <v>1397</v>
      </c>
      <c r="G550" s="2" t="s">
        <v>58</v>
      </c>
      <c r="H550" s="2" t="s">
        <v>25</v>
      </c>
      <c r="I550" s="2" t="s">
        <v>437</v>
      </c>
      <c r="J550" s="2" t="s">
        <v>217</v>
      </c>
      <c r="K550" s="2" t="s">
        <v>82</v>
      </c>
      <c r="L550" s="2" t="s">
        <v>235</v>
      </c>
      <c r="M550" s="2" t="s">
        <v>30</v>
      </c>
      <c r="N550" s="2" t="s">
        <v>31</v>
      </c>
      <c r="O550" s="2" t="s">
        <v>236</v>
      </c>
      <c r="P550" s="4">
        <v>109.23139999999999</v>
      </c>
      <c r="Q550" s="4">
        <v>2</v>
      </c>
      <c r="R550" s="4">
        <v>-8.8042999999999996</v>
      </c>
      <c r="S550" s="2" t="s">
        <v>53</v>
      </c>
      <c r="T550" s="2" t="s">
        <v>93</v>
      </c>
    </row>
    <row r="551" spans="1:20" x14ac:dyDescent="0.25">
      <c r="A551" s="2" t="s">
        <v>1398</v>
      </c>
      <c r="B551" s="3">
        <v>42263</v>
      </c>
      <c r="C551" s="3">
        <v>42264</v>
      </c>
      <c r="D551" s="2" t="s">
        <v>48</v>
      </c>
      <c r="E551" s="2" t="s">
        <v>957</v>
      </c>
      <c r="F551" s="2" t="s">
        <v>958</v>
      </c>
      <c r="G551" s="2" t="s">
        <v>24</v>
      </c>
      <c r="H551" s="2" t="s">
        <v>25</v>
      </c>
      <c r="I551" s="2" t="s">
        <v>274</v>
      </c>
      <c r="J551" s="2" t="s">
        <v>146</v>
      </c>
      <c r="K551" s="2" t="s">
        <v>147</v>
      </c>
      <c r="L551" s="2" t="s">
        <v>174</v>
      </c>
      <c r="M551" s="2" t="s">
        <v>30</v>
      </c>
      <c r="N551" s="2" t="s">
        <v>31</v>
      </c>
      <c r="O551" s="2" t="s">
        <v>175</v>
      </c>
      <c r="P551" s="4">
        <v>32.853299999999997</v>
      </c>
      <c r="Q551" s="4">
        <v>6</v>
      </c>
      <c r="R551" s="4">
        <v>12.649100000000001</v>
      </c>
      <c r="S551" s="2" t="s">
        <v>33</v>
      </c>
      <c r="T551" s="2" t="s">
        <v>148</v>
      </c>
    </row>
    <row r="552" spans="1:20" x14ac:dyDescent="0.25">
      <c r="A552" s="2" t="s">
        <v>1399</v>
      </c>
      <c r="B552" s="3">
        <v>41641</v>
      </c>
      <c r="C552" s="3">
        <v>41644</v>
      </c>
      <c r="D552" s="2" t="s">
        <v>21</v>
      </c>
      <c r="E552" s="2" t="s">
        <v>1400</v>
      </c>
      <c r="F552" s="2" t="s">
        <v>1401</v>
      </c>
      <c r="G552" s="2" t="s">
        <v>24</v>
      </c>
      <c r="H552" s="2" t="s">
        <v>25</v>
      </c>
      <c r="I552" s="2" t="s">
        <v>398</v>
      </c>
      <c r="J552" s="2" t="s">
        <v>251</v>
      </c>
      <c r="K552" s="2" t="s">
        <v>147</v>
      </c>
      <c r="L552" s="2" t="s">
        <v>45</v>
      </c>
      <c r="M552" s="2" t="s">
        <v>30</v>
      </c>
      <c r="N552" s="2" t="s">
        <v>31</v>
      </c>
      <c r="O552" s="2" t="s">
        <v>46</v>
      </c>
      <c r="P552" s="4">
        <v>14.0207</v>
      </c>
      <c r="Q552" s="4">
        <v>7</v>
      </c>
      <c r="R552" s="4">
        <v>2.7997999999999998</v>
      </c>
      <c r="S552" s="2" t="s">
        <v>92</v>
      </c>
      <c r="T552" s="2" t="s">
        <v>115</v>
      </c>
    </row>
    <row r="553" spans="1:20" x14ac:dyDescent="0.25">
      <c r="A553" s="2" t="s">
        <v>1402</v>
      </c>
      <c r="B553" s="3">
        <v>42421</v>
      </c>
      <c r="C553" s="3">
        <v>42427</v>
      </c>
      <c r="D553" s="2" t="s">
        <v>55</v>
      </c>
      <c r="E553" s="2" t="s">
        <v>493</v>
      </c>
      <c r="F553" s="2" t="s">
        <v>494</v>
      </c>
      <c r="G553" s="2" t="s">
        <v>58</v>
      </c>
      <c r="H553" s="2" t="s">
        <v>25</v>
      </c>
      <c r="I553" s="2" t="s">
        <v>662</v>
      </c>
      <c r="J553" s="2" t="s">
        <v>310</v>
      </c>
      <c r="K553" s="2" t="s">
        <v>28</v>
      </c>
      <c r="L553" s="2" t="s">
        <v>193</v>
      </c>
      <c r="M553" s="2" t="s">
        <v>30</v>
      </c>
      <c r="N553" s="2" t="s">
        <v>42</v>
      </c>
      <c r="O553" s="2" t="s">
        <v>194</v>
      </c>
      <c r="P553" s="4">
        <v>326.23160000000001</v>
      </c>
      <c r="Q553" s="4">
        <v>2</v>
      </c>
      <c r="R553" s="4">
        <v>-97.995000000000005</v>
      </c>
      <c r="S553" s="2" t="s">
        <v>65</v>
      </c>
      <c r="T553" s="2" t="s">
        <v>101</v>
      </c>
    </row>
    <row r="554" spans="1:20" x14ac:dyDescent="0.25">
      <c r="A554" s="2" t="s">
        <v>1402</v>
      </c>
      <c r="B554" s="3">
        <v>42421</v>
      </c>
      <c r="C554" s="3">
        <v>42427</v>
      </c>
      <c r="D554" s="2" t="s">
        <v>55</v>
      </c>
      <c r="E554" s="2" t="s">
        <v>493</v>
      </c>
      <c r="F554" s="2" t="s">
        <v>494</v>
      </c>
      <c r="G554" s="2" t="s">
        <v>58</v>
      </c>
      <c r="H554" s="2" t="s">
        <v>25</v>
      </c>
      <c r="I554" s="2" t="s">
        <v>662</v>
      </c>
      <c r="J554" s="2" t="s">
        <v>310</v>
      </c>
      <c r="K554" s="2" t="s">
        <v>28</v>
      </c>
      <c r="L554" s="2" t="s">
        <v>99</v>
      </c>
      <c r="M554" s="2" t="s">
        <v>30</v>
      </c>
      <c r="N554" s="2" t="s">
        <v>42</v>
      </c>
      <c r="O554" s="2" t="s">
        <v>100</v>
      </c>
      <c r="P554" s="4">
        <v>383.30669999999998</v>
      </c>
      <c r="Q554" s="4">
        <v>2</v>
      </c>
      <c r="R554" s="4">
        <v>-126.8117</v>
      </c>
      <c r="S554" s="2" t="s">
        <v>65</v>
      </c>
      <c r="T554" s="2" t="s">
        <v>101</v>
      </c>
    </row>
    <row r="555" spans="1:20" x14ac:dyDescent="0.25">
      <c r="A555" s="2" t="s">
        <v>1403</v>
      </c>
      <c r="B555" s="3">
        <v>41897</v>
      </c>
      <c r="C555" s="3">
        <v>41898</v>
      </c>
      <c r="D555" s="2" t="s">
        <v>21</v>
      </c>
      <c r="E555" s="2" t="s">
        <v>1404</v>
      </c>
      <c r="F555" s="2" t="s">
        <v>1405</v>
      </c>
      <c r="G555" s="2" t="s">
        <v>58</v>
      </c>
      <c r="H555" s="2" t="s">
        <v>25</v>
      </c>
      <c r="I555" s="2" t="s">
        <v>343</v>
      </c>
      <c r="J555" s="2" t="s">
        <v>153</v>
      </c>
      <c r="K555" s="2" t="s">
        <v>147</v>
      </c>
      <c r="L555" s="2" t="s">
        <v>45</v>
      </c>
      <c r="M555" s="2" t="s">
        <v>30</v>
      </c>
      <c r="N555" s="2" t="s">
        <v>31</v>
      </c>
      <c r="O555" s="2" t="s">
        <v>46</v>
      </c>
      <c r="P555" s="4">
        <v>14.907999999999999</v>
      </c>
      <c r="Q555" s="4">
        <v>3</v>
      </c>
      <c r="R555" s="4">
        <v>-9.6849000000000007</v>
      </c>
      <c r="S555" s="2" t="s">
        <v>33</v>
      </c>
      <c r="T555" s="2" t="s">
        <v>148</v>
      </c>
    </row>
    <row r="556" spans="1:20" x14ac:dyDescent="0.25">
      <c r="A556" s="2" t="s">
        <v>1406</v>
      </c>
      <c r="B556" s="3">
        <v>42573</v>
      </c>
      <c r="C556" s="3">
        <v>42576</v>
      </c>
      <c r="D556" s="2" t="s">
        <v>55</v>
      </c>
      <c r="E556" s="2" t="s">
        <v>1407</v>
      </c>
      <c r="F556" s="2" t="s">
        <v>1408</v>
      </c>
      <c r="G556" s="2" t="s">
        <v>58</v>
      </c>
      <c r="H556" s="2" t="s">
        <v>25</v>
      </c>
      <c r="I556" s="2" t="s">
        <v>639</v>
      </c>
      <c r="J556" s="2" t="s">
        <v>192</v>
      </c>
      <c r="K556" s="2" t="s">
        <v>82</v>
      </c>
      <c r="L556" s="2" t="s">
        <v>29</v>
      </c>
      <c r="M556" s="2" t="s">
        <v>30</v>
      </c>
      <c r="N556" s="2" t="s">
        <v>31</v>
      </c>
      <c r="O556" s="2" t="s">
        <v>32</v>
      </c>
      <c r="P556" s="4">
        <v>747.2681</v>
      </c>
      <c r="Q556" s="4">
        <v>5</v>
      </c>
      <c r="R556" s="4">
        <v>226.73500000000001</v>
      </c>
      <c r="S556" s="2" t="s">
        <v>92</v>
      </c>
      <c r="T556" s="2" t="s">
        <v>86</v>
      </c>
    </row>
    <row r="557" spans="1:20" x14ac:dyDescent="0.25">
      <c r="A557" s="2" t="s">
        <v>1409</v>
      </c>
      <c r="B557" s="3">
        <v>42660</v>
      </c>
      <c r="C557" s="3">
        <v>42665</v>
      </c>
      <c r="D557" s="2" t="s">
        <v>55</v>
      </c>
      <c r="E557" s="2" t="s">
        <v>1410</v>
      </c>
      <c r="F557" s="2" t="s">
        <v>1411</v>
      </c>
      <c r="G557" s="2" t="s">
        <v>58</v>
      </c>
      <c r="H557" s="2" t="s">
        <v>25</v>
      </c>
      <c r="I557" s="2" t="s">
        <v>594</v>
      </c>
      <c r="J557" s="2" t="s">
        <v>595</v>
      </c>
      <c r="K557" s="2" t="s">
        <v>61</v>
      </c>
      <c r="L557" s="2" t="s">
        <v>254</v>
      </c>
      <c r="M557" s="2" t="s">
        <v>30</v>
      </c>
      <c r="N557" s="2" t="s">
        <v>162</v>
      </c>
      <c r="O557" s="2" t="s">
        <v>255</v>
      </c>
      <c r="P557" s="4">
        <v>455.12290000000002</v>
      </c>
      <c r="Q557" s="4">
        <v>9</v>
      </c>
      <c r="R557" s="4">
        <v>-5.6673</v>
      </c>
      <c r="S557" s="2" t="s">
        <v>85</v>
      </c>
      <c r="T557" s="2" t="s">
        <v>224</v>
      </c>
    </row>
    <row r="558" spans="1:20" x14ac:dyDescent="0.25">
      <c r="A558" s="2" t="s">
        <v>1412</v>
      </c>
      <c r="B558" s="3">
        <v>41803</v>
      </c>
      <c r="C558" s="3">
        <v>41804</v>
      </c>
      <c r="D558" s="2" t="s">
        <v>55</v>
      </c>
      <c r="E558" s="2" t="s">
        <v>1413</v>
      </c>
      <c r="F558" s="2" t="s">
        <v>1414</v>
      </c>
      <c r="G558" s="2" t="s">
        <v>24</v>
      </c>
      <c r="H558" s="2" t="s">
        <v>25</v>
      </c>
      <c r="I558" s="2" t="s">
        <v>205</v>
      </c>
      <c r="J558" s="2" t="s">
        <v>206</v>
      </c>
      <c r="K558" s="2" t="s">
        <v>61</v>
      </c>
      <c r="L558" s="2" t="s">
        <v>235</v>
      </c>
      <c r="M558" s="2" t="s">
        <v>30</v>
      </c>
      <c r="N558" s="2" t="s">
        <v>31</v>
      </c>
      <c r="O558" s="2" t="s">
        <v>236</v>
      </c>
      <c r="P558" s="4">
        <v>114.7814</v>
      </c>
      <c r="Q558" s="4">
        <v>5</v>
      </c>
      <c r="R558" s="4">
        <v>8.1141000000000005</v>
      </c>
      <c r="S558" s="2" t="s">
        <v>33</v>
      </c>
      <c r="T558" s="2" t="s">
        <v>133</v>
      </c>
    </row>
    <row r="559" spans="1:20" x14ac:dyDescent="0.25">
      <c r="A559" s="2" t="s">
        <v>1415</v>
      </c>
      <c r="B559" s="3">
        <v>43009</v>
      </c>
      <c r="C559" s="3">
        <v>43011</v>
      </c>
      <c r="D559" s="2" t="s">
        <v>48</v>
      </c>
      <c r="E559" s="2" t="s">
        <v>1416</v>
      </c>
      <c r="F559" s="2" t="s">
        <v>1417</v>
      </c>
      <c r="G559" s="2" t="s">
        <v>38</v>
      </c>
      <c r="H559" s="2" t="s">
        <v>25</v>
      </c>
      <c r="I559" s="2" t="s">
        <v>533</v>
      </c>
      <c r="J559" s="2" t="s">
        <v>72</v>
      </c>
      <c r="K559" s="2" t="s">
        <v>61</v>
      </c>
      <c r="L559" s="2" t="s">
        <v>820</v>
      </c>
      <c r="M559" s="2" t="s">
        <v>30</v>
      </c>
      <c r="N559" s="2" t="s">
        <v>162</v>
      </c>
      <c r="O559" s="2" t="s">
        <v>821</v>
      </c>
      <c r="P559" s="4">
        <v>548.96370000000002</v>
      </c>
      <c r="Q559" s="4">
        <v>5</v>
      </c>
      <c r="R559" s="4">
        <v>-185.74629999999999</v>
      </c>
      <c r="S559" s="2" t="s">
        <v>53</v>
      </c>
      <c r="T559" s="2" t="s">
        <v>224</v>
      </c>
    </row>
    <row r="560" spans="1:20" x14ac:dyDescent="0.25">
      <c r="A560" s="2" t="s">
        <v>1418</v>
      </c>
      <c r="B560" s="3">
        <v>42600</v>
      </c>
      <c r="C560" s="3">
        <v>42604</v>
      </c>
      <c r="D560" s="2" t="s">
        <v>55</v>
      </c>
      <c r="E560" s="2" t="s">
        <v>331</v>
      </c>
      <c r="F560" s="2" t="s">
        <v>332</v>
      </c>
      <c r="G560" s="2" t="s">
        <v>58</v>
      </c>
      <c r="H560" s="2" t="s">
        <v>25</v>
      </c>
      <c r="I560" s="2" t="s">
        <v>580</v>
      </c>
      <c r="J560" s="2" t="s">
        <v>387</v>
      </c>
      <c r="K560" s="2" t="s">
        <v>61</v>
      </c>
      <c r="L560" s="2" t="s">
        <v>174</v>
      </c>
      <c r="M560" s="2" t="s">
        <v>30</v>
      </c>
      <c r="N560" s="2" t="s">
        <v>31</v>
      </c>
      <c r="O560" s="2" t="s">
        <v>175</v>
      </c>
      <c r="P560" s="4">
        <v>13.2723</v>
      </c>
      <c r="Q560" s="4">
        <v>1</v>
      </c>
      <c r="R560" s="4">
        <v>5.8212000000000002</v>
      </c>
      <c r="S560" s="2" t="s">
        <v>75</v>
      </c>
      <c r="T560" s="2" t="s">
        <v>34</v>
      </c>
    </row>
    <row r="561" spans="1:20" x14ac:dyDescent="0.25">
      <c r="A561" s="2" t="s">
        <v>1419</v>
      </c>
      <c r="B561" s="3">
        <v>42928</v>
      </c>
      <c r="C561" s="3">
        <v>42930</v>
      </c>
      <c r="D561" s="2" t="s">
        <v>48</v>
      </c>
      <c r="E561" s="2" t="s">
        <v>1420</v>
      </c>
      <c r="F561" s="2" t="s">
        <v>1421</v>
      </c>
      <c r="G561" s="2" t="s">
        <v>58</v>
      </c>
      <c r="H561" s="2" t="s">
        <v>25</v>
      </c>
      <c r="I561" s="2" t="s">
        <v>179</v>
      </c>
      <c r="J561" s="2" t="s">
        <v>180</v>
      </c>
      <c r="K561" s="2" t="s">
        <v>147</v>
      </c>
      <c r="L561" s="2" t="s">
        <v>677</v>
      </c>
      <c r="M561" s="2" t="s">
        <v>30</v>
      </c>
      <c r="N561" s="2" t="s">
        <v>162</v>
      </c>
      <c r="O561" s="2" t="s">
        <v>678</v>
      </c>
      <c r="P561" s="4">
        <v>159.3168</v>
      </c>
      <c r="Q561" s="4">
        <v>5</v>
      </c>
      <c r="R561" s="4">
        <v>22.968499999999999</v>
      </c>
      <c r="S561" s="2" t="s">
        <v>53</v>
      </c>
      <c r="T561" s="2" t="s">
        <v>86</v>
      </c>
    </row>
    <row r="562" spans="1:20" x14ac:dyDescent="0.25">
      <c r="A562" s="2" t="s">
        <v>1422</v>
      </c>
      <c r="B562" s="3">
        <v>42675</v>
      </c>
      <c r="C562" s="3">
        <v>42676</v>
      </c>
      <c r="D562" s="2" t="s">
        <v>55</v>
      </c>
      <c r="E562" s="2" t="s">
        <v>1028</v>
      </c>
      <c r="F562" s="2" t="s">
        <v>1029</v>
      </c>
      <c r="G562" s="2" t="s">
        <v>58</v>
      </c>
      <c r="H562" s="2" t="s">
        <v>25</v>
      </c>
      <c r="I562" s="2" t="s">
        <v>386</v>
      </c>
      <c r="J562" s="2" t="s">
        <v>387</v>
      </c>
      <c r="K562" s="2" t="s">
        <v>61</v>
      </c>
      <c r="L562" s="2" t="s">
        <v>218</v>
      </c>
      <c r="M562" s="2" t="s">
        <v>30</v>
      </c>
      <c r="N562" s="2" t="s">
        <v>31</v>
      </c>
      <c r="O562" s="2" t="s">
        <v>219</v>
      </c>
      <c r="P562" s="4">
        <v>8.9024999999999999</v>
      </c>
      <c r="Q562" s="4">
        <v>2</v>
      </c>
      <c r="R562" s="4">
        <v>-0.72060000000000002</v>
      </c>
      <c r="S562" s="2" t="s">
        <v>33</v>
      </c>
      <c r="T562" s="2" t="s">
        <v>93</v>
      </c>
    </row>
    <row r="563" spans="1:20" x14ac:dyDescent="0.25">
      <c r="A563" s="2" t="s">
        <v>1423</v>
      </c>
      <c r="B563" s="3">
        <v>41949</v>
      </c>
      <c r="C563" s="3">
        <v>41949</v>
      </c>
      <c r="D563" s="2" t="s">
        <v>55</v>
      </c>
      <c r="E563" s="2" t="s">
        <v>1424</v>
      </c>
      <c r="F563" s="2" t="s">
        <v>1425</v>
      </c>
      <c r="G563" s="2" t="s">
        <v>38</v>
      </c>
      <c r="H563" s="2" t="s">
        <v>25</v>
      </c>
      <c r="I563" s="2" t="s">
        <v>119</v>
      </c>
      <c r="J563" s="2" t="s">
        <v>120</v>
      </c>
      <c r="K563" s="2" t="s">
        <v>61</v>
      </c>
      <c r="L563" s="2" t="s">
        <v>890</v>
      </c>
      <c r="M563" s="2" t="s">
        <v>30</v>
      </c>
      <c r="N563" s="2" t="s">
        <v>63</v>
      </c>
      <c r="O563" s="2" t="s">
        <v>891</v>
      </c>
      <c r="P563" s="4">
        <v>143.02180000000001</v>
      </c>
      <c r="Q563" s="4">
        <v>7</v>
      </c>
      <c r="R563" s="4">
        <v>-9.2133000000000003</v>
      </c>
      <c r="S563" s="2" t="s">
        <v>121</v>
      </c>
      <c r="T563" s="2" t="s">
        <v>93</v>
      </c>
    </row>
    <row r="564" spans="1:20" x14ac:dyDescent="0.25">
      <c r="A564" s="2" t="s">
        <v>1426</v>
      </c>
      <c r="B564" s="3">
        <v>42859</v>
      </c>
      <c r="C564" s="3">
        <v>42860</v>
      </c>
      <c r="D564" s="2" t="s">
        <v>21</v>
      </c>
      <c r="E564" s="2" t="s">
        <v>1427</v>
      </c>
      <c r="F564" s="2" t="s">
        <v>1428</v>
      </c>
      <c r="G564" s="2" t="s">
        <v>38</v>
      </c>
      <c r="H564" s="2" t="s">
        <v>25</v>
      </c>
      <c r="I564" s="2" t="s">
        <v>198</v>
      </c>
      <c r="J564" s="2" t="s">
        <v>199</v>
      </c>
      <c r="K564" s="2" t="s">
        <v>82</v>
      </c>
      <c r="L564" s="2" t="s">
        <v>186</v>
      </c>
      <c r="M564" s="2" t="s">
        <v>30</v>
      </c>
      <c r="N564" s="2" t="s">
        <v>31</v>
      </c>
      <c r="O564" s="2" t="s">
        <v>187</v>
      </c>
      <c r="P564" s="4">
        <v>53.327399999999997</v>
      </c>
      <c r="Q564" s="4">
        <v>4</v>
      </c>
      <c r="R564" s="4">
        <v>4.2812000000000001</v>
      </c>
      <c r="S564" s="2" t="s">
        <v>33</v>
      </c>
      <c r="T564" s="2" t="s">
        <v>122</v>
      </c>
    </row>
    <row r="565" spans="1:20" x14ac:dyDescent="0.25">
      <c r="A565" s="2" t="s">
        <v>1429</v>
      </c>
      <c r="B565" s="3">
        <v>41751</v>
      </c>
      <c r="C565" s="3">
        <v>41754</v>
      </c>
      <c r="D565" s="2" t="s">
        <v>55</v>
      </c>
      <c r="E565" s="2" t="s">
        <v>1430</v>
      </c>
      <c r="F565" s="2" t="s">
        <v>1431</v>
      </c>
      <c r="G565" s="2" t="s">
        <v>58</v>
      </c>
      <c r="H565" s="2" t="s">
        <v>25</v>
      </c>
      <c r="I565" s="2" t="s">
        <v>829</v>
      </c>
      <c r="J565" s="2" t="s">
        <v>199</v>
      </c>
      <c r="K565" s="2" t="s">
        <v>82</v>
      </c>
      <c r="L565" s="2" t="s">
        <v>66</v>
      </c>
      <c r="M565" s="2" t="s">
        <v>30</v>
      </c>
      <c r="N565" s="2" t="s">
        <v>31</v>
      </c>
      <c r="O565" s="2" t="s">
        <v>67</v>
      </c>
      <c r="P565" s="4">
        <v>25.429600000000001</v>
      </c>
      <c r="Q565" s="4">
        <v>2</v>
      </c>
      <c r="R565" s="4">
        <v>-0.9496</v>
      </c>
      <c r="S565" s="2" t="s">
        <v>92</v>
      </c>
      <c r="T565" s="2" t="s">
        <v>108</v>
      </c>
    </row>
    <row r="566" spans="1:20" x14ac:dyDescent="0.25">
      <c r="A566" s="2" t="s">
        <v>1432</v>
      </c>
      <c r="B566" s="3">
        <v>42177</v>
      </c>
      <c r="C566" s="3">
        <v>42182</v>
      </c>
      <c r="D566" s="2" t="s">
        <v>55</v>
      </c>
      <c r="E566" s="2" t="s">
        <v>811</v>
      </c>
      <c r="F566" s="2" t="s">
        <v>812</v>
      </c>
      <c r="G566" s="2" t="s">
        <v>24</v>
      </c>
      <c r="H566" s="2" t="s">
        <v>25</v>
      </c>
      <c r="I566" s="2" t="s">
        <v>259</v>
      </c>
      <c r="J566" s="2" t="s">
        <v>260</v>
      </c>
      <c r="K566" s="2" t="s">
        <v>147</v>
      </c>
      <c r="L566" s="2" t="s">
        <v>174</v>
      </c>
      <c r="M566" s="2" t="s">
        <v>30</v>
      </c>
      <c r="N566" s="2" t="s">
        <v>31</v>
      </c>
      <c r="O566" s="2" t="s">
        <v>175</v>
      </c>
      <c r="P566" s="4">
        <v>214.4477</v>
      </c>
      <c r="Q566" s="4">
        <v>4</v>
      </c>
      <c r="R566" s="4">
        <v>51.405700000000003</v>
      </c>
      <c r="S566" s="2" t="s">
        <v>85</v>
      </c>
      <c r="T566" s="2" t="s">
        <v>133</v>
      </c>
    </row>
    <row r="567" spans="1:20" x14ac:dyDescent="0.25">
      <c r="A567" s="2" t="s">
        <v>1432</v>
      </c>
      <c r="B567" s="3">
        <v>42177</v>
      </c>
      <c r="C567" s="3">
        <v>42182</v>
      </c>
      <c r="D567" s="2" t="s">
        <v>55</v>
      </c>
      <c r="E567" s="2" t="s">
        <v>811</v>
      </c>
      <c r="F567" s="2" t="s">
        <v>812</v>
      </c>
      <c r="G567" s="2" t="s">
        <v>24</v>
      </c>
      <c r="H567" s="2" t="s">
        <v>25</v>
      </c>
      <c r="I567" s="2" t="s">
        <v>259</v>
      </c>
      <c r="J567" s="2" t="s">
        <v>260</v>
      </c>
      <c r="K567" s="2" t="s">
        <v>147</v>
      </c>
      <c r="L567" s="2" t="s">
        <v>513</v>
      </c>
      <c r="M567" s="2" t="s">
        <v>30</v>
      </c>
      <c r="N567" s="2" t="s">
        <v>63</v>
      </c>
      <c r="O567" s="2" t="s">
        <v>514</v>
      </c>
      <c r="P567" s="4">
        <v>217.32499999999999</v>
      </c>
      <c r="Q567" s="4">
        <v>1</v>
      </c>
      <c r="R567" s="4">
        <v>103.2281</v>
      </c>
      <c r="S567" s="2" t="s">
        <v>85</v>
      </c>
      <c r="T567" s="2" t="s">
        <v>133</v>
      </c>
    </row>
    <row r="568" spans="1:20" x14ac:dyDescent="0.25">
      <c r="A568" s="2" t="s">
        <v>1432</v>
      </c>
      <c r="B568" s="3">
        <v>42177</v>
      </c>
      <c r="C568" s="3">
        <v>42182</v>
      </c>
      <c r="D568" s="2" t="s">
        <v>55</v>
      </c>
      <c r="E568" s="2" t="s">
        <v>811</v>
      </c>
      <c r="F568" s="2" t="s">
        <v>812</v>
      </c>
      <c r="G568" s="2" t="s">
        <v>24</v>
      </c>
      <c r="H568" s="2" t="s">
        <v>25</v>
      </c>
      <c r="I568" s="2" t="s">
        <v>259</v>
      </c>
      <c r="J568" s="2" t="s">
        <v>260</v>
      </c>
      <c r="K568" s="2" t="s">
        <v>147</v>
      </c>
      <c r="L568" s="2" t="s">
        <v>45</v>
      </c>
      <c r="M568" s="2" t="s">
        <v>30</v>
      </c>
      <c r="N568" s="2" t="s">
        <v>31</v>
      </c>
      <c r="O568" s="2" t="s">
        <v>46</v>
      </c>
      <c r="P568" s="4">
        <v>21.292999999999999</v>
      </c>
      <c r="Q568" s="4">
        <v>1</v>
      </c>
      <c r="R568" s="4">
        <v>1.3436999999999999</v>
      </c>
      <c r="S568" s="2" t="s">
        <v>85</v>
      </c>
      <c r="T568" s="2" t="s">
        <v>133</v>
      </c>
    </row>
    <row r="569" spans="1:20" x14ac:dyDescent="0.25">
      <c r="A569" s="2" t="s">
        <v>1433</v>
      </c>
      <c r="B569" s="3">
        <v>42890</v>
      </c>
      <c r="C569" s="3">
        <v>42897</v>
      </c>
      <c r="D569" s="2" t="s">
        <v>55</v>
      </c>
      <c r="E569" s="2" t="s">
        <v>1434</v>
      </c>
      <c r="F569" s="2" t="s">
        <v>1435</v>
      </c>
      <c r="G569" s="2" t="s">
        <v>58</v>
      </c>
      <c r="H569" s="2" t="s">
        <v>25</v>
      </c>
      <c r="I569" s="2" t="s">
        <v>293</v>
      </c>
      <c r="J569" s="2" t="s">
        <v>260</v>
      </c>
      <c r="K569" s="2" t="s">
        <v>147</v>
      </c>
      <c r="L569" s="2" t="s">
        <v>218</v>
      </c>
      <c r="M569" s="2" t="s">
        <v>30</v>
      </c>
      <c r="N569" s="2" t="s">
        <v>31</v>
      </c>
      <c r="O569" s="2" t="s">
        <v>219</v>
      </c>
      <c r="P569" s="4">
        <v>6.8699000000000003</v>
      </c>
      <c r="Q569" s="4">
        <v>4</v>
      </c>
      <c r="R569" s="4">
        <v>2.2532000000000001</v>
      </c>
      <c r="S569" s="2" t="s">
        <v>107</v>
      </c>
      <c r="T569" s="2" t="s">
        <v>133</v>
      </c>
    </row>
    <row r="570" spans="1:20" x14ac:dyDescent="0.25">
      <c r="A570" s="2" t="s">
        <v>1436</v>
      </c>
      <c r="B570" s="3">
        <v>43016</v>
      </c>
      <c r="C570" s="3">
        <v>43016</v>
      </c>
      <c r="D570" s="2" t="s">
        <v>55</v>
      </c>
      <c r="E570" s="2" t="s">
        <v>1149</v>
      </c>
      <c r="F570" s="2" t="s">
        <v>1150</v>
      </c>
      <c r="G570" s="2" t="s">
        <v>58</v>
      </c>
      <c r="H570" s="2" t="s">
        <v>25</v>
      </c>
      <c r="I570" s="2" t="s">
        <v>552</v>
      </c>
      <c r="J570" s="2" t="s">
        <v>322</v>
      </c>
      <c r="K570" s="2" t="s">
        <v>28</v>
      </c>
      <c r="L570" s="2" t="s">
        <v>415</v>
      </c>
      <c r="M570" s="2" t="s">
        <v>30</v>
      </c>
      <c r="N570" s="2" t="s">
        <v>63</v>
      </c>
      <c r="O570" s="2" t="s">
        <v>416</v>
      </c>
      <c r="P570" s="4">
        <v>137.78049999999999</v>
      </c>
      <c r="Q570" s="4">
        <v>9</v>
      </c>
      <c r="R570" s="4">
        <v>-2.4641000000000002</v>
      </c>
      <c r="S570" s="2" t="s">
        <v>121</v>
      </c>
      <c r="T570" s="2" t="s">
        <v>224</v>
      </c>
    </row>
    <row r="571" spans="1:20" x14ac:dyDescent="0.25">
      <c r="A571" s="2" t="s">
        <v>1436</v>
      </c>
      <c r="B571" s="3">
        <v>43016</v>
      </c>
      <c r="C571" s="3">
        <v>43016</v>
      </c>
      <c r="D571" s="2" t="s">
        <v>55</v>
      </c>
      <c r="E571" s="2" t="s">
        <v>1149</v>
      </c>
      <c r="F571" s="2" t="s">
        <v>1150</v>
      </c>
      <c r="G571" s="2" t="s">
        <v>58</v>
      </c>
      <c r="H571" s="2" t="s">
        <v>25</v>
      </c>
      <c r="I571" s="2" t="s">
        <v>552</v>
      </c>
      <c r="J571" s="2" t="s">
        <v>322</v>
      </c>
      <c r="K571" s="2" t="s">
        <v>28</v>
      </c>
      <c r="L571" s="2" t="s">
        <v>161</v>
      </c>
      <c r="M571" s="2" t="s">
        <v>30</v>
      </c>
      <c r="N571" s="2" t="s">
        <v>162</v>
      </c>
      <c r="O571" s="2" t="s">
        <v>163</v>
      </c>
      <c r="P571" s="4">
        <v>751.79229999999995</v>
      </c>
      <c r="Q571" s="4">
        <v>3</v>
      </c>
      <c r="R571" s="4">
        <v>-480.35660000000001</v>
      </c>
      <c r="S571" s="2" t="s">
        <v>121</v>
      </c>
      <c r="T571" s="2" t="s">
        <v>224</v>
      </c>
    </row>
    <row r="572" spans="1:20" x14ac:dyDescent="0.25">
      <c r="A572" s="2" t="s">
        <v>1437</v>
      </c>
      <c r="B572" s="3">
        <v>42553</v>
      </c>
      <c r="C572" s="3">
        <v>42554</v>
      </c>
      <c r="D572" s="2" t="s">
        <v>55</v>
      </c>
      <c r="E572" s="2" t="s">
        <v>1438</v>
      </c>
      <c r="F572" s="2" t="s">
        <v>1439</v>
      </c>
      <c r="G572" s="2" t="s">
        <v>38</v>
      </c>
      <c r="H572" s="2" t="s">
        <v>25</v>
      </c>
      <c r="I572" s="2" t="s">
        <v>917</v>
      </c>
      <c r="J572" s="2" t="s">
        <v>120</v>
      </c>
      <c r="K572" s="2" t="s">
        <v>61</v>
      </c>
      <c r="L572" s="2" t="s">
        <v>207</v>
      </c>
      <c r="M572" s="2" t="s">
        <v>30</v>
      </c>
      <c r="N572" s="2" t="s">
        <v>31</v>
      </c>
      <c r="O572" s="2" t="s">
        <v>208</v>
      </c>
      <c r="P572" s="4">
        <v>42.251199999999997</v>
      </c>
      <c r="Q572" s="4">
        <v>3</v>
      </c>
      <c r="R572" s="4">
        <v>33.728900000000003</v>
      </c>
      <c r="S572" s="2" t="s">
        <v>33</v>
      </c>
      <c r="T572" s="2" t="s">
        <v>86</v>
      </c>
    </row>
    <row r="573" spans="1:20" x14ac:dyDescent="0.25">
      <c r="A573" s="2" t="s">
        <v>1440</v>
      </c>
      <c r="B573" s="3">
        <v>42867</v>
      </c>
      <c r="C573" s="3">
        <v>42869</v>
      </c>
      <c r="D573" s="2" t="s">
        <v>48</v>
      </c>
      <c r="E573" s="2" t="s">
        <v>110</v>
      </c>
      <c r="F573" s="2" t="s">
        <v>111</v>
      </c>
      <c r="G573" s="2" t="s">
        <v>58</v>
      </c>
      <c r="H573" s="2" t="s">
        <v>25</v>
      </c>
      <c r="I573" s="2" t="s">
        <v>666</v>
      </c>
      <c r="J573" s="2" t="s">
        <v>667</v>
      </c>
      <c r="K573" s="2" t="s">
        <v>28</v>
      </c>
      <c r="L573" s="2" t="s">
        <v>99</v>
      </c>
      <c r="M573" s="2" t="s">
        <v>30</v>
      </c>
      <c r="N573" s="2" t="s">
        <v>42</v>
      </c>
      <c r="O573" s="2" t="s">
        <v>100</v>
      </c>
      <c r="P573" s="4">
        <v>73.631500000000003</v>
      </c>
      <c r="Q573" s="4">
        <v>2</v>
      </c>
      <c r="R573" s="4">
        <v>4.3133999999999997</v>
      </c>
      <c r="S573" s="2" t="s">
        <v>53</v>
      </c>
      <c r="T573" s="2" t="s">
        <v>122</v>
      </c>
    </row>
    <row r="574" spans="1:20" x14ac:dyDescent="0.25">
      <c r="A574" s="2" t="s">
        <v>1441</v>
      </c>
      <c r="B574" s="3">
        <v>41795</v>
      </c>
      <c r="C574" s="3">
        <v>41797</v>
      </c>
      <c r="D574" s="2" t="s">
        <v>21</v>
      </c>
      <c r="E574" s="2" t="s">
        <v>1108</v>
      </c>
      <c r="F574" s="2" t="s">
        <v>1109</v>
      </c>
      <c r="G574" s="2" t="s">
        <v>38</v>
      </c>
      <c r="H574" s="2" t="s">
        <v>25</v>
      </c>
      <c r="I574" s="2" t="s">
        <v>580</v>
      </c>
      <c r="J574" s="2" t="s">
        <v>387</v>
      </c>
      <c r="K574" s="2" t="s">
        <v>61</v>
      </c>
      <c r="L574" s="2" t="s">
        <v>245</v>
      </c>
      <c r="M574" s="2" t="s">
        <v>30</v>
      </c>
      <c r="N574" s="2" t="s">
        <v>42</v>
      </c>
      <c r="O574" s="2" t="s">
        <v>246</v>
      </c>
      <c r="P574" s="4">
        <v>109.9635</v>
      </c>
      <c r="Q574" s="4">
        <v>3</v>
      </c>
      <c r="R574" s="4">
        <v>22.2041</v>
      </c>
      <c r="S574" s="2" t="s">
        <v>53</v>
      </c>
      <c r="T574" s="2" t="s">
        <v>133</v>
      </c>
    </row>
    <row r="575" spans="1:20" x14ac:dyDescent="0.25">
      <c r="A575" s="2" t="s">
        <v>1442</v>
      </c>
      <c r="B575" s="3">
        <v>41763</v>
      </c>
      <c r="C575" s="3">
        <v>41764</v>
      </c>
      <c r="D575" s="2" t="s">
        <v>21</v>
      </c>
      <c r="E575" s="2" t="s">
        <v>1443</v>
      </c>
      <c r="F575" s="2" t="s">
        <v>1444</v>
      </c>
      <c r="G575" s="2" t="s">
        <v>58</v>
      </c>
      <c r="H575" s="2" t="s">
        <v>25</v>
      </c>
      <c r="I575" s="2" t="s">
        <v>212</v>
      </c>
      <c r="J575" s="2" t="s">
        <v>185</v>
      </c>
      <c r="K575" s="2" t="s">
        <v>147</v>
      </c>
      <c r="L575" s="2" t="s">
        <v>453</v>
      </c>
      <c r="M575" s="2" t="s">
        <v>30</v>
      </c>
      <c r="N575" s="2" t="s">
        <v>42</v>
      </c>
      <c r="O575" s="2" t="s">
        <v>454</v>
      </c>
      <c r="P575" s="4">
        <v>507.899</v>
      </c>
      <c r="Q575" s="4">
        <v>3</v>
      </c>
      <c r="R575" s="4">
        <v>86.646500000000003</v>
      </c>
      <c r="S575" s="2" t="s">
        <v>33</v>
      </c>
      <c r="T575" s="2" t="s">
        <v>122</v>
      </c>
    </row>
    <row r="576" spans="1:20" x14ac:dyDescent="0.25">
      <c r="A576" s="2" t="s">
        <v>1445</v>
      </c>
      <c r="B576" s="3">
        <v>42523</v>
      </c>
      <c r="C576" s="3">
        <v>42524</v>
      </c>
      <c r="D576" s="2" t="s">
        <v>55</v>
      </c>
      <c r="E576" s="2" t="s">
        <v>1446</v>
      </c>
      <c r="F576" s="2" t="s">
        <v>1447</v>
      </c>
      <c r="G576" s="2" t="s">
        <v>38</v>
      </c>
      <c r="H576" s="2" t="s">
        <v>25</v>
      </c>
      <c r="I576" s="2" t="s">
        <v>394</v>
      </c>
      <c r="J576" s="2" t="s">
        <v>289</v>
      </c>
      <c r="K576" s="2" t="s">
        <v>82</v>
      </c>
      <c r="L576" s="2" t="s">
        <v>139</v>
      </c>
      <c r="M576" s="2" t="s">
        <v>30</v>
      </c>
      <c r="N576" s="2" t="s">
        <v>42</v>
      </c>
      <c r="O576" s="2" t="s">
        <v>140</v>
      </c>
      <c r="P576" s="4">
        <v>2078.7321000000002</v>
      </c>
      <c r="Q576" s="4">
        <v>1</v>
      </c>
      <c r="R576" s="4">
        <v>259.71890000000002</v>
      </c>
      <c r="S576" s="2" t="s">
        <v>33</v>
      </c>
      <c r="T576" s="2" t="s">
        <v>133</v>
      </c>
    </row>
    <row r="577" spans="1:20" x14ac:dyDescent="0.25">
      <c r="A577" s="2" t="s">
        <v>1448</v>
      </c>
      <c r="B577" s="3">
        <v>41678</v>
      </c>
      <c r="C577" s="3">
        <v>41683</v>
      </c>
      <c r="D577" s="2" t="s">
        <v>55</v>
      </c>
      <c r="E577" s="2" t="s">
        <v>226</v>
      </c>
      <c r="F577" s="2" t="s">
        <v>227</v>
      </c>
      <c r="G577" s="2" t="s">
        <v>38</v>
      </c>
      <c r="H577" s="2" t="s">
        <v>25</v>
      </c>
      <c r="I577" s="2" t="s">
        <v>1449</v>
      </c>
      <c r="J577" s="2" t="s">
        <v>753</v>
      </c>
      <c r="K577" s="2" t="s">
        <v>147</v>
      </c>
      <c r="L577" s="2" t="s">
        <v>113</v>
      </c>
      <c r="M577" s="2" t="s">
        <v>30</v>
      </c>
      <c r="N577" s="2" t="s">
        <v>31</v>
      </c>
      <c r="O577" s="2" t="s">
        <v>114</v>
      </c>
      <c r="P577" s="4">
        <v>54.547400000000003</v>
      </c>
      <c r="Q577" s="4">
        <v>4</v>
      </c>
      <c r="R577" s="4">
        <v>-1.7643</v>
      </c>
      <c r="S577" s="2" t="s">
        <v>85</v>
      </c>
      <c r="T577" s="2" t="s">
        <v>101</v>
      </c>
    </row>
    <row r="578" spans="1:20" x14ac:dyDescent="0.25">
      <c r="A578" s="2" t="s">
        <v>1448</v>
      </c>
      <c r="B578" s="3">
        <v>41678</v>
      </c>
      <c r="C578" s="3">
        <v>41683</v>
      </c>
      <c r="D578" s="2" t="s">
        <v>55</v>
      </c>
      <c r="E578" s="2" t="s">
        <v>226</v>
      </c>
      <c r="F578" s="2" t="s">
        <v>227</v>
      </c>
      <c r="G578" s="2" t="s">
        <v>38</v>
      </c>
      <c r="H578" s="2" t="s">
        <v>25</v>
      </c>
      <c r="I578" s="2" t="s">
        <v>1449</v>
      </c>
      <c r="J578" s="2" t="s">
        <v>753</v>
      </c>
      <c r="K578" s="2" t="s">
        <v>147</v>
      </c>
      <c r="L578" s="2" t="s">
        <v>66</v>
      </c>
      <c r="M578" s="2" t="s">
        <v>30</v>
      </c>
      <c r="N578" s="2" t="s">
        <v>31</v>
      </c>
      <c r="O578" s="2" t="s">
        <v>67</v>
      </c>
      <c r="P578" s="4">
        <v>83.386600000000001</v>
      </c>
      <c r="Q578" s="4">
        <v>3</v>
      </c>
      <c r="R578" s="4">
        <v>9.7172999999999998</v>
      </c>
      <c r="S578" s="2" t="s">
        <v>85</v>
      </c>
      <c r="T578" s="2" t="s">
        <v>101</v>
      </c>
    </row>
    <row r="579" spans="1:20" x14ac:dyDescent="0.25">
      <c r="A579" s="2" t="s">
        <v>1450</v>
      </c>
      <c r="B579" s="3">
        <v>42619</v>
      </c>
      <c r="C579" s="3">
        <v>42626</v>
      </c>
      <c r="D579" s="2" t="s">
        <v>55</v>
      </c>
      <c r="E579" s="2" t="s">
        <v>1451</v>
      </c>
      <c r="F579" s="2" t="s">
        <v>1452</v>
      </c>
      <c r="G579" s="2" t="s">
        <v>24</v>
      </c>
      <c r="H579" s="2" t="s">
        <v>25</v>
      </c>
      <c r="I579" s="2" t="s">
        <v>402</v>
      </c>
      <c r="J579" s="2" t="s">
        <v>403</v>
      </c>
      <c r="K579" s="2" t="s">
        <v>147</v>
      </c>
      <c r="L579" s="2" t="s">
        <v>283</v>
      </c>
      <c r="M579" s="2" t="s">
        <v>30</v>
      </c>
      <c r="N579" s="2" t="s">
        <v>162</v>
      </c>
      <c r="O579" s="2" t="s">
        <v>284</v>
      </c>
      <c r="P579" s="4">
        <v>173.73750000000001</v>
      </c>
      <c r="Q579" s="4">
        <v>2</v>
      </c>
      <c r="R579" s="4">
        <v>34.137599999999999</v>
      </c>
      <c r="S579" s="2" t="s">
        <v>107</v>
      </c>
      <c r="T579" s="2" t="s">
        <v>148</v>
      </c>
    </row>
    <row r="580" spans="1:20" x14ac:dyDescent="0.25">
      <c r="A580" s="2" t="s">
        <v>1453</v>
      </c>
      <c r="B580" s="3">
        <v>42322</v>
      </c>
      <c r="C580" s="3">
        <v>42323</v>
      </c>
      <c r="D580" s="2" t="s">
        <v>48</v>
      </c>
      <c r="E580" s="2" t="s">
        <v>1388</v>
      </c>
      <c r="F580" s="2" t="s">
        <v>1389</v>
      </c>
      <c r="G580" s="2" t="s">
        <v>58</v>
      </c>
      <c r="H580" s="2" t="s">
        <v>25</v>
      </c>
      <c r="I580" s="2" t="s">
        <v>805</v>
      </c>
      <c r="J580" s="2" t="s">
        <v>351</v>
      </c>
      <c r="K580" s="2" t="s">
        <v>147</v>
      </c>
      <c r="L580" s="2" t="s">
        <v>169</v>
      </c>
      <c r="M580" s="2" t="s">
        <v>30</v>
      </c>
      <c r="N580" s="2" t="s">
        <v>162</v>
      </c>
      <c r="O580" s="2" t="s">
        <v>170</v>
      </c>
      <c r="P580" s="4">
        <v>218.6481</v>
      </c>
      <c r="Q580" s="4">
        <v>4</v>
      </c>
      <c r="R580" s="4">
        <v>-19.2759</v>
      </c>
      <c r="S580" s="2" t="s">
        <v>33</v>
      </c>
      <c r="T580" s="2" t="s">
        <v>93</v>
      </c>
    </row>
    <row r="581" spans="1:20" x14ac:dyDescent="0.25">
      <c r="A581" s="2" t="s">
        <v>1454</v>
      </c>
      <c r="B581" s="3">
        <v>42966</v>
      </c>
      <c r="C581" s="3">
        <v>42972</v>
      </c>
      <c r="D581" s="2" t="s">
        <v>55</v>
      </c>
      <c r="E581" s="2" t="s">
        <v>1455</v>
      </c>
      <c r="F581" s="2" t="s">
        <v>1456</v>
      </c>
      <c r="G581" s="2" t="s">
        <v>38</v>
      </c>
      <c r="H581" s="2" t="s">
        <v>25</v>
      </c>
      <c r="I581" s="2" t="s">
        <v>338</v>
      </c>
      <c r="J581" s="2" t="s">
        <v>339</v>
      </c>
      <c r="K581" s="2" t="s">
        <v>82</v>
      </c>
      <c r="L581" s="2" t="s">
        <v>186</v>
      </c>
      <c r="M581" s="2" t="s">
        <v>30</v>
      </c>
      <c r="N581" s="2" t="s">
        <v>31</v>
      </c>
      <c r="O581" s="2" t="s">
        <v>187</v>
      </c>
      <c r="P581" s="4">
        <v>292.3064</v>
      </c>
      <c r="Q581" s="4">
        <v>4</v>
      </c>
      <c r="R581" s="4">
        <v>23.313400000000001</v>
      </c>
      <c r="S581" s="2" t="s">
        <v>65</v>
      </c>
      <c r="T581" s="2" t="s">
        <v>34</v>
      </c>
    </row>
    <row r="582" spans="1:20" x14ac:dyDescent="0.25">
      <c r="A582" s="2" t="s">
        <v>1454</v>
      </c>
      <c r="B582" s="3">
        <v>42966</v>
      </c>
      <c r="C582" s="3">
        <v>42972</v>
      </c>
      <c r="D582" s="2" t="s">
        <v>55</v>
      </c>
      <c r="E582" s="2" t="s">
        <v>1455</v>
      </c>
      <c r="F582" s="2" t="s">
        <v>1456</v>
      </c>
      <c r="G582" s="2" t="s">
        <v>38</v>
      </c>
      <c r="H582" s="2" t="s">
        <v>25</v>
      </c>
      <c r="I582" s="2" t="s">
        <v>338</v>
      </c>
      <c r="J582" s="2" t="s">
        <v>339</v>
      </c>
      <c r="K582" s="2" t="s">
        <v>82</v>
      </c>
      <c r="L582" s="2" t="s">
        <v>161</v>
      </c>
      <c r="M582" s="2" t="s">
        <v>30</v>
      </c>
      <c r="N582" s="2" t="s">
        <v>162</v>
      </c>
      <c r="O582" s="2" t="s">
        <v>163</v>
      </c>
      <c r="P582" s="4">
        <v>172.75399999999999</v>
      </c>
      <c r="Q582" s="4">
        <v>4</v>
      </c>
      <c r="R582" s="4">
        <v>12.7241</v>
      </c>
      <c r="S582" s="2" t="s">
        <v>65</v>
      </c>
      <c r="T582" s="2" t="s">
        <v>34</v>
      </c>
    </row>
    <row r="583" spans="1:20" x14ac:dyDescent="0.25">
      <c r="A583" s="2" t="s">
        <v>1457</v>
      </c>
      <c r="B583" s="3">
        <v>42536</v>
      </c>
      <c r="C583" s="3">
        <v>42542</v>
      </c>
      <c r="D583" s="2" t="s">
        <v>55</v>
      </c>
      <c r="E583" s="2" t="s">
        <v>680</v>
      </c>
      <c r="F583" s="2" t="s">
        <v>681</v>
      </c>
      <c r="G583" s="2" t="s">
        <v>58</v>
      </c>
      <c r="H583" s="2" t="s">
        <v>25</v>
      </c>
      <c r="I583" s="2" t="s">
        <v>355</v>
      </c>
      <c r="J583" s="2" t="s">
        <v>356</v>
      </c>
      <c r="K583" s="2" t="s">
        <v>147</v>
      </c>
      <c r="L583" s="2" t="s">
        <v>169</v>
      </c>
      <c r="M583" s="2" t="s">
        <v>30</v>
      </c>
      <c r="N583" s="2" t="s">
        <v>162</v>
      </c>
      <c r="O583" s="2" t="s">
        <v>170</v>
      </c>
      <c r="P583" s="4">
        <v>834.02959999999996</v>
      </c>
      <c r="Q583" s="4">
        <v>3</v>
      </c>
      <c r="R583" s="4">
        <v>-319.26330000000002</v>
      </c>
      <c r="S583" s="2" t="s">
        <v>65</v>
      </c>
      <c r="T583" s="2" t="s">
        <v>133</v>
      </c>
    </row>
    <row r="584" spans="1:20" x14ac:dyDescent="0.25">
      <c r="A584" s="2" t="s">
        <v>1458</v>
      </c>
      <c r="B584" s="3">
        <v>42663</v>
      </c>
      <c r="C584" s="3">
        <v>42664</v>
      </c>
      <c r="D584" s="2" t="s">
        <v>55</v>
      </c>
      <c r="E584" s="2" t="s">
        <v>1459</v>
      </c>
      <c r="F584" s="2" t="s">
        <v>1460</v>
      </c>
      <c r="G584" s="2" t="s">
        <v>58</v>
      </c>
      <c r="H584" s="2" t="s">
        <v>25</v>
      </c>
      <c r="I584" s="2" t="s">
        <v>805</v>
      </c>
      <c r="J584" s="2" t="s">
        <v>351</v>
      </c>
      <c r="K584" s="2" t="s">
        <v>147</v>
      </c>
      <c r="L584" s="2" t="s">
        <v>113</v>
      </c>
      <c r="M584" s="2" t="s">
        <v>30</v>
      </c>
      <c r="N584" s="2" t="s">
        <v>31</v>
      </c>
      <c r="O584" s="2" t="s">
        <v>114</v>
      </c>
      <c r="P584" s="4">
        <v>529.03480000000002</v>
      </c>
      <c r="Q584" s="4">
        <v>3</v>
      </c>
      <c r="R584" s="4">
        <v>-45.1783</v>
      </c>
      <c r="S584" s="2" t="s">
        <v>33</v>
      </c>
      <c r="T584" s="2" t="s">
        <v>224</v>
      </c>
    </row>
    <row r="585" spans="1:20" x14ac:dyDescent="0.25">
      <c r="A585" s="2" t="s">
        <v>1461</v>
      </c>
      <c r="B585" s="3">
        <v>42578</v>
      </c>
      <c r="C585" s="3">
        <v>42578</v>
      </c>
      <c r="D585" s="2" t="s">
        <v>55</v>
      </c>
      <c r="E585" s="2" t="s">
        <v>1462</v>
      </c>
      <c r="F585" s="2" t="s">
        <v>1463</v>
      </c>
      <c r="G585" s="2" t="s">
        <v>58</v>
      </c>
      <c r="H585" s="2" t="s">
        <v>25</v>
      </c>
      <c r="I585" s="2" t="s">
        <v>902</v>
      </c>
      <c r="J585" s="2" t="s">
        <v>753</v>
      </c>
      <c r="K585" s="2" t="s">
        <v>147</v>
      </c>
      <c r="L585" s="2" t="s">
        <v>174</v>
      </c>
      <c r="M585" s="2" t="s">
        <v>30</v>
      </c>
      <c r="N585" s="2" t="s">
        <v>31</v>
      </c>
      <c r="O585" s="2" t="s">
        <v>175</v>
      </c>
      <c r="P585" s="4">
        <v>9.2485999999999997</v>
      </c>
      <c r="Q585" s="4">
        <v>1</v>
      </c>
      <c r="R585" s="4">
        <v>-3.1351</v>
      </c>
      <c r="S585" s="2" t="s">
        <v>121</v>
      </c>
      <c r="T585" s="2" t="s">
        <v>86</v>
      </c>
    </row>
    <row r="586" spans="1:20" x14ac:dyDescent="0.25">
      <c r="A586" s="2" t="s">
        <v>1464</v>
      </c>
      <c r="B586" s="3">
        <v>42137</v>
      </c>
      <c r="C586" s="3">
        <v>42139</v>
      </c>
      <c r="D586" s="2" t="s">
        <v>55</v>
      </c>
      <c r="E586" s="2" t="s">
        <v>1465</v>
      </c>
      <c r="F586" s="2" t="s">
        <v>1466</v>
      </c>
      <c r="G586" s="2" t="s">
        <v>58</v>
      </c>
      <c r="H586" s="2" t="s">
        <v>25</v>
      </c>
      <c r="I586" s="2" t="s">
        <v>910</v>
      </c>
      <c r="J586" s="2" t="s">
        <v>260</v>
      </c>
      <c r="K586" s="2" t="s">
        <v>147</v>
      </c>
      <c r="L586" s="2" t="s">
        <v>415</v>
      </c>
      <c r="M586" s="2" t="s">
        <v>30</v>
      </c>
      <c r="N586" s="2" t="s">
        <v>63</v>
      </c>
      <c r="O586" s="2" t="s">
        <v>416</v>
      </c>
      <c r="P586" s="4">
        <v>50.200800000000001</v>
      </c>
      <c r="Q586" s="4">
        <v>5</v>
      </c>
      <c r="R586" s="4">
        <v>5.0236999999999998</v>
      </c>
      <c r="S586" s="2" t="s">
        <v>53</v>
      </c>
      <c r="T586" s="2" t="s">
        <v>122</v>
      </c>
    </row>
    <row r="587" spans="1:20" x14ac:dyDescent="0.25">
      <c r="A587" s="2" t="s">
        <v>1464</v>
      </c>
      <c r="B587" s="3">
        <v>42137</v>
      </c>
      <c r="C587" s="3">
        <v>42139</v>
      </c>
      <c r="D587" s="2" t="s">
        <v>55</v>
      </c>
      <c r="E587" s="2" t="s">
        <v>1465</v>
      </c>
      <c r="F587" s="2" t="s">
        <v>1466</v>
      </c>
      <c r="G587" s="2" t="s">
        <v>58</v>
      </c>
      <c r="H587" s="2" t="s">
        <v>25</v>
      </c>
      <c r="I587" s="2" t="s">
        <v>910</v>
      </c>
      <c r="J587" s="2" t="s">
        <v>260</v>
      </c>
      <c r="K587" s="2" t="s">
        <v>147</v>
      </c>
      <c r="L587" s="2" t="s">
        <v>344</v>
      </c>
      <c r="M587" s="2" t="s">
        <v>30</v>
      </c>
      <c r="N587" s="2" t="s">
        <v>42</v>
      </c>
      <c r="O587" s="2" t="s">
        <v>345</v>
      </c>
      <c r="P587" s="4">
        <v>96.299400000000006</v>
      </c>
      <c r="Q587" s="4">
        <v>6</v>
      </c>
      <c r="R587" s="4">
        <v>-24.566400000000002</v>
      </c>
      <c r="S587" s="2" t="s">
        <v>53</v>
      </c>
      <c r="T587" s="2" t="s">
        <v>122</v>
      </c>
    </row>
    <row r="588" spans="1:20" x14ac:dyDescent="0.25">
      <c r="A588" s="2" t="s">
        <v>1467</v>
      </c>
      <c r="B588" s="3">
        <v>42900</v>
      </c>
      <c r="C588" s="3">
        <v>42902</v>
      </c>
      <c r="D588" s="2" t="s">
        <v>55</v>
      </c>
      <c r="E588" s="2" t="s">
        <v>1468</v>
      </c>
      <c r="F588" s="2" t="s">
        <v>1469</v>
      </c>
      <c r="G588" s="2" t="s">
        <v>38</v>
      </c>
      <c r="H588" s="2" t="s">
        <v>25</v>
      </c>
      <c r="I588" s="2" t="s">
        <v>223</v>
      </c>
      <c r="J588" s="2" t="s">
        <v>81</v>
      </c>
      <c r="K588" s="2" t="s">
        <v>82</v>
      </c>
      <c r="L588" s="2" t="s">
        <v>207</v>
      </c>
      <c r="M588" s="2" t="s">
        <v>30</v>
      </c>
      <c r="N588" s="2" t="s">
        <v>31</v>
      </c>
      <c r="O588" s="2" t="s">
        <v>208</v>
      </c>
      <c r="P588" s="4">
        <v>52.939599999999999</v>
      </c>
      <c r="Q588" s="4">
        <v>2</v>
      </c>
      <c r="R588" s="4">
        <v>10.9146</v>
      </c>
      <c r="S588" s="2" t="s">
        <v>53</v>
      </c>
      <c r="T588" s="2" t="s">
        <v>133</v>
      </c>
    </row>
    <row r="589" spans="1:20" x14ac:dyDescent="0.25">
      <c r="A589" s="2" t="s">
        <v>1470</v>
      </c>
      <c r="B589" s="3">
        <v>41733</v>
      </c>
      <c r="C589" s="3">
        <v>41738</v>
      </c>
      <c r="D589" s="2" t="s">
        <v>55</v>
      </c>
      <c r="E589" s="2" t="s">
        <v>1434</v>
      </c>
      <c r="F589" s="2" t="s">
        <v>1435</v>
      </c>
      <c r="G589" s="2" t="s">
        <v>58</v>
      </c>
      <c r="H589" s="2" t="s">
        <v>25</v>
      </c>
      <c r="I589" s="2" t="s">
        <v>1118</v>
      </c>
      <c r="J589" s="2" t="s">
        <v>435</v>
      </c>
      <c r="K589" s="2" t="s">
        <v>61</v>
      </c>
      <c r="L589" s="2" t="s">
        <v>612</v>
      </c>
      <c r="M589" s="2" t="s">
        <v>30</v>
      </c>
      <c r="N589" s="2" t="s">
        <v>162</v>
      </c>
      <c r="O589" s="2" t="s">
        <v>613</v>
      </c>
      <c r="P589" s="4">
        <v>404.30579999999998</v>
      </c>
      <c r="Q589" s="4">
        <v>1</v>
      </c>
      <c r="R589" s="4">
        <v>237.87389999999999</v>
      </c>
      <c r="S589" s="2" t="s">
        <v>85</v>
      </c>
      <c r="T589" s="2" t="s">
        <v>108</v>
      </c>
    </row>
    <row r="590" spans="1:20" x14ac:dyDescent="0.25">
      <c r="A590" s="2" t="s">
        <v>1471</v>
      </c>
      <c r="B590" s="3">
        <v>41723</v>
      </c>
      <c r="C590" s="3">
        <v>41723</v>
      </c>
      <c r="D590" s="2" t="s">
        <v>48</v>
      </c>
      <c r="E590" s="2" t="s">
        <v>117</v>
      </c>
      <c r="F590" s="2" t="s">
        <v>118</v>
      </c>
      <c r="G590" s="2" t="s">
        <v>38</v>
      </c>
      <c r="H590" s="2" t="s">
        <v>25</v>
      </c>
      <c r="I590" s="2" t="s">
        <v>682</v>
      </c>
      <c r="J590" s="2" t="s">
        <v>632</v>
      </c>
      <c r="K590" s="2" t="s">
        <v>82</v>
      </c>
      <c r="L590" s="2" t="s">
        <v>73</v>
      </c>
      <c r="M590" s="2" t="s">
        <v>30</v>
      </c>
      <c r="N590" s="2" t="s">
        <v>42</v>
      </c>
      <c r="O590" s="2" t="s">
        <v>74</v>
      </c>
      <c r="P590" s="4">
        <v>1469.2340999999999</v>
      </c>
      <c r="Q590" s="4">
        <v>3</v>
      </c>
      <c r="R590" s="4">
        <v>428.14060000000001</v>
      </c>
      <c r="S590" s="2" t="s">
        <v>121</v>
      </c>
      <c r="T590" s="2" t="s">
        <v>44</v>
      </c>
    </row>
    <row r="591" spans="1:20" x14ac:dyDescent="0.25">
      <c r="A591" s="2" t="s">
        <v>1472</v>
      </c>
      <c r="B591" s="3">
        <v>43087</v>
      </c>
      <c r="C591" s="3">
        <v>43091</v>
      </c>
      <c r="D591" s="2" t="s">
        <v>55</v>
      </c>
      <c r="E591" s="2" t="s">
        <v>1473</v>
      </c>
      <c r="F591" s="2" t="s">
        <v>1474</v>
      </c>
      <c r="G591" s="2" t="s">
        <v>38</v>
      </c>
      <c r="H591" s="2" t="s">
        <v>25</v>
      </c>
      <c r="I591" s="2" t="s">
        <v>631</v>
      </c>
      <c r="J591" s="2" t="s">
        <v>632</v>
      </c>
      <c r="K591" s="2" t="s">
        <v>82</v>
      </c>
      <c r="L591" s="2" t="s">
        <v>677</v>
      </c>
      <c r="M591" s="2" t="s">
        <v>30</v>
      </c>
      <c r="N591" s="2" t="s">
        <v>162</v>
      </c>
      <c r="O591" s="2" t="s">
        <v>678</v>
      </c>
      <c r="P591" s="4">
        <v>372.82100000000003</v>
      </c>
      <c r="Q591" s="4">
        <v>7</v>
      </c>
      <c r="R591" s="4">
        <v>-83.451999999999998</v>
      </c>
      <c r="S591" s="2" t="s">
        <v>75</v>
      </c>
      <c r="T591" s="2" t="s">
        <v>76</v>
      </c>
    </row>
    <row r="592" spans="1:20" x14ac:dyDescent="0.25">
      <c r="A592" s="2" t="s">
        <v>1475</v>
      </c>
      <c r="B592" s="3">
        <v>42890</v>
      </c>
      <c r="C592" s="3">
        <v>42892</v>
      </c>
      <c r="D592" s="2" t="s">
        <v>21</v>
      </c>
      <c r="E592" s="2" t="s">
        <v>88</v>
      </c>
      <c r="F592" s="2" t="s">
        <v>89</v>
      </c>
      <c r="G592" s="2" t="s">
        <v>58</v>
      </c>
      <c r="H592" s="2" t="s">
        <v>25</v>
      </c>
      <c r="I592" s="2" t="s">
        <v>1114</v>
      </c>
      <c r="J592" s="2" t="s">
        <v>138</v>
      </c>
      <c r="K592" s="2" t="s">
        <v>82</v>
      </c>
      <c r="L592" s="2" t="s">
        <v>1476</v>
      </c>
      <c r="M592" s="2" t="s">
        <v>30</v>
      </c>
      <c r="N592" s="2" t="s">
        <v>63</v>
      </c>
      <c r="O592" s="2" t="s">
        <v>1477</v>
      </c>
      <c r="P592" s="4">
        <v>75.386600000000001</v>
      </c>
      <c r="Q592" s="4">
        <v>3</v>
      </c>
      <c r="R592" s="4">
        <v>-15.547000000000001</v>
      </c>
      <c r="S592" s="2" t="s">
        <v>53</v>
      </c>
      <c r="T592" s="2" t="s">
        <v>133</v>
      </c>
    </row>
    <row r="593" spans="1:20" x14ac:dyDescent="0.25">
      <c r="A593" s="2" t="s">
        <v>1478</v>
      </c>
      <c r="B593" s="3">
        <v>42033</v>
      </c>
      <c r="C593" s="3">
        <v>42036</v>
      </c>
      <c r="D593" s="2" t="s">
        <v>55</v>
      </c>
      <c r="E593" s="2" t="s">
        <v>1479</v>
      </c>
      <c r="F593" s="2" t="s">
        <v>1480</v>
      </c>
      <c r="G593" s="2" t="s">
        <v>24</v>
      </c>
      <c r="H593" s="2" t="s">
        <v>25</v>
      </c>
      <c r="I593" s="2" t="s">
        <v>539</v>
      </c>
      <c r="J593" s="2" t="s">
        <v>91</v>
      </c>
      <c r="K593" s="2" t="s">
        <v>61</v>
      </c>
      <c r="L593" s="2" t="s">
        <v>316</v>
      </c>
      <c r="M593" s="2" t="s">
        <v>30</v>
      </c>
      <c r="N593" s="2" t="s">
        <v>42</v>
      </c>
      <c r="O593" s="2" t="s">
        <v>317</v>
      </c>
      <c r="P593" s="4">
        <v>154.34450000000001</v>
      </c>
      <c r="Q593" s="4">
        <v>3</v>
      </c>
      <c r="R593" s="4">
        <v>30.999700000000001</v>
      </c>
      <c r="S593" s="2" t="s">
        <v>92</v>
      </c>
      <c r="T593" s="2" t="s">
        <v>115</v>
      </c>
    </row>
    <row r="594" spans="1:20" x14ac:dyDescent="0.25">
      <c r="A594" s="2" t="s">
        <v>1481</v>
      </c>
      <c r="B594" s="3">
        <v>43043</v>
      </c>
      <c r="C594" s="3">
        <v>43049</v>
      </c>
      <c r="D594" s="2" t="s">
        <v>55</v>
      </c>
      <c r="E594" s="2" t="s">
        <v>1482</v>
      </c>
      <c r="F594" s="2" t="s">
        <v>1483</v>
      </c>
      <c r="G594" s="2" t="s">
        <v>58</v>
      </c>
      <c r="H594" s="2" t="s">
        <v>25</v>
      </c>
      <c r="I594" s="2" t="s">
        <v>752</v>
      </c>
      <c r="J594" s="2" t="s">
        <v>753</v>
      </c>
      <c r="K594" s="2" t="s">
        <v>147</v>
      </c>
      <c r="L594" s="2" t="s">
        <v>66</v>
      </c>
      <c r="M594" s="2" t="s">
        <v>30</v>
      </c>
      <c r="N594" s="2" t="s">
        <v>31</v>
      </c>
      <c r="O594" s="2" t="s">
        <v>67</v>
      </c>
      <c r="P594" s="4">
        <v>2.9413999999999998</v>
      </c>
      <c r="Q594" s="4">
        <v>4</v>
      </c>
      <c r="R594" s="4">
        <v>-4.5999999999999999E-3</v>
      </c>
      <c r="S594" s="2" t="s">
        <v>65</v>
      </c>
      <c r="T594" s="2" t="s">
        <v>93</v>
      </c>
    </row>
    <row r="595" spans="1:20" x14ac:dyDescent="0.25">
      <c r="A595" s="2" t="s">
        <v>1484</v>
      </c>
      <c r="B595" s="3">
        <v>41728</v>
      </c>
      <c r="C595" s="3">
        <v>41729</v>
      </c>
      <c r="D595" s="2" t="s">
        <v>55</v>
      </c>
      <c r="E595" s="2" t="s">
        <v>1485</v>
      </c>
      <c r="F595" s="2" t="s">
        <v>1486</v>
      </c>
      <c r="G595" s="2" t="s">
        <v>24</v>
      </c>
      <c r="H595" s="2" t="s">
        <v>25</v>
      </c>
      <c r="I595" s="2" t="s">
        <v>138</v>
      </c>
      <c r="J595" s="2" t="s">
        <v>407</v>
      </c>
      <c r="K595" s="2" t="s">
        <v>28</v>
      </c>
      <c r="L595" s="2" t="s">
        <v>139</v>
      </c>
      <c r="M595" s="2" t="s">
        <v>30</v>
      </c>
      <c r="N595" s="2" t="s">
        <v>42</v>
      </c>
      <c r="O595" s="2" t="s">
        <v>140</v>
      </c>
      <c r="P595" s="4">
        <v>837.43169999999998</v>
      </c>
      <c r="Q595" s="4">
        <v>6</v>
      </c>
      <c r="R595" s="4">
        <v>235.28440000000001</v>
      </c>
      <c r="S595" s="2" t="s">
        <v>33</v>
      </c>
      <c r="T595" s="2" t="s">
        <v>44</v>
      </c>
    </row>
    <row r="596" spans="1:20" x14ac:dyDescent="0.25">
      <c r="A596" s="2" t="s">
        <v>1487</v>
      </c>
      <c r="B596" s="3">
        <v>42853</v>
      </c>
      <c r="C596" s="3">
        <v>42854</v>
      </c>
      <c r="D596" s="2" t="s">
        <v>55</v>
      </c>
      <c r="E596" s="2" t="s">
        <v>851</v>
      </c>
      <c r="F596" s="2" t="s">
        <v>852</v>
      </c>
      <c r="G596" s="2" t="s">
        <v>58</v>
      </c>
      <c r="H596" s="2" t="s">
        <v>25</v>
      </c>
      <c r="I596" s="2" t="s">
        <v>917</v>
      </c>
      <c r="J596" s="2" t="s">
        <v>120</v>
      </c>
      <c r="K596" s="2" t="s">
        <v>61</v>
      </c>
      <c r="L596" s="2" t="s">
        <v>333</v>
      </c>
      <c r="M596" s="2" t="s">
        <v>30</v>
      </c>
      <c r="N596" s="2" t="s">
        <v>162</v>
      </c>
      <c r="O596" s="2" t="s">
        <v>334</v>
      </c>
      <c r="P596" s="4">
        <v>113.13420000000001</v>
      </c>
      <c r="Q596" s="4">
        <v>4</v>
      </c>
      <c r="R596" s="4">
        <v>16.820900000000002</v>
      </c>
      <c r="S596" s="2" t="s">
        <v>33</v>
      </c>
      <c r="T596" s="2" t="s">
        <v>108</v>
      </c>
    </row>
    <row r="597" spans="1:20" x14ac:dyDescent="0.25">
      <c r="A597" s="2" t="s">
        <v>1488</v>
      </c>
      <c r="B597" s="3">
        <v>42409</v>
      </c>
      <c r="C597" s="3">
        <v>42416</v>
      </c>
      <c r="D597" s="2" t="s">
        <v>55</v>
      </c>
      <c r="E597" s="2" t="s">
        <v>738</v>
      </c>
      <c r="F597" s="2" t="s">
        <v>739</v>
      </c>
      <c r="G597" s="2" t="s">
        <v>58</v>
      </c>
      <c r="H597" s="2" t="s">
        <v>25</v>
      </c>
      <c r="I597" s="2" t="s">
        <v>233</v>
      </c>
      <c r="J597" s="2" t="s">
        <v>234</v>
      </c>
      <c r="K597" s="2" t="s">
        <v>82</v>
      </c>
      <c r="L597" s="2" t="s">
        <v>139</v>
      </c>
      <c r="M597" s="2" t="s">
        <v>30</v>
      </c>
      <c r="N597" s="2" t="s">
        <v>42</v>
      </c>
      <c r="O597" s="2" t="s">
        <v>140</v>
      </c>
      <c r="P597" s="4">
        <v>41.810899999999997</v>
      </c>
      <c r="Q597" s="4">
        <v>2</v>
      </c>
      <c r="R597" s="4">
        <v>-8.1640999999999995</v>
      </c>
      <c r="S597" s="2" t="s">
        <v>107</v>
      </c>
      <c r="T597" s="2" t="s">
        <v>101</v>
      </c>
    </row>
    <row r="598" spans="1:20" x14ac:dyDescent="0.25">
      <c r="A598" s="2" t="s">
        <v>1489</v>
      </c>
      <c r="B598" s="3">
        <v>42037</v>
      </c>
      <c r="C598" s="3">
        <v>42041</v>
      </c>
      <c r="D598" s="2" t="s">
        <v>55</v>
      </c>
      <c r="E598" s="2" t="s">
        <v>1490</v>
      </c>
      <c r="F598" s="2" t="s">
        <v>1491</v>
      </c>
      <c r="G598" s="2" t="s">
        <v>58</v>
      </c>
      <c r="H598" s="2" t="s">
        <v>25</v>
      </c>
      <c r="I598" s="2" t="s">
        <v>566</v>
      </c>
      <c r="J598" s="2" t="s">
        <v>424</v>
      </c>
      <c r="K598" s="2" t="s">
        <v>28</v>
      </c>
      <c r="L598" s="2" t="s">
        <v>66</v>
      </c>
      <c r="M598" s="2" t="s">
        <v>30</v>
      </c>
      <c r="N598" s="2" t="s">
        <v>31</v>
      </c>
      <c r="O598" s="2" t="s">
        <v>67</v>
      </c>
      <c r="P598" s="4">
        <v>110.30880000000001</v>
      </c>
      <c r="Q598" s="4">
        <v>1</v>
      </c>
      <c r="R598" s="4">
        <v>7.3334000000000001</v>
      </c>
      <c r="S598" s="2" t="s">
        <v>75</v>
      </c>
      <c r="T598" s="2" t="s">
        <v>101</v>
      </c>
    </row>
    <row r="599" spans="1:20" x14ac:dyDescent="0.25">
      <c r="A599" s="2" t="s">
        <v>1492</v>
      </c>
      <c r="B599" s="3">
        <v>42496</v>
      </c>
      <c r="C599" s="3">
        <v>42500</v>
      </c>
      <c r="D599" s="2" t="s">
        <v>21</v>
      </c>
      <c r="E599" s="2" t="s">
        <v>972</v>
      </c>
      <c r="F599" s="2" t="s">
        <v>973</v>
      </c>
      <c r="G599" s="2" t="s">
        <v>58</v>
      </c>
      <c r="H599" s="2" t="s">
        <v>25</v>
      </c>
      <c r="I599" s="2" t="s">
        <v>1375</v>
      </c>
      <c r="J599" s="2" t="s">
        <v>72</v>
      </c>
      <c r="K599" s="2" t="s">
        <v>61</v>
      </c>
      <c r="L599" s="2" t="s">
        <v>113</v>
      </c>
      <c r="M599" s="2" t="s">
        <v>30</v>
      </c>
      <c r="N599" s="2" t="s">
        <v>31</v>
      </c>
      <c r="O599" s="2" t="s">
        <v>114</v>
      </c>
      <c r="P599" s="4">
        <v>182.12289999999999</v>
      </c>
      <c r="Q599" s="4">
        <v>2</v>
      </c>
      <c r="R599" s="4">
        <v>-39.609000000000002</v>
      </c>
      <c r="S599" s="2" t="s">
        <v>75</v>
      </c>
      <c r="T599" s="2" t="s">
        <v>122</v>
      </c>
    </row>
    <row r="600" spans="1:20" x14ac:dyDescent="0.25">
      <c r="A600" s="2" t="s">
        <v>1492</v>
      </c>
      <c r="B600" s="3">
        <v>42496</v>
      </c>
      <c r="C600" s="3">
        <v>42500</v>
      </c>
      <c r="D600" s="2" t="s">
        <v>21</v>
      </c>
      <c r="E600" s="2" t="s">
        <v>972</v>
      </c>
      <c r="F600" s="2" t="s">
        <v>973</v>
      </c>
      <c r="G600" s="2" t="s">
        <v>58</v>
      </c>
      <c r="H600" s="2" t="s">
        <v>25</v>
      </c>
      <c r="I600" s="2" t="s">
        <v>1375</v>
      </c>
      <c r="J600" s="2" t="s">
        <v>72</v>
      </c>
      <c r="K600" s="2" t="s">
        <v>61</v>
      </c>
      <c r="L600" s="2" t="s">
        <v>252</v>
      </c>
      <c r="M600" s="2" t="s">
        <v>30</v>
      </c>
      <c r="N600" s="2" t="s">
        <v>31</v>
      </c>
      <c r="O600" s="2" t="s">
        <v>253</v>
      </c>
      <c r="P600" s="4">
        <v>31.211600000000001</v>
      </c>
      <c r="Q600" s="4">
        <v>4</v>
      </c>
      <c r="R600" s="4">
        <v>18.100200000000001</v>
      </c>
      <c r="S600" s="2" t="s">
        <v>75</v>
      </c>
      <c r="T600" s="2" t="s">
        <v>122</v>
      </c>
    </row>
    <row r="601" spans="1:20" x14ac:dyDescent="0.25">
      <c r="A601" s="2" t="s">
        <v>1493</v>
      </c>
      <c r="B601" s="3">
        <v>42483</v>
      </c>
      <c r="C601" s="3">
        <v>42484</v>
      </c>
      <c r="D601" s="2" t="s">
        <v>21</v>
      </c>
      <c r="E601" s="2" t="s">
        <v>1361</v>
      </c>
      <c r="F601" s="2" t="s">
        <v>1362</v>
      </c>
      <c r="G601" s="2" t="s">
        <v>38</v>
      </c>
      <c r="H601" s="2" t="s">
        <v>25</v>
      </c>
      <c r="I601" s="2" t="s">
        <v>394</v>
      </c>
      <c r="J601" s="2" t="s">
        <v>289</v>
      </c>
      <c r="K601" s="2" t="s">
        <v>82</v>
      </c>
      <c r="L601" s="2" t="s">
        <v>333</v>
      </c>
      <c r="M601" s="2" t="s">
        <v>30</v>
      </c>
      <c r="N601" s="2" t="s">
        <v>162</v>
      </c>
      <c r="O601" s="2" t="s">
        <v>334</v>
      </c>
      <c r="P601" s="4">
        <v>118.56310000000001</v>
      </c>
      <c r="Q601" s="4">
        <v>2</v>
      </c>
      <c r="R601" s="4">
        <v>-0.98219999999999996</v>
      </c>
      <c r="S601" s="2" t="s">
        <v>33</v>
      </c>
      <c r="T601" s="2" t="s">
        <v>108</v>
      </c>
    </row>
    <row r="602" spans="1:20" x14ac:dyDescent="0.25">
      <c r="A602" s="2" t="s">
        <v>1494</v>
      </c>
      <c r="B602" s="3">
        <v>42851</v>
      </c>
      <c r="C602" s="3">
        <v>42851</v>
      </c>
      <c r="D602" s="2" t="s">
        <v>142</v>
      </c>
      <c r="E602" s="2" t="s">
        <v>392</v>
      </c>
      <c r="F602" s="2" t="s">
        <v>393</v>
      </c>
      <c r="G602" s="2" t="s">
        <v>24</v>
      </c>
      <c r="H602" s="2" t="s">
        <v>25</v>
      </c>
      <c r="I602" s="2" t="s">
        <v>501</v>
      </c>
      <c r="J602" s="2" t="s">
        <v>234</v>
      </c>
      <c r="K602" s="2" t="s">
        <v>82</v>
      </c>
      <c r="L602" s="2" t="s">
        <v>372</v>
      </c>
      <c r="M602" s="2" t="s">
        <v>30</v>
      </c>
      <c r="N602" s="2" t="s">
        <v>162</v>
      </c>
      <c r="O602" s="2" t="s">
        <v>373</v>
      </c>
      <c r="P602" s="4">
        <v>241.87860000000001</v>
      </c>
      <c r="Q602" s="4">
        <v>4</v>
      </c>
      <c r="R602" s="4">
        <v>25.9495</v>
      </c>
      <c r="S602" s="2" t="s">
        <v>121</v>
      </c>
      <c r="T602" s="2" t="s">
        <v>108</v>
      </c>
    </row>
    <row r="603" spans="1:20" x14ac:dyDescent="0.25">
      <c r="A603" s="2" t="s">
        <v>1495</v>
      </c>
      <c r="B603" s="3">
        <v>42727</v>
      </c>
      <c r="C603" s="3">
        <v>42727</v>
      </c>
      <c r="D603" s="2" t="s">
        <v>55</v>
      </c>
      <c r="E603" s="2" t="s">
        <v>664</v>
      </c>
      <c r="F603" s="2" t="s">
        <v>665</v>
      </c>
      <c r="G603" s="2" t="s">
        <v>38</v>
      </c>
      <c r="H603" s="2" t="s">
        <v>25</v>
      </c>
      <c r="I603" s="2" t="s">
        <v>184</v>
      </c>
      <c r="J603" s="2" t="s">
        <v>185</v>
      </c>
      <c r="K603" s="2" t="s">
        <v>147</v>
      </c>
      <c r="L603" s="2" t="s">
        <v>333</v>
      </c>
      <c r="M603" s="2" t="s">
        <v>30</v>
      </c>
      <c r="N603" s="2" t="s">
        <v>162</v>
      </c>
      <c r="O603" s="2" t="s">
        <v>334</v>
      </c>
      <c r="P603" s="4">
        <v>512.02250000000004</v>
      </c>
      <c r="Q603" s="4">
        <v>1</v>
      </c>
      <c r="R603" s="4">
        <v>94.006200000000007</v>
      </c>
      <c r="S603" s="2" t="s">
        <v>121</v>
      </c>
      <c r="T603" s="2" t="s">
        <v>76</v>
      </c>
    </row>
    <row r="604" spans="1:20" x14ac:dyDescent="0.25">
      <c r="A604" s="2" t="s">
        <v>1496</v>
      </c>
      <c r="B604" s="3">
        <v>41911</v>
      </c>
      <c r="C604" s="3">
        <v>41912</v>
      </c>
      <c r="D604" s="2" t="s">
        <v>21</v>
      </c>
      <c r="E604" s="2" t="s">
        <v>1497</v>
      </c>
      <c r="F604" s="2" t="s">
        <v>1498</v>
      </c>
      <c r="G604" s="2" t="s">
        <v>58</v>
      </c>
      <c r="H604" s="2" t="s">
        <v>25</v>
      </c>
      <c r="I604" s="2" t="s">
        <v>1449</v>
      </c>
      <c r="J604" s="2" t="s">
        <v>753</v>
      </c>
      <c r="K604" s="2" t="s">
        <v>147</v>
      </c>
      <c r="L604" s="2" t="s">
        <v>218</v>
      </c>
      <c r="M604" s="2" t="s">
        <v>30</v>
      </c>
      <c r="N604" s="2" t="s">
        <v>31</v>
      </c>
      <c r="O604" s="2" t="s">
        <v>219</v>
      </c>
      <c r="P604" s="4">
        <v>34.109400000000001</v>
      </c>
      <c r="Q604" s="4">
        <v>4</v>
      </c>
      <c r="R604" s="4">
        <v>-18.785900000000002</v>
      </c>
      <c r="S604" s="2" t="s">
        <v>33</v>
      </c>
      <c r="T604" s="2" t="s">
        <v>148</v>
      </c>
    </row>
    <row r="605" spans="1:20" x14ac:dyDescent="0.25">
      <c r="A605" s="2" t="s">
        <v>1499</v>
      </c>
      <c r="B605" s="3">
        <v>42835</v>
      </c>
      <c r="C605" s="3">
        <v>42840</v>
      </c>
      <c r="D605" s="2" t="s">
        <v>55</v>
      </c>
      <c r="E605" s="2" t="s">
        <v>1500</v>
      </c>
      <c r="F605" s="2" t="s">
        <v>1501</v>
      </c>
      <c r="G605" s="2" t="s">
        <v>58</v>
      </c>
      <c r="H605" s="2" t="s">
        <v>25</v>
      </c>
      <c r="I605" s="2" t="s">
        <v>458</v>
      </c>
      <c r="J605" s="2" t="s">
        <v>27</v>
      </c>
      <c r="K605" s="2" t="s">
        <v>28</v>
      </c>
      <c r="L605" s="2" t="s">
        <v>174</v>
      </c>
      <c r="M605" s="2" t="s">
        <v>30</v>
      </c>
      <c r="N605" s="2" t="s">
        <v>31</v>
      </c>
      <c r="O605" s="2" t="s">
        <v>175</v>
      </c>
      <c r="P605" s="4">
        <v>61.976199999999999</v>
      </c>
      <c r="Q605" s="4">
        <v>6</v>
      </c>
      <c r="R605" s="4">
        <v>27.310400000000001</v>
      </c>
      <c r="S605" s="2" t="s">
        <v>85</v>
      </c>
      <c r="T605" s="2" t="s">
        <v>108</v>
      </c>
    </row>
    <row r="606" spans="1:20" x14ac:dyDescent="0.25">
      <c r="A606" s="2" t="s">
        <v>1502</v>
      </c>
      <c r="B606" s="3">
        <v>42924</v>
      </c>
      <c r="C606" s="3">
        <v>42928</v>
      </c>
      <c r="D606" s="2" t="s">
        <v>55</v>
      </c>
      <c r="E606" s="2" t="s">
        <v>1503</v>
      </c>
      <c r="F606" s="2" t="s">
        <v>1504</v>
      </c>
      <c r="G606" s="2" t="s">
        <v>24</v>
      </c>
      <c r="H606" s="2" t="s">
        <v>25</v>
      </c>
      <c r="I606" s="2" t="s">
        <v>90</v>
      </c>
      <c r="J606" s="2" t="s">
        <v>91</v>
      </c>
      <c r="K606" s="2" t="s">
        <v>61</v>
      </c>
      <c r="L606" s="2" t="s">
        <v>29</v>
      </c>
      <c r="M606" s="2" t="s">
        <v>30</v>
      </c>
      <c r="N606" s="2" t="s">
        <v>31</v>
      </c>
      <c r="O606" s="2" t="s">
        <v>32</v>
      </c>
      <c r="P606" s="4">
        <v>67.178100000000001</v>
      </c>
      <c r="Q606" s="4">
        <v>4</v>
      </c>
      <c r="R606" s="4">
        <v>1.0218</v>
      </c>
      <c r="S606" s="2" t="s">
        <v>75</v>
      </c>
      <c r="T606" s="2" t="s">
        <v>86</v>
      </c>
    </row>
    <row r="607" spans="1:20" x14ac:dyDescent="0.25">
      <c r="A607" s="2" t="s">
        <v>1505</v>
      </c>
      <c r="B607" s="3">
        <v>42064</v>
      </c>
      <c r="C607" s="3">
        <v>42064</v>
      </c>
      <c r="D607" s="2" t="s">
        <v>48</v>
      </c>
      <c r="E607" s="2" t="s">
        <v>276</v>
      </c>
      <c r="F607" s="2" t="s">
        <v>277</v>
      </c>
      <c r="G607" s="2" t="s">
        <v>24</v>
      </c>
      <c r="H607" s="2" t="s">
        <v>25</v>
      </c>
      <c r="I607" s="2" t="s">
        <v>861</v>
      </c>
      <c r="J607" s="2" t="s">
        <v>403</v>
      </c>
      <c r="K607" s="2" t="s">
        <v>147</v>
      </c>
      <c r="L607" s="2" t="s">
        <v>933</v>
      </c>
      <c r="M607" s="2" t="s">
        <v>30</v>
      </c>
      <c r="N607" s="2" t="s">
        <v>162</v>
      </c>
      <c r="O607" s="2" t="s">
        <v>934</v>
      </c>
      <c r="P607" s="4">
        <v>809.33360000000005</v>
      </c>
      <c r="Q607" s="4">
        <v>2</v>
      </c>
      <c r="R607" s="4">
        <v>78.997600000000006</v>
      </c>
      <c r="S607" s="2" t="s">
        <v>121</v>
      </c>
      <c r="T607" s="2" t="s">
        <v>44</v>
      </c>
    </row>
    <row r="608" spans="1:20" x14ac:dyDescent="0.25">
      <c r="A608" s="2" t="s">
        <v>1506</v>
      </c>
      <c r="B608" s="3">
        <v>42388</v>
      </c>
      <c r="C608" s="3">
        <v>42393</v>
      </c>
      <c r="D608" s="2" t="s">
        <v>55</v>
      </c>
      <c r="E608" s="2" t="s">
        <v>262</v>
      </c>
      <c r="F608" s="2" t="s">
        <v>263</v>
      </c>
      <c r="G608" s="2" t="s">
        <v>38</v>
      </c>
      <c r="H608" s="2" t="s">
        <v>25</v>
      </c>
      <c r="I608" s="2" t="s">
        <v>402</v>
      </c>
      <c r="J608" s="2" t="s">
        <v>403</v>
      </c>
      <c r="K608" s="2" t="s">
        <v>147</v>
      </c>
      <c r="L608" s="2" t="s">
        <v>139</v>
      </c>
      <c r="M608" s="2" t="s">
        <v>30</v>
      </c>
      <c r="N608" s="2" t="s">
        <v>42</v>
      </c>
      <c r="O608" s="2" t="s">
        <v>140</v>
      </c>
      <c r="P608" s="4">
        <v>538.39589999999998</v>
      </c>
      <c r="Q608" s="4">
        <v>5</v>
      </c>
      <c r="R608" s="4">
        <v>135.71619999999999</v>
      </c>
      <c r="S608" s="2" t="s">
        <v>85</v>
      </c>
      <c r="T608" s="2" t="s">
        <v>115</v>
      </c>
    </row>
    <row r="609" spans="1:20" x14ac:dyDescent="0.25">
      <c r="A609" s="2" t="s">
        <v>1507</v>
      </c>
      <c r="B609" s="3">
        <v>42828</v>
      </c>
      <c r="C609" s="3">
        <v>42828</v>
      </c>
      <c r="D609" s="2" t="s">
        <v>55</v>
      </c>
      <c r="E609" s="2" t="s">
        <v>210</v>
      </c>
      <c r="F609" s="2" t="s">
        <v>211</v>
      </c>
      <c r="G609" s="2" t="s">
        <v>58</v>
      </c>
      <c r="H609" s="2" t="s">
        <v>25</v>
      </c>
      <c r="I609" s="2" t="s">
        <v>539</v>
      </c>
      <c r="J609" s="2" t="s">
        <v>91</v>
      </c>
      <c r="K609" s="2" t="s">
        <v>61</v>
      </c>
      <c r="L609" s="2" t="s">
        <v>139</v>
      </c>
      <c r="M609" s="2" t="s">
        <v>30</v>
      </c>
      <c r="N609" s="2" t="s">
        <v>42</v>
      </c>
      <c r="O609" s="2" t="s">
        <v>140</v>
      </c>
      <c r="P609" s="4">
        <v>398.99209999999999</v>
      </c>
      <c r="Q609" s="4">
        <v>1</v>
      </c>
      <c r="R609" s="4">
        <v>24.252099999999999</v>
      </c>
      <c r="S609" s="2" t="s">
        <v>121</v>
      </c>
      <c r="T609" s="2" t="s">
        <v>108</v>
      </c>
    </row>
    <row r="610" spans="1:20" x14ac:dyDescent="0.25">
      <c r="A610" s="2" t="s">
        <v>1508</v>
      </c>
      <c r="B610" s="3">
        <v>42666</v>
      </c>
      <c r="C610" s="3">
        <v>42667</v>
      </c>
      <c r="D610" s="2" t="s">
        <v>55</v>
      </c>
      <c r="E610" s="2" t="s">
        <v>1509</v>
      </c>
      <c r="F610" s="2" t="s">
        <v>1510</v>
      </c>
      <c r="G610" s="2" t="s">
        <v>38</v>
      </c>
      <c r="H610" s="2" t="s">
        <v>25</v>
      </c>
      <c r="I610" s="2" t="s">
        <v>205</v>
      </c>
      <c r="J610" s="2" t="s">
        <v>206</v>
      </c>
      <c r="K610" s="2" t="s">
        <v>61</v>
      </c>
      <c r="L610" s="2" t="s">
        <v>252</v>
      </c>
      <c r="M610" s="2" t="s">
        <v>30</v>
      </c>
      <c r="N610" s="2" t="s">
        <v>31</v>
      </c>
      <c r="O610" s="2" t="s">
        <v>253</v>
      </c>
      <c r="P610" s="4">
        <v>112.2946</v>
      </c>
      <c r="Q610" s="4">
        <v>5</v>
      </c>
      <c r="R610" s="4">
        <v>13.9148</v>
      </c>
      <c r="S610" s="2" t="s">
        <v>33</v>
      </c>
      <c r="T610" s="2" t="s">
        <v>224</v>
      </c>
    </row>
    <row r="611" spans="1:20" x14ac:dyDescent="0.25">
      <c r="A611" s="2" t="s">
        <v>1511</v>
      </c>
      <c r="B611" s="3">
        <v>41804</v>
      </c>
      <c r="C611" s="3">
        <v>41806</v>
      </c>
      <c r="D611" s="2" t="s">
        <v>55</v>
      </c>
      <c r="E611" s="2" t="s">
        <v>845</v>
      </c>
      <c r="F611" s="2" t="s">
        <v>846</v>
      </c>
      <c r="G611" s="2" t="s">
        <v>58</v>
      </c>
      <c r="H611" s="2" t="s">
        <v>25</v>
      </c>
      <c r="I611" s="2" t="s">
        <v>1212</v>
      </c>
      <c r="J611" s="2" t="s">
        <v>496</v>
      </c>
      <c r="K611" s="2" t="s">
        <v>147</v>
      </c>
      <c r="L611" s="2" t="s">
        <v>113</v>
      </c>
      <c r="M611" s="2" t="s">
        <v>30</v>
      </c>
      <c r="N611" s="2" t="s">
        <v>31</v>
      </c>
      <c r="O611" s="2" t="s">
        <v>114</v>
      </c>
      <c r="P611" s="4">
        <v>86.090299999999999</v>
      </c>
      <c r="Q611" s="4">
        <v>5</v>
      </c>
      <c r="R611" s="4">
        <v>-13.6394</v>
      </c>
      <c r="S611" s="2" t="s">
        <v>53</v>
      </c>
      <c r="T611" s="2" t="s">
        <v>133</v>
      </c>
    </row>
    <row r="612" spans="1:20" x14ac:dyDescent="0.25">
      <c r="A612" s="2" t="s">
        <v>1512</v>
      </c>
      <c r="B612" s="3">
        <v>42924</v>
      </c>
      <c r="C612" s="3">
        <v>42924</v>
      </c>
      <c r="D612" s="2" t="s">
        <v>55</v>
      </c>
      <c r="E612" s="2" t="s">
        <v>975</v>
      </c>
      <c r="F612" s="2" t="s">
        <v>976</v>
      </c>
      <c r="G612" s="2" t="s">
        <v>58</v>
      </c>
      <c r="H612" s="2" t="s">
        <v>25</v>
      </c>
      <c r="I612" s="2" t="s">
        <v>309</v>
      </c>
      <c r="J612" s="2" t="s">
        <v>310</v>
      </c>
      <c r="K612" s="2" t="s">
        <v>28</v>
      </c>
      <c r="L612" s="2" t="s">
        <v>1476</v>
      </c>
      <c r="M612" s="2" t="s">
        <v>30</v>
      </c>
      <c r="N612" s="2" t="s">
        <v>63</v>
      </c>
      <c r="O612" s="2" t="s">
        <v>1477</v>
      </c>
      <c r="P612" s="4">
        <v>509.42340000000002</v>
      </c>
      <c r="Q612" s="4">
        <v>3</v>
      </c>
      <c r="R612" s="4">
        <v>281.27890000000002</v>
      </c>
      <c r="S612" s="2" t="s">
        <v>121</v>
      </c>
      <c r="T612" s="2" t="s">
        <v>86</v>
      </c>
    </row>
    <row r="613" spans="1:20" x14ac:dyDescent="0.25">
      <c r="A613" s="2" t="s">
        <v>1513</v>
      </c>
      <c r="B613" s="3">
        <v>42704</v>
      </c>
      <c r="C613" s="3">
        <v>42708</v>
      </c>
      <c r="D613" s="2" t="s">
        <v>21</v>
      </c>
      <c r="E613" s="2" t="s">
        <v>1514</v>
      </c>
      <c r="F613" s="2" t="s">
        <v>1515</v>
      </c>
      <c r="G613" s="2" t="s">
        <v>38</v>
      </c>
      <c r="H613" s="2" t="s">
        <v>25</v>
      </c>
      <c r="I613" s="2" t="s">
        <v>205</v>
      </c>
      <c r="J613" s="2" t="s">
        <v>206</v>
      </c>
      <c r="K613" s="2" t="s">
        <v>61</v>
      </c>
      <c r="L613" s="2" t="s">
        <v>169</v>
      </c>
      <c r="M613" s="2" t="s">
        <v>30</v>
      </c>
      <c r="N613" s="2" t="s">
        <v>162</v>
      </c>
      <c r="O613" s="2" t="s">
        <v>170</v>
      </c>
      <c r="P613" s="4">
        <v>485.88760000000002</v>
      </c>
      <c r="Q613" s="4">
        <v>3</v>
      </c>
      <c r="R613" s="4">
        <v>2.6568999999999998</v>
      </c>
      <c r="S613" s="2" t="s">
        <v>75</v>
      </c>
      <c r="T613" s="2" t="s">
        <v>93</v>
      </c>
    </row>
    <row r="614" spans="1:20" x14ac:dyDescent="0.25">
      <c r="A614" s="2" t="s">
        <v>1513</v>
      </c>
      <c r="B614" s="3">
        <v>42704</v>
      </c>
      <c r="C614" s="3">
        <v>42708</v>
      </c>
      <c r="D614" s="2" t="s">
        <v>21</v>
      </c>
      <c r="E614" s="2" t="s">
        <v>1514</v>
      </c>
      <c r="F614" s="2" t="s">
        <v>1515</v>
      </c>
      <c r="G614" s="2" t="s">
        <v>38</v>
      </c>
      <c r="H614" s="2" t="s">
        <v>25</v>
      </c>
      <c r="I614" s="2" t="s">
        <v>205</v>
      </c>
      <c r="J614" s="2" t="s">
        <v>206</v>
      </c>
      <c r="K614" s="2" t="s">
        <v>61</v>
      </c>
      <c r="L614" s="2" t="s">
        <v>131</v>
      </c>
      <c r="M614" s="2" t="s">
        <v>30</v>
      </c>
      <c r="N614" s="2" t="s">
        <v>31</v>
      </c>
      <c r="O614" s="2" t="s">
        <v>132</v>
      </c>
      <c r="P614" s="4">
        <v>4.8381999999999996</v>
      </c>
      <c r="Q614" s="4">
        <v>6</v>
      </c>
      <c r="R614" s="4">
        <v>-0.9345</v>
      </c>
      <c r="S614" s="2" t="s">
        <v>75</v>
      </c>
      <c r="T614" s="2" t="s">
        <v>93</v>
      </c>
    </row>
    <row r="615" spans="1:20" x14ac:dyDescent="0.25">
      <c r="A615" s="2" t="s">
        <v>1516</v>
      </c>
      <c r="B615" s="3">
        <v>41991</v>
      </c>
      <c r="C615" s="3">
        <v>41998</v>
      </c>
      <c r="D615" s="2" t="s">
        <v>55</v>
      </c>
      <c r="E615" s="2" t="s">
        <v>1517</v>
      </c>
      <c r="F615" s="2" t="s">
        <v>1518</v>
      </c>
      <c r="G615" s="2" t="s">
        <v>58</v>
      </c>
      <c r="H615" s="2" t="s">
        <v>25</v>
      </c>
      <c r="I615" s="2" t="s">
        <v>594</v>
      </c>
      <c r="J615" s="2" t="s">
        <v>595</v>
      </c>
      <c r="K615" s="2" t="s">
        <v>61</v>
      </c>
      <c r="L615" s="2" t="s">
        <v>323</v>
      </c>
      <c r="M615" s="2" t="s">
        <v>30</v>
      </c>
      <c r="N615" s="2" t="s">
        <v>31</v>
      </c>
      <c r="O615" s="2" t="s">
        <v>324</v>
      </c>
      <c r="P615" s="4">
        <v>17.0518</v>
      </c>
      <c r="Q615" s="4">
        <v>4</v>
      </c>
      <c r="R615" s="4">
        <v>6.5641999999999996</v>
      </c>
      <c r="S615" s="2" t="s">
        <v>107</v>
      </c>
      <c r="T615" s="2" t="s">
        <v>76</v>
      </c>
    </row>
    <row r="616" spans="1:20" x14ac:dyDescent="0.25">
      <c r="A616" s="2" t="s">
        <v>1516</v>
      </c>
      <c r="B616" s="3">
        <v>41991</v>
      </c>
      <c r="C616" s="3">
        <v>41998</v>
      </c>
      <c r="D616" s="2" t="s">
        <v>55</v>
      </c>
      <c r="E616" s="2" t="s">
        <v>1517</v>
      </c>
      <c r="F616" s="2" t="s">
        <v>1518</v>
      </c>
      <c r="G616" s="2" t="s">
        <v>58</v>
      </c>
      <c r="H616" s="2" t="s">
        <v>25</v>
      </c>
      <c r="I616" s="2" t="s">
        <v>594</v>
      </c>
      <c r="J616" s="2" t="s">
        <v>595</v>
      </c>
      <c r="K616" s="2" t="s">
        <v>61</v>
      </c>
      <c r="L616" s="2" t="s">
        <v>131</v>
      </c>
      <c r="M616" s="2" t="s">
        <v>30</v>
      </c>
      <c r="N616" s="2" t="s">
        <v>31</v>
      </c>
      <c r="O616" s="2" t="s">
        <v>132</v>
      </c>
      <c r="P616" s="4">
        <v>110.82089999999999</v>
      </c>
      <c r="Q616" s="4">
        <v>1</v>
      </c>
      <c r="R616" s="4">
        <v>18.055399999999999</v>
      </c>
      <c r="S616" s="2" t="s">
        <v>107</v>
      </c>
      <c r="T616" s="2" t="s">
        <v>76</v>
      </c>
    </row>
    <row r="617" spans="1:20" x14ac:dyDescent="0.25">
      <c r="A617" s="2" t="s">
        <v>1516</v>
      </c>
      <c r="B617" s="3">
        <v>41991</v>
      </c>
      <c r="C617" s="3">
        <v>41998</v>
      </c>
      <c r="D617" s="2" t="s">
        <v>55</v>
      </c>
      <c r="E617" s="2" t="s">
        <v>1517</v>
      </c>
      <c r="F617" s="2" t="s">
        <v>1518</v>
      </c>
      <c r="G617" s="2" t="s">
        <v>58</v>
      </c>
      <c r="H617" s="2" t="s">
        <v>25</v>
      </c>
      <c r="I617" s="2" t="s">
        <v>594</v>
      </c>
      <c r="J617" s="2" t="s">
        <v>595</v>
      </c>
      <c r="K617" s="2" t="s">
        <v>61</v>
      </c>
      <c r="L617" s="2" t="s">
        <v>316</v>
      </c>
      <c r="M617" s="2" t="s">
        <v>30</v>
      </c>
      <c r="N617" s="2" t="s">
        <v>42</v>
      </c>
      <c r="O617" s="2" t="s">
        <v>317</v>
      </c>
      <c r="P617" s="4">
        <v>214.5641</v>
      </c>
      <c r="Q617" s="4">
        <v>2</v>
      </c>
      <c r="R617" s="4">
        <v>-46.4497</v>
      </c>
      <c r="S617" s="2" t="s">
        <v>107</v>
      </c>
      <c r="T617" s="2" t="s">
        <v>76</v>
      </c>
    </row>
    <row r="618" spans="1:20" x14ac:dyDescent="0.25">
      <c r="A618" s="2" t="s">
        <v>1519</v>
      </c>
      <c r="B618" s="3">
        <v>43090</v>
      </c>
      <c r="C618" s="3">
        <v>43094</v>
      </c>
      <c r="D618" s="2" t="s">
        <v>55</v>
      </c>
      <c r="E618" s="2" t="s">
        <v>1520</v>
      </c>
      <c r="F618" s="2" t="s">
        <v>1521</v>
      </c>
      <c r="G618" s="2" t="s">
        <v>58</v>
      </c>
      <c r="H618" s="2" t="s">
        <v>25</v>
      </c>
      <c r="I618" s="2" t="s">
        <v>805</v>
      </c>
      <c r="J618" s="2" t="s">
        <v>351</v>
      </c>
      <c r="K618" s="2" t="s">
        <v>147</v>
      </c>
      <c r="L618" s="2" t="s">
        <v>154</v>
      </c>
      <c r="M618" s="2" t="s">
        <v>30</v>
      </c>
      <c r="N618" s="2" t="s">
        <v>42</v>
      </c>
      <c r="O618" s="2" t="s">
        <v>155</v>
      </c>
      <c r="P618" s="4">
        <v>101.116</v>
      </c>
      <c r="Q618" s="4">
        <v>6</v>
      </c>
      <c r="R618" s="4">
        <v>-10.5166</v>
      </c>
      <c r="S618" s="2" t="s">
        <v>75</v>
      </c>
      <c r="T618" s="2" t="s">
        <v>76</v>
      </c>
    </row>
    <row r="619" spans="1:20" x14ac:dyDescent="0.25">
      <c r="A619" s="2" t="s">
        <v>1522</v>
      </c>
      <c r="B619" s="3">
        <v>41711</v>
      </c>
      <c r="C619" s="3">
        <v>41712</v>
      </c>
      <c r="D619" s="2" t="s">
        <v>55</v>
      </c>
      <c r="E619" s="2" t="s">
        <v>957</v>
      </c>
      <c r="F619" s="2" t="s">
        <v>958</v>
      </c>
      <c r="G619" s="2" t="s">
        <v>58</v>
      </c>
      <c r="H619" s="2" t="s">
        <v>25</v>
      </c>
      <c r="I619" s="2" t="s">
        <v>191</v>
      </c>
      <c r="J619" s="2" t="s">
        <v>192</v>
      </c>
      <c r="K619" s="2" t="s">
        <v>82</v>
      </c>
      <c r="L619" s="2" t="s">
        <v>200</v>
      </c>
      <c r="M619" s="2" t="s">
        <v>30</v>
      </c>
      <c r="N619" s="2" t="s">
        <v>162</v>
      </c>
      <c r="O619" s="2" t="s">
        <v>201</v>
      </c>
      <c r="P619" s="4">
        <v>416.76049999999998</v>
      </c>
      <c r="Q619" s="4">
        <v>2</v>
      </c>
      <c r="R619" s="4">
        <v>96.218800000000002</v>
      </c>
      <c r="S619" s="2" t="s">
        <v>33</v>
      </c>
      <c r="T619" s="2" t="s">
        <v>44</v>
      </c>
    </row>
    <row r="620" spans="1:20" x14ac:dyDescent="0.25">
      <c r="A620" s="2" t="s">
        <v>1522</v>
      </c>
      <c r="B620" s="3">
        <v>41711</v>
      </c>
      <c r="C620" s="3">
        <v>41712</v>
      </c>
      <c r="D620" s="2" t="s">
        <v>55</v>
      </c>
      <c r="E620" s="2" t="s">
        <v>957</v>
      </c>
      <c r="F620" s="2" t="s">
        <v>958</v>
      </c>
      <c r="G620" s="2" t="s">
        <v>58</v>
      </c>
      <c r="H620" s="2" t="s">
        <v>25</v>
      </c>
      <c r="I620" s="2" t="s">
        <v>191</v>
      </c>
      <c r="J620" s="2" t="s">
        <v>192</v>
      </c>
      <c r="K620" s="2" t="s">
        <v>82</v>
      </c>
      <c r="L620" s="2" t="s">
        <v>66</v>
      </c>
      <c r="M620" s="2" t="s">
        <v>30</v>
      </c>
      <c r="N620" s="2" t="s">
        <v>31</v>
      </c>
      <c r="O620" s="2" t="s">
        <v>67</v>
      </c>
      <c r="P620" s="4">
        <v>15.1953</v>
      </c>
      <c r="Q620" s="4">
        <v>6</v>
      </c>
      <c r="R620" s="4">
        <v>4.6242000000000001</v>
      </c>
      <c r="S620" s="2" t="s">
        <v>33</v>
      </c>
      <c r="T620" s="2" t="s">
        <v>44</v>
      </c>
    </row>
    <row r="621" spans="1:20" x14ac:dyDescent="0.25">
      <c r="A621" s="2" t="s">
        <v>1523</v>
      </c>
      <c r="B621" s="3">
        <v>42295</v>
      </c>
      <c r="C621" s="3">
        <v>42299</v>
      </c>
      <c r="D621" s="2" t="s">
        <v>55</v>
      </c>
      <c r="E621" s="2" t="s">
        <v>1524</v>
      </c>
      <c r="F621" s="2" t="s">
        <v>1525</v>
      </c>
      <c r="G621" s="2" t="s">
        <v>24</v>
      </c>
      <c r="H621" s="2" t="s">
        <v>25</v>
      </c>
      <c r="I621" s="2" t="s">
        <v>159</v>
      </c>
      <c r="J621" s="2" t="s">
        <v>160</v>
      </c>
      <c r="K621" s="2" t="s">
        <v>61</v>
      </c>
      <c r="L621" s="2" t="s">
        <v>29</v>
      </c>
      <c r="M621" s="2" t="s">
        <v>30</v>
      </c>
      <c r="N621" s="2" t="s">
        <v>31</v>
      </c>
      <c r="O621" s="2" t="s">
        <v>32</v>
      </c>
      <c r="P621" s="4">
        <v>43.990900000000003</v>
      </c>
      <c r="Q621" s="4">
        <v>7</v>
      </c>
      <c r="R621" s="4">
        <v>21.379000000000001</v>
      </c>
      <c r="S621" s="2" t="s">
        <v>75</v>
      </c>
      <c r="T621" s="2" t="s">
        <v>224</v>
      </c>
    </row>
    <row r="622" spans="1:20" x14ac:dyDescent="0.25">
      <c r="A622" s="2" t="s">
        <v>1523</v>
      </c>
      <c r="B622" s="3">
        <v>42295</v>
      </c>
      <c r="C622" s="3">
        <v>42299</v>
      </c>
      <c r="D622" s="2" t="s">
        <v>55</v>
      </c>
      <c r="E622" s="2" t="s">
        <v>1524</v>
      </c>
      <c r="F622" s="2" t="s">
        <v>1525</v>
      </c>
      <c r="G622" s="2" t="s">
        <v>24</v>
      </c>
      <c r="H622" s="2" t="s">
        <v>25</v>
      </c>
      <c r="I622" s="2" t="s">
        <v>159</v>
      </c>
      <c r="J622" s="2" t="s">
        <v>160</v>
      </c>
      <c r="K622" s="2" t="s">
        <v>61</v>
      </c>
      <c r="L622" s="2" t="s">
        <v>29</v>
      </c>
      <c r="M622" s="2" t="s">
        <v>30</v>
      </c>
      <c r="N622" s="2" t="s">
        <v>31</v>
      </c>
      <c r="O622" s="2" t="s">
        <v>32</v>
      </c>
      <c r="P622" s="4">
        <v>35.032899999999998</v>
      </c>
      <c r="Q622" s="4">
        <v>1</v>
      </c>
      <c r="R622" s="4">
        <v>1.8819999999999999</v>
      </c>
      <c r="S622" s="2" t="s">
        <v>75</v>
      </c>
      <c r="T622" s="2" t="s">
        <v>224</v>
      </c>
    </row>
    <row r="623" spans="1:20" x14ac:dyDescent="0.25">
      <c r="A623" s="2" t="s">
        <v>1523</v>
      </c>
      <c r="B623" s="3">
        <v>42295</v>
      </c>
      <c r="C623" s="3">
        <v>42299</v>
      </c>
      <c r="D623" s="2" t="s">
        <v>55</v>
      </c>
      <c r="E623" s="2" t="s">
        <v>1524</v>
      </c>
      <c r="F623" s="2" t="s">
        <v>1525</v>
      </c>
      <c r="G623" s="2" t="s">
        <v>24</v>
      </c>
      <c r="H623" s="2" t="s">
        <v>25</v>
      </c>
      <c r="I623" s="2" t="s">
        <v>159</v>
      </c>
      <c r="J623" s="2" t="s">
        <v>160</v>
      </c>
      <c r="K623" s="2" t="s">
        <v>61</v>
      </c>
      <c r="L623" s="2" t="s">
        <v>66</v>
      </c>
      <c r="M623" s="2" t="s">
        <v>30</v>
      </c>
      <c r="N623" s="2" t="s">
        <v>31</v>
      </c>
      <c r="O623" s="2" t="s">
        <v>67</v>
      </c>
      <c r="P623" s="4">
        <v>29.0946</v>
      </c>
      <c r="Q623" s="4">
        <v>2</v>
      </c>
      <c r="R623" s="4">
        <v>-10.4314</v>
      </c>
      <c r="S623" s="2" t="s">
        <v>75</v>
      </c>
      <c r="T623" s="2" t="s">
        <v>224</v>
      </c>
    </row>
    <row r="624" spans="1:20" x14ac:dyDescent="0.25">
      <c r="A624" s="2" t="s">
        <v>1526</v>
      </c>
      <c r="B624" s="3">
        <v>42333</v>
      </c>
      <c r="C624" s="3">
        <v>42333</v>
      </c>
      <c r="D624" s="2" t="s">
        <v>55</v>
      </c>
      <c r="E624" s="2" t="s">
        <v>664</v>
      </c>
      <c r="F624" s="2" t="s">
        <v>665</v>
      </c>
      <c r="G624" s="2" t="s">
        <v>24</v>
      </c>
      <c r="H624" s="2" t="s">
        <v>25</v>
      </c>
      <c r="I624" s="2" t="s">
        <v>649</v>
      </c>
      <c r="J624" s="2" t="s">
        <v>279</v>
      </c>
      <c r="K624" s="2" t="s">
        <v>28</v>
      </c>
      <c r="L624" s="2" t="s">
        <v>66</v>
      </c>
      <c r="M624" s="2" t="s">
        <v>30</v>
      </c>
      <c r="N624" s="2" t="s">
        <v>31</v>
      </c>
      <c r="O624" s="2" t="s">
        <v>67</v>
      </c>
      <c r="P624" s="4">
        <v>54.033099999999997</v>
      </c>
      <c r="Q624" s="4">
        <v>2</v>
      </c>
      <c r="R624" s="4">
        <v>32.207999999999998</v>
      </c>
      <c r="S624" s="2" t="s">
        <v>121</v>
      </c>
      <c r="T624" s="2" t="s">
        <v>93</v>
      </c>
    </row>
    <row r="625" spans="1:20" x14ac:dyDescent="0.25">
      <c r="A625" s="2" t="s">
        <v>1527</v>
      </c>
      <c r="B625" s="3">
        <v>42371</v>
      </c>
      <c r="C625" s="3">
        <v>42373</v>
      </c>
      <c r="D625" s="2" t="s">
        <v>21</v>
      </c>
      <c r="E625" s="2" t="s">
        <v>711</v>
      </c>
      <c r="F625" s="2" t="s">
        <v>712</v>
      </c>
      <c r="G625" s="2" t="s">
        <v>58</v>
      </c>
      <c r="H625" s="2" t="s">
        <v>25</v>
      </c>
      <c r="I625" s="2" t="s">
        <v>623</v>
      </c>
      <c r="J625" s="2" t="s">
        <v>40</v>
      </c>
      <c r="K625" s="2" t="s">
        <v>28</v>
      </c>
      <c r="L625" s="2" t="s">
        <v>618</v>
      </c>
      <c r="M625" s="2" t="s">
        <v>30</v>
      </c>
      <c r="N625" s="2" t="s">
        <v>63</v>
      </c>
      <c r="O625" s="2" t="s">
        <v>619</v>
      </c>
      <c r="P625" s="4">
        <v>171.18819999999999</v>
      </c>
      <c r="Q625" s="4">
        <v>2</v>
      </c>
      <c r="R625" s="4">
        <v>88.074100000000001</v>
      </c>
      <c r="S625" s="2" t="s">
        <v>53</v>
      </c>
      <c r="T625" s="2" t="s">
        <v>115</v>
      </c>
    </row>
    <row r="626" spans="1:20" x14ac:dyDescent="0.25">
      <c r="A626" s="2" t="s">
        <v>1528</v>
      </c>
      <c r="B626" s="3">
        <v>43026</v>
      </c>
      <c r="C626" s="3">
        <v>43027</v>
      </c>
      <c r="D626" s="2" t="s">
        <v>48</v>
      </c>
      <c r="E626" s="2" t="s">
        <v>1529</v>
      </c>
      <c r="F626" s="2" t="s">
        <v>1530</v>
      </c>
      <c r="G626" s="2" t="s">
        <v>58</v>
      </c>
      <c r="H626" s="2" t="s">
        <v>25</v>
      </c>
      <c r="I626" s="2" t="s">
        <v>80</v>
      </c>
      <c r="J626" s="2" t="s">
        <v>81</v>
      </c>
      <c r="K626" s="2" t="s">
        <v>82</v>
      </c>
      <c r="L626" s="2" t="s">
        <v>45</v>
      </c>
      <c r="M626" s="2" t="s">
        <v>30</v>
      </c>
      <c r="N626" s="2" t="s">
        <v>31</v>
      </c>
      <c r="O626" s="2" t="s">
        <v>46</v>
      </c>
      <c r="P626" s="4">
        <v>9.9894999999999996</v>
      </c>
      <c r="Q626" s="4">
        <v>2</v>
      </c>
      <c r="R626" s="4">
        <v>-3.8182999999999998</v>
      </c>
      <c r="S626" s="2" t="s">
        <v>33</v>
      </c>
      <c r="T626" s="2" t="s">
        <v>224</v>
      </c>
    </row>
    <row r="627" spans="1:20" x14ac:dyDescent="0.25">
      <c r="A627" s="2" t="s">
        <v>1531</v>
      </c>
      <c r="B627" s="3">
        <v>42397</v>
      </c>
      <c r="C627" s="3">
        <v>42397</v>
      </c>
      <c r="D627" s="2" t="s">
        <v>142</v>
      </c>
      <c r="E627" s="2" t="s">
        <v>1199</v>
      </c>
      <c r="F627" s="2" t="s">
        <v>1200</v>
      </c>
      <c r="G627" s="2" t="s">
        <v>58</v>
      </c>
      <c r="H627" s="2" t="s">
        <v>25</v>
      </c>
      <c r="I627" s="2" t="s">
        <v>505</v>
      </c>
      <c r="J627" s="2" t="s">
        <v>244</v>
      </c>
      <c r="K627" s="2" t="s">
        <v>61</v>
      </c>
      <c r="L627" s="2" t="s">
        <v>793</v>
      </c>
      <c r="M627" s="2" t="s">
        <v>30</v>
      </c>
      <c r="N627" s="2" t="s">
        <v>63</v>
      </c>
      <c r="O627" s="2" t="s">
        <v>794</v>
      </c>
      <c r="P627" s="4">
        <v>275.29419999999999</v>
      </c>
      <c r="Q627" s="4">
        <v>5</v>
      </c>
      <c r="R627" s="4">
        <v>-121.54389999999999</v>
      </c>
      <c r="S627" s="2" t="s">
        <v>121</v>
      </c>
      <c r="T627" s="2" t="s">
        <v>115</v>
      </c>
    </row>
    <row r="628" spans="1:20" x14ac:dyDescent="0.25">
      <c r="A628" s="2" t="s">
        <v>1531</v>
      </c>
      <c r="B628" s="3">
        <v>42397</v>
      </c>
      <c r="C628" s="3">
        <v>42397</v>
      </c>
      <c r="D628" s="2" t="s">
        <v>142</v>
      </c>
      <c r="E628" s="2" t="s">
        <v>1199</v>
      </c>
      <c r="F628" s="2" t="s">
        <v>1200</v>
      </c>
      <c r="G628" s="2" t="s">
        <v>58</v>
      </c>
      <c r="H628" s="2" t="s">
        <v>25</v>
      </c>
      <c r="I628" s="2" t="s">
        <v>505</v>
      </c>
      <c r="J628" s="2" t="s">
        <v>244</v>
      </c>
      <c r="K628" s="2" t="s">
        <v>61</v>
      </c>
      <c r="L628" s="2" t="s">
        <v>218</v>
      </c>
      <c r="M628" s="2" t="s">
        <v>30</v>
      </c>
      <c r="N628" s="2" t="s">
        <v>31</v>
      </c>
      <c r="O628" s="2" t="s">
        <v>219</v>
      </c>
      <c r="P628" s="4">
        <v>23.4941</v>
      </c>
      <c r="Q628" s="4">
        <v>3</v>
      </c>
      <c r="R628" s="4">
        <v>2.7484999999999999</v>
      </c>
      <c r="S628" s="2" t="s">
        <v>121</v>
      </c>
      <c r="T628" s="2" t="s">
        <v>115</v>
      </c>
    </row>
    <row r="629" spans="1:20" x14ac:dyDescent="0.25">
      <c r="A629" s="2" t="s">
        <v>1532</v>
      </c>
      <c r="B629" s="3">
        <v>42491</v>
      </c>
      <c r="C629" s="3">
        <v>42493</v>
      </c>
      <c r="D629" s="2" t="s">
        <v>48</v>
      </c>
      <c r="E629" s="2" t="s">
        <v>189</v>
      </c>
      <c r="F629" s="2" t="s">
        <v>190</v>
      </c>
      <c r="G629" s="2" t="s">
        <v>58</v>
      </c>
      <c r="H629" s="2" t="s">
        <v>25</v>
      </c>
      <c r="I629" s="2" t="s">
        <v>198</v>
      </c>
      <c r="J629" s="2" t="s">
        <v>199</v>
      </c>
      <c r="K629" s="2" t="s">
        <v>82</v>
      </c>
      <c r="L629" s="2" t="s">
        <v>139</v>
      </c>
      <c r="M629" s="2" t="s">
        <v>30</v>
      </c>
      <c r="N629" s="2" t="s">
        <v>42</v>
      </c>
      <c r="O629" s="2" t="s">
        <v>140</v>
      </c>
      <c r="P629" s="4">
        <v>433.65230000000003</v>
      </c>
      <c r="Q629" s="4">
        <v>4</v>
      </c>
      <c r="R629" s="4">
        <v>-60.033299999999997</v>
      </c>
      <c r="S629" s="2" t="s">
        <v>53</v>
      </c>
      <c r="T629" s="2" t="s">
        <v>122</v>
      </c>
    </row>
    <row r="630" spans="1:20" x14ac:dyDescent="0.25">
      <c r="A630" s="2" t="s">
        <v>1533</v>
      </c>
      <c r="B630" s="3">
        <v>42715</v>
      </c>
      <c r="C630" s="3">
        <v>42719</v>
      </c>
      <c r="D630" s="2" t="s">
        <v>55</v>
      </c>
      <c r="E630" s="2" t="s">
        <v>1534</v>
      </c>
      <c r="F630" s="2" t="s">
        <v>1535</v>
      </c>
      <c r="G630" s="2" t="s">
        <v>24</v>
      </c>
      <c r="H630" s="2" t="s">
        <v>25</v>
      </c>
      <c r="I630" s="2" t="s">
        <v>126</v>
      </c>
      <c r="J630" s="2" t="s">
        <v>127</v>
      </c>
      <c r="K630" s="2" t="s">
        <v>82</v>
      </c>
      <c r="L630" s="2" t="s">
        <v>218</v>
      </c>
      <c r="M630" s="2" t="s">
        <v>30</v>
      </c>
      <c r="N630" s="2" t="s">
        <v>31</v>
      </c>
      <c r="O630" s="2" t="s">
        <v>219</v>
      </c>
      <c r="P630" s="4">
        <v>12.4153</v>
      </c>
      <c r="Q630" s="4">
        <v>5</v>
      </c>
      <c r="R630" s="4">
        <v>6.1948999999999996</v>
      </c>
      <c r="S630" s="2" t="s">
        <v>75</v>
      </c>
      <c r="T630" s="2" t="s">
        <v>76</v>
      </c>
    </row>
    <row r="631" spans="1:20" x14ac:dyDescent="0.25">
      <c r="A631" s="2" t="s">
        <v>1536</v>
      </c>
      <c r="B631" s="3">
        <v>42803</v>
      </c>
      <c r="C631" s="3">
        <v>42807</v>
      </c>
      <c r="D631" s="2" t="s">
        <v>55</v>
      </c>
      <c r="E631" s="2" t="s">
        <v>920</v>
      </c>
      <c r="F631" s="2" t="s">
        <v>921</v>
      </c>
      <c r="G631" s="2" t="s">
        <v>58</v>
      </c>
      <c r="H631" s="2" t="s">
        <v>25</v>
      </c>
      <c r="I631" s="2" t="s">
        <v>288</v>
      </c>
      <c r="J631" s="2" t="s">
        <v>289</v>
      </c>
      <c r="K631" s="2" t="s">
        <v>82</v>
      </c>
      <c r="L631" s="2" t="s">
        <v>453</v>
      </c>
      <c r="M631" s="2" t="s">
        <v>30</v>
      </c>
      <c r="N631" s="2" t="s">
        <v>42</v>
      </c>
      <c r="O631" s="2" t="s">
        <v>454</v>
      </c>
      <c r="P631" s="4">
        <v>878.3374</v>
      </c>
      <c r="Q631" s="4">
        <v>1</v>
      </c>
      <c r="R631" s="4">
        <v>290.762</v>
      </c>
      <c r="S631" s="2" t="s">
        <v>75</v>
      </c>
      <c r="T631" s="2" t="s">
        <v>44</v>
      </c>
    </row>
    <row r="632" spans="1:20" x14ac:dyDescent="0.25">
      <c r="A632" s="2" t="s">
        <v>1536</v>
      </c>
      <c r="B632" s="3">
        <v>42803</v>
      </c>
      <c r="C632" s="3">
        <v>42807</v>
      </c>
      <c r="D632" s="2" t="s">
        <v>55</v>
      </c>
      <c r="E632" s="2" t="s">
        <v>920</v>
      </c>
      <c r="F632" s="2" t="s">
        <v>921</v>
      </c>
      <c r="G632" s="2" t="s">
        <v>58</v>
      </c>
      <c r="H632" s="2" t="s">
        <v>25</v>
      </c>
      <c r="I632" s="2" t="s">
        <v>288</v>
      </c>
      <c r="J632" s="2" t="s">
        <v>289</v>
      </c>
      <c r="K632" s="2" t="s">
        <v>82</v>
      </c>
      <c r="L632" s="2" t="s">
        <v>207</v>
      </c>
      <c r="M632" s="2" t="s">
        <v>30</v>
      </c>
      <c r="N632" s="2" t="s">
        <v>31</v>
      </c>
      <c r="O632" s="2" t="s">
        <v>208</v>
      </c>
      <c r="P632" s="4">
        <v>160.24180000000001</v>
      </c>
      <c r="Q632" s="4">
        <v>4</v>
      </c>
      <c r="R632" s="4">
        <v>12.423</v>
      </c>
      <c r="S632" s="2" t="s">
        <v>75</v>
      </c>
      <c r="T632" s="2" t="s">
        <v>44</v>
      </c>
    </row>
    <row r="633" spans="1:20" x14ac:dyDescent="0.25">
      <c r="A633" s="2" t="s">
        <v>1537</v>
      </c>
      <c r="B633" s="3">
        <v>41694</v>
      </c>
      <c r="C633" s="3">
        <v>41701</v>
      </c>
      <c r="D633" s="2" t="s">
        <v>55</v>
      </c>
      <c r="E633" s="2" t="s">
        <v>1538</v>
      </c>
      <c r="F633" s="2" t="s">
        <v>1539</v>
      </c>
      <c r="G633" s="2" t="s">
        <v>58</v>
      </c>
      <c r="H633" s="2" t="s">
        <v>25</v>
      </c>
      <c r="I633" s="2" t="s">
        <v>706</v>
      </c>
      <c r="J633" s="2" t="s">
        <v>127</v>
      </c>
      <c r="K633" s="2" t="s">
        <v>82</v>
      </c>
      <c r="L633" s="2" t="s">
        <v>174</v>
      </c>
      <c r="M633" s="2" t="s">
        <v>30</v>
      </c>
      <c r="N633" s="2" t="s">
        <v>31</v>
      </c>
      <c r="O633" s="2" t="s">
        <v>175</v>
      </c>
      <c r="P633" s="4">
        <v>70.733500000000006</v>
      </c>
      <c r="Q633" s="4">
        <v>7</v>
      </c>
      <c r="R633" s="4">
        <v>25.422799999999999</v>
      </c>
      <c r="S633" s="2" t="s">
        <v>107</v>
      </c>
      <c r="T633" s="2" t="s">
        <v>101</v>
      </c>
    </row>
    <row r="634" spans="1:20" x14ac:dyDescent="0.25">
      <c r="A634" s="2" t="s">
        <v>1537</v>
      </c>
      <c r="B634" s="3">
        <v>41694</v>
      </c>
      <c r="C634" s="3">
        <v>41701</v>
      </c>
      <c r="D634" s="2" t="s">
        <v>55</v>
      </c>
      <c r="E634" s="2" t="s">
        <v>1538</v>
      </c>
      <c r="F634" s="2" t="s">
        <v>1539</v>
      </c>
      <c r="G634" s="2" t="s">
        <v>58</v>
      </c>
      <c r="H634" s="2" t="s">
        <v>25</v>
      </c>
      <c r="I634" s="2" t="s">
        <v>706</v>
      </c>
      <c r="J634" s="2" t="s">
        <v>127</v>
      </c>
      <c r="K634" s="2" t="s">
        <v>82</v>
      </c>
      <c r="L634" s="2" t="s">
        <v>83</v>
      </c>
      <c r="M634" s="2" t="s">
        <v>30</v>
      </c>
      <c r="N634" s="2" t="s">
        <v>42</v>
      </c>
      <c r="O634" s="2" t="s">
        <v>84</v>
      </c>
      <c r="P634" s="4">
        <v>304.42309999999998</v>
      </c>
      <c r="Q634" s="4">
        <v>3</v>
      </c>
      <c r="R634" s="4">
        <v>-2.2290000000000001</v>
      </c>
      <c r="S634" s="2" t="s">
        <v>107</v>
      </c>
      <c r="T634" s="2" t="s">
        <v>101</v>
      </c>
    </row>
    <row r="635" spans="1:20" x14ac:dyDescent="0.25">
      <c r="A635" s="2" t="s">
        <v>1540</v>
      </c>
      <c r="B635" s="3">
        <v>42649</v>
      </c>
      <c r="C635" s="3">
        <v>42651</v>
      </c>
      <c r="D635" s="2" t="s">
        <v>48</v>
      </c>
      <c r="E635" s="2" t="s">
        <v>1541</v>
      </c>
      <c r="F635" s="2" t="s">
        <v>1542</v>
      </c>
      <c r="G635" s="2" t="s">
        <v>38</v>
      </c>
      <c r="H635" s="2" t="s">
        <v>25</v>
      </c>
      <c r="I635" s="2" t="s">
        <v>445</v>
      </c>
      <c r="J635" s="2" t="s">
        <v>138</v>
      </c>
      <c r="K635" s="2" t="s">
        <v>82</v>
      </c>
      <c r="L635" s="2" t="s">
        <v>252</v>
      </c>
      <c r="M635" s="2" t="s">
        <v>30</v>
      </c>
      <c r="N635" s="2" t="s">
        <v>31</v>
      </c>
      <c r="O635" s="2" t="s">
        <v>253</v>
      </c>
      <c r="P635" s="4">
        <v>8.6827000000000005</v>
      </c>
      <c r="Q635" s="4">
        <v>3</v>
      </c>
      <c r="R635" s="4">
        <v>2.5287999999999999</v>
      </c>
      <c r="S635" s="2" t="s">
        <v>53</v>
      </c>
      <c r="T635" s="2" t="s">
        <v>224</v>
      </c>
    </row>
    <row r="636" spans="1:20" x14ac:dyDescent="0.25">
      <c r="A636" s="2" t="s">
        <v>1543</v>
      </c>
      <c r="B636" s="3">
        <v>42404</v>
      </c>
      <c r="C636" s="3">
        <v>42406</v>
      </c>
      <c r="D636" s="2" t="s">
        <v>55</v>
      </c>
      <c r="E636" s="2" t="s">
        <v>1544</v>
      </c>
      <c r="F636" s="2" t="s">
        <v>1545</v>
      </c>
      <c r="G636" s="2" t="s">
        <v>58</v>
      </c>
      <c r="H636" s="2" t="s">
        <v>25</v>
      </c>
      <c r="I636" s="2" t="s">
        <v>343</v>
      </c>
      <c r="J636" s="2" t="s">
        <v>153</v>
      </c>
      <c r="K636" s="2" t="s">
        <v>147</v>
      </c>
      <c r="L636" s="2" t="s">
        <v>62</v>
      </c>
      <c r="M636" s="2" t="s">
        <v>30</v>
      </c>
      <c r="N636" s="2" t="s">
        <v>63</v>
      </c>
      <c r="O636" s="2" t="s">
        <v>64</v>
      </c>
      <c r="P636" s="4">
        <v>542.32759999999996</v>
      </c>
      <c r="Q636" s="4">
        <v>2</v>
      </c>
      <c r="R636" s="4">
        <v>-166.28039999999999</v>
      </c>
      <c r="S636" s="2" t="s">
        <v>53</v>
      </c>
      <c r="T636" s="2" t="s">
        <v>101</v>
      </c>
    </row>
    <row r="637" spans="1:20" x14ac:dyDescent="0.25">
      <c r="A637" s="2" t="s">
        <v>1546</v>
      </c>
      <c r="B637" s="3">
        <v>42499</v>
      </c>
      <c r="C637" s="3">
        <v>42500</v>
      </c>
      <c r="D637" s="2" t="s">
        <v>21</v>
      </c>
      <c r="E637" s="2" t="s">
        <v>1001</v>
      </c>
      <c r="F637" s="2" t="s">
        <v>1002</v>
      </c>
      <c r="G637" s="2" t="s">
        <v>58</v>
      </c>
      <c r="H637" s="2" t="s">
        <v>25</v>
      </c>
      <c r="I637" s="2" t="s">
        <v>402</v>
      </c>
      <c r="J637" s="2" t="s">
        <v>403</v>
      </c>
      <c r="K637" s="2" t="s">
        <v>147</v>
      </c>
      <c r="L637" s="2" t="s">
        <v>323</v>
      </c>
      <c r="M637" s="2" t="s">
        <v>30</v>
      </c>
      <c r="N637" s="2" t="s">
        <v>31</v>
      </c>
      <c r="O637" s="2" t="s">
        <v>324</v>
      </c>
      <c r="P637" s="4">
        <v>44.604799999999997</v>
      </c>
      <c r="Q637" s="4">
        <v>4</v>
      </c>
      <c r="R637" s="4">
        <v>8.8718000000000004</v>
      </c>
      <c r="S637" s="2" t="s">
        <v>33</v>
      </c>
      <c r="T637" s="2" t="s">
        <v>122</v>
      </c>
    </row>
    <row r="638" spans="1:20" x14ac:dyDescent="0.25">
      <c r="A638" s="2" t="s">
        <v>1547</v>
      </c>
      <c r="B638" s="3">
        <v>42753</v>
      </c>
      <c r="C638" s="3">
        <v>42755</v>
      </c>
      <c r="D638" s="2" t="s">
        <v>21</v>
      </c>
      <c r="E638" s="2" t="s">
        <v>1548</v>
      </c>
      <c r="F638" s="2" t="s">
        <v>1549</v>
      </c>
      <c r="G638" s="2" t="s">
        <v>24</v>
      </c>
      <c r="H638" s="2" t="s">
        <v>25</v>
      </c>
      <c r="I638" s="2" t="s">
        <v>969</v>
      </c>
      <c r="J638" s="2" t="s">
        <v>387</v>
      </c>
      <c r="K638" s="2" t="s">
        <v>61</v>
      </c>
      <c r="L638" s="2" t="s">
        <v>323</v>
      </c>
      <c r="M638" s="2" t="s">
        <v>30</v>
      </c>
      <c r="N638" s="2" t="s">
        <v>31</v>
      </c>
      <c r="O638" s="2" t="s">
        <v>324</v>
      </c>
      <c r="P638" s="4">
        <v>32.1785</v>
      </c>
      <c r="Q638" s="4">
        <v>1</v>
      </c>
      <c r="R638" s="4">
        <v>4.7218999999999998</v>
      </c>
      <c r="S638" s="2" t="s">
        <v>53</v>
      </c>
      <c r="T638" s="2" t="s">
        <v>115</v>
      </c>
    </row>
    <row r="639" spans="1:20" x14ac:dyDescent="0.25">
      <c r="A639" s="2" t="s">
        <v>1550</v>
      </c>
      <c r="B639" s="3">
        <v>41666</v>
      </c>
      <c r="C639" s="3">
        <v>41666</v>
      </c>
      <c r="D639" s="2" t="s">
        <v>48</v>
      </c>
      <c r="E639" s="2" t="s">
        <v>1551</v>
      </c>
      <c r="F639" s="2" t="s">
        <v>1552</v>
      </c>
      <c r="G639" s="2" t="s">
        <v>58</v>
      </c>
      <c r="H639" s="2" t="s">
        <v>25</v>
      </c>
      <c r="I639" s="2" t="s">
        <v>829</v>
      </c>
      <c r="J639" s="2" t="s">
        <v>199</v>
      </c>
      <c r="K639" s="2" t="s">
        <v>82</v>
      </c>
      <c r="L639" s="2" t="s">
        <v>228</v>
      </c>
      <c r="M639" s="2" t="s">
        <v>30</v>
      </c>
      <c r="N639" s="2" t="s">
        <v>42</v>
      </c>
      <c r="O639" s="2" t="s">
        <v>229</v>
      </c>
      <c r="P639" s="4">
        <v>343.78039999999999</v>
      </c>
      <c r="Q639" s="4">
        <v>7</v>
      </c>
      <c r="R639" s="4">
        <v>147.6191</v>
      </c>
      <c r="S639" s="2" t="s">
        <v>121</v>
      </c>
      <c r="T639" s="2" t="s">
        <v>115</v>
      </c>
    </row>
    <row r="640" spans="1:20" x14ac:dyDescent="0.25">
      <c r="A640" s="2" t="s">
        <v>1553</v>
      </c>
      <c r="B640" s="3">
        <v>42025</v>
      </c>
      <c r="C640" s="3">
        <v>42026</v>
      </c>
      <c r="D640" s="2" t="s">
        <v>48</v>
      </c>
      <c r="E640" s="2" t="s">
        <v>1554</v>
      </c>
      <c r="F640" s="2" t="s">
        <v>1555</v>
      </c>
      <c r="G640" s="2" t="s">
        <v>58</v>
      </c>
      <c r="H640" s="2" t="s">
        <v>25</v>
      </c>
      <c r="I640" s="2" t="s">
        <v>1212</v>
      </c>
      <c r="J640" s="2" t="s">
        <v>496</v>
      </c>
      <c r="K640" s="2" t="s">
        <v>147</v>
      </c>
      <c r="L640" s="2" t="s">
        <v>323</v>
      </c>
      <c r="M640" s="2" t="s">
        <v>30</v>
      </c>
      <c r="N640" s="2" t="s">
        <v>31</v>
      </c>
      <c r="O640" s="2" t="s">
        <v>324</v>
      </c>
      <c r="P640" s="4">
        <v>29.910699999999999</v>
      </c>
      <c r="Q640" s="4">
        <v>4</v>
      </c>
      <c r="R640" s="4">
        <v>7.4702999999999999</v>
      </c>
      <c r="S640" s="2" t="s">
        <v>33</v>
      </c>
      <c r="T640" s="2" t="s">
        <v>115</v>
      </c>
    </row>
    <row r="641" spans="1:20" x14ac:dyDescent="0.25">
      <c r="A641" s="2" t="s">
        <v>1556</v>
      </c>
      <c r="B641" s="3">
        <v>42545</v>
      </c>
      <c r="C641" s="3">
        <v>42547</v>
      </c>
      <c r="D641" s="2" t="s">
        <v>55</v>
      </c>
      <c r="E641" s="2" t="s">
        <v>1557</v>
      </c>
      <c r="F641" s="2" t="s">
        <v>1558</v>
      </c>
      <c r="G641" s="2" t="s">
        <v>38</v>
      </c>
      <c r="H641" s="2" t="s">
        <v>25</v>
      </c>
      <c r="I641" s="2" t="s">
        <v>509</v>
      </c>
      <c r="J641" s="2" t="s">
        <v>356</v>
      </c>
      <c r="K641" s="2" t="s">
        <v>147</v>
      </c>
      <c r="L641" s="2" t="s">
        <v>228</v>
      </c>
      <c r="M641" s="2" t="s">
        <v>30</v>
      </c>
      <c r="N641" s="2" t="s">
        <v>42</v>
      </c>
      <c r="O641" s="2" t="s">
        <v>229</v>
      </c>
      <c r="P641" s="4">
        <v>600.69010000000003</v>
      </c>
      <c r="Q641" s="4">
        <v>2</v>
      </c>
      <c r="R641" s="4">
        <v>-92.530100000000004</v>
      </c>
      <c r="S641" s="2" t="s">
        <v>53</v>
      </c>
      <c r="T641" s="2" t="s">
        <v>133</v>
      </c>
    </row>
    <row r="642" spans="1:20" x14ac:dyDescent="0.25">
      <c r="A642" s="2" t="s">
        <v>1559</v>
      </c>
      <c r="B642" s="3">
        <v>41906</v>
      </c>
      <c r="C642" s="3">
        <v>41909</v>
      </c>
      <c r="D642" s="2" t="s">
        <v>21</v>
      </c>
      <c r="E642" s="2" t="s">
        <v>1146</v>
      </c>
      <c r="F642" s="2" t="s">
        <v>1147</v>
      </c>
      <c r="G642" s="2" t="s">
        <v>38</v>
      </c>
      <c r="H642" s="2" t="s">
        <v>25</v>
      </c>
      <c r="I642" s="2" t="s">
        <v>1212</v>
      </c>
      <c r="J642" s="2" t="s">
        <v>496</v>
      </c>
      <c r="K642" s="2" t="s">
        <v>147</v>
      </c>
      <c r="L642" s="2" t="s">
        <v>99</v>
      </c>
      <c r="M642" s="2" t="s">
        <v>30</v>
      </c>
      <c r="N642" s="2" t="s">
        <v>42</v>
      </c>
      <c r="O642" s="2" t="s">
        <v>100</v>
      </c>
      <c r="P642" s="4">
        <v>349.56560000000002</v>
      </c>
      <c r="Q642" s="4">
        <v>2</v>
      </c>
      <c r="R642" s="4">
        <v>180.7407</v>
      </c>
      <c r="S642" s="2" t="s">
        <v>92</v>
      </c>
      <c r="T642" s="2" t="s">
        <v>148</v>
      </c>
    </row>
    <row r="643" spans="1:20" x14ac:dyDescent="0.25">
      <c r="A643" s="2" t="s">
        <v>1560</v>
      </c>
      <c r="B643" s="3">
        <v>42691</v>
      </c>
      <c r="C643" s="3">
        <v>42691</v>
      </c>
      <c r="D643" s="2" t="s">
        <v>55</v>
      </c>
      <c r="E643" s="2" t="s">
        <v>241</v>
      </c>
      <c r="F643" s="2" t="s">
        <v>242</v>
      </c>
      <c r="G643" s="2" t="s">
        <v>58</v>
      </c>
      <c r="H643" s="2" t="s">
        <v>25</v>
      </c>
      <c r="I643" s="2" t="s">
        <v>594</v>
      </c>
      <c r="J643" s="2" t="s">
        <v>595</v>
      </c>
      <c r="K643" s="2" t="s">
        <v>61</v>
      </c>
      <c r="L643" s="2" t="s">
        <v>29</v>
      </c>
      <c r="M643" s="2" t="s">
        <v>30</v>
      </c>
      <c r="N643" s="2" t="s">
        <v>31</v>
      </c>
      <c r="O643" s="2" t="s">
        <v>32</v>
      </c>
      <c r="P643" s="4">
        <v>156.64490000000001</v>
      </c>
      <c r="Q643" s="4">
        <v>4</v>
      </c>
      <c r="R643" s="4">
        <v>43.509599999999999</v>
      </c>
      <c r="S643" s="2" t="s">
        <v>121</v>
      </c>
      <c r="T643" s="2" t="s">
        <v>93</v>
      </c>
    </row>
    <row r="644" spans="1:20" x14ac:dyDescent="0.25">
      <c r="A644" s="2" t="s">
        <v>1561</v>
      </c>
      <c r="B644" s="3">
        <v>42060</v>
      </c>
      <c r="C644" s="3">
        <v>42061</v>
      </c>
      <c r="D644" s="2" t="s">
        <v>48</v>
      </c>
      <c r="E644" s="2" t="s">
        <v>1562</v>
      </c>
      <c r="F644" s="2" t="s">
        <v>1563</v>
      </c>
      <c r="G644" s="2" t="s">
        <v>38</v>
      </c>
      <c r="H644" s="2" t="s">
        <v>25</v>
      </c>
      <c r="I644" s="2" t="s">
        <v>1212</v>
      </c>
      <c r="J644" s="2" t="s">
        <v>496</v>
      </c>
      <c r="K644" s="2" t="s">
        <v>147</v>
      </c>
      <c r="L644" s="2" t="s">
        <v>316</v>
      </c>
      <c r="M644" s="2" t="s">
        <v>30</v>
      </c>
      <c r="N644" s="2" t="s">
        <v>42</v>
      </c>
      <c r="O644" s="2" t="s">
        <v>317</v>
      </c>
      <c r="P644" s="4">
        <v>394.92700000000002</v>
      </c>
      <c r="Q644" s="4">
        <v>5</v>
      </c>
      <c r="R644" s="4">
        <v>183.0864</v>
      </c>
      <c r="S644" s="2" t="s">
        <v>33</v>
      </c>
      <c r="T644" s="2" t="s">
        <v>101</v>
      </c>
    </row>
    <row r="645" spans="1:20" x14ac:dyDescent="0.25">
      <c r="A645" s="2" t="s">
        <v>1561</v>
      </c>
      <c r="B645" s="3">
        <v>42060</v>
      </c>
      <c r="C645" s="3">
        <v>42061</v>
      </c>
      <c r="D645" s="2" t="s">
        <v>48</v>
      </c>
      <c r="E645" s="2" t="s">
        <v>1562</v>
      </c>
      <c r="F645" s="2" t="s">
        <v>1563</v>
      </c>
      <c r="G645" s="2" t="s">
        <v>38</v>
      </c>
      <c r="H645" s="2" t="s">
        <v>25</v>
      </c>
      <c r="I645" s="2" t="s">
        <v>1212</v>
      </c>
      <c r="J645" s="2" t="s">
        <v>496</v>
      </c>
      <c r="K645" s="2" t="s">
        <v>147</v>
      </c>
      <c r="L645" s="2" t="s">
        <v>218</v>
      </c>
      <c r="M645" s="2" t="s">
        <v>30</v>
      </c>
      <c r="N645" s="2" t="s">
        <v>31</v>
      </c>
      <c r="O645" s="2" t="s">
        <v>219</v>
      </c>
      <c r="P645" s="4">
        <v>110.5485</v>
      </c>
      <c r="Q645" s="4">
        <v>3</v>
      </c>
      <c r="R645" s="4">
        <v>72.473500000000001</v>
      </c>
      <c r="S645" s="2" t="s">
        <v>33</v>
      </c>
      <c r="T645" s="2" t="s">
        <v>101</v>
      </c>
    </row>
    <row r="646" spans="1:20" x14ac:dyDescent="0.25">
      <c r="A646" s="2" t="s">
        <v>1564</v>
      </c>
      <c r="B646" s="3">
        <v>42895</v>
      </c>
      <c r="C646" s="3">
        <v>42898</v>
      </c>
      <c r="D646" s="2" t="s">
        <v>55</v>
      </c>
      <c r="E646" s="2" t="s">
        <v>854</v>
      </c>
      <c r="F646" s="2" t="s">
        <v>855</v>
      </c>
      <c r="G646" s="2" t="s">
        <v>38</v>
      </c>
      <c r="H646" s="2" t="s">
        <v>25</v>
      </c>
      <c r="I646" s="2" t="s">
        <v>145</v>
      </c>
      <c r="J646" s="2" t="s">
        <v>146</v>
      </c>
      <c r="K646" s="2" t="s">
        <v>147</v>
      </c>
      <c r="L646" s="2" t="s">
        <v>453</v>
      </c>
      <c r="M646" s="2" t="s">
        <v>30</v>
      </c>
      <c r="N646" s="2" t="s">
        <v>42</v>
      </c>
      <c r="O646" s="2" t="s">
        <v>454</v>
      </c>
      <c r="P646" s="4">
        <v>662.77610000000004</v>
      </c>
      <c r="Q646" s="4">
        <v>3</v>
      </c>
      <c r="R646" s="4">
        <v>-253.71360000000001</v>
      </c>
      <c r="S646" s="2" t="s">
        <v>92</v>
      </c>
      <c r="T646" s="2" t="s">
        <v>133</v>
      </c>
    </row>
    <row r="647" spans="1:20" x14ac:dyDescent="0.25">
      <c r="A647" s="2" t="s">
        <v>1564</v>
      </c>
      <c r="B647" s="3">
        <v>42895</v>
      </c>
      <c r="C647" s="3">
        <v>42898</v>
      </c>
      <c r="D647" s="2" t="s">
        <v>55</v>
      </c>
      <c r="E647" s="2" t="s">
        <v>854</v>
      </c>
      <c r="F647" s="2" t="s">
        <v>855</v>
      </c>
      <c r="G647" s="2" t="s">
        <v>38</v>
      </c>
      <c r="H647" s="2" t="s">
        <v>25</v>
      </c>
      <c r="I647" s="2" t="s">
        <v>145</v>
      </c>
      <c r="J647" s="2" t="s">
        <v>146</v>
      </c>
      <c r="K647" s="2" t="s">
        <v>147</v>
      </c>
      <c r="L647" s="2" t="s">
        <v>793</v>
      </c>
      <c r="M647" s="2" t="s">
        <v>30</v>
      </c>
      <c r="N647" s="2" t="s">
        <v>63</v>
      </c>
      <c r="O647" s="2" t="s">
        <v>794</v>
      </c>
      <c r="P647" s="4">
        <v>412.41770000000002</v>
      </c>
      <c r="Q647" s="4">
        <v>5</v>
      </c>
      <c r="R647" s="4">
        <v>-47.958100000000002</v>
      </c>
      <c r="S647" s="2" t="s">
        <v>92</v>
      </c>
      <c r="T647" s="2" t="s">
        <v>133</v>
      </c>
    </row>
    <row r="648" spans="1:20" x14ac:dyDescent="0.25">
      <c r="A648" s="2" t="s">
        <v>1564</v>
      </c>
      <c r="B648" s="3">
        <v>42895</v>
      </c>
      <c r="C648" s="3">
        <v>42898</v>
      </c>
      <c r="D648" s="2" t="s">
        <v>55</v>
      </c>
      <c r="E648" s="2" t="s">
        <v>854</v>
      </c>
      <c r="F648" s="2" t="s">
        <v>855</v>
      </c>
      <c r="G648" s="2" t="s">
        <v>38</v>
      </c>
      <c r="H648" s="2" t="s">
        <v>25</v>
      </c>
      <c r="I648" s="2" t="s">
        <v>145</v>
      </c>
      <c r="J648" s="2" t="s">
        <v>146</v>
      </c>
      <c r="K648" s="2" t="s">
        <v>147</v>
      </c>
      <c r="L648" s="2" t="s">
        <v>1476</v>
      </c>
      <c r="M648" s="2" t="s">
        <v>30</v>
      </c>
      <c r="N648" s="2" t="s">
        <v>63</v>
      </c>
      <c r="O648" s="2" t="s">
        <v>1477</v>
      </c>
      <c r="P648" s="4">
        <v>248.93350000000001</v>
      </c>
      <c r="Q648" s="4">
        <v>7</v>
      </c>
      <c r="R648" s="4">
        <v>58.705300000000001</v>
      </c>
      <c r="S648" s="2" t="s">
        <v>92</v>
      </c>
      <c r="T648" s="2" t="s">
        <v>133</v>
      </c>
    </row>
    <row r="649" spans="1:20" x14ac:dyDescent="0.25">
      <c r="A649" s="2" t="s">
        <v>1565</v>
      </c>
      <c r="B649" s="3">
        <v>42672</v>
      </c>
      <c r="C649" s="3">
        <v>42672</v>
      </c>
      <c r="D649" s="2" t="s">
        <v>142</v>
      </c>
      <c r="E649" s="2" t="s">
        <v>998</v>
      </c>
      <c r="F649" s="2" t="s">
        <v>999</v>
      </c>
      <c r="G649" s="2" t="s">
        <v>38</v>
      </c>
      <c r="H649" s="2" t="s">
        <v>25</v>
      </c>
      <c r="I649" s="2" t="s">
        <v>491</v>
      </c>
      <c r="J649" s="2" t="s">
        <v>310</v>
      </c>
      <c r="K649" s="2" t="s">
        <v>28</v>
      </c>
      <c r="L649" s="2" t="s">
        <v>193</v>
      </c>
      <c r="M649" s="2" t="s">
        <v>30</v>
      </c>
      <c r="N649" s="2" t="s">
        <v>42</v>
      </c>
      <c r="O649" s="2" t="s">
        <v>194</v>
      </c>
      <c r="P649" s="4">
        <v>155.51929999999999</v>
      </c>
      <c r="Q649" s="4">
        <v>1</v>
      </c>
      <c r="R649" s="4">
        <v>-72.875299999999996</v>
      </c>
      <c r="S649" s="2" t="s">
        <v>121</v>
      </c>
      <c r="T649" s="2" t="s">
        <v>224</v>
      </c>
    </row>
    <row r="650" spans="1:20" x14ac:dyDescent="0.25">
      <c r="A650" s="2" t="s">
        <v>1566</v>
      </c>
      <c r="B650" s="3">
        <v>42508</v>
      </c>
      <c r="C650" s="3">
        <v>42510</v>
      </c>
      <c r="D650" s="2" t="s">
        <v>55</v>
      </c>
      <c r="E650" s="2" t="s">
        <v>1120</v>
      </c>
      <c r="F650" s="2" t="s">
        <v>1121</v>
      </c>
      <c r="G650" s="2" t="s">
        <v>58</v>
      </c>
      <c r="H650" s="2" t="s">
        <v>25</v>
      </c>
      <c r="I650" s="2" t="s">
        <v>462</v>
      </c>
      <c r="J650" s="2" t="s">
        <v>351</v>
      </c>
      <c r="K650" s="2" t="s">
        <v>147</v>
      </c>
      <c r="L650" s="2" t="s">
        <v>83</v>
      </c>
      <c r="M650" s="2" t="s">
        <v>30</v>
      </c>
      <c r="N650" s="2" t="s">
        <v>42</v>
      </c>
      <c r="O650" s="2" t="s">
        <v>84</v>
      </c>
      <c r="P650" s="4">
        <v>231.71379999999999</v>
      </c>
      <c r="Q650" s="4">
        <v>5</v>
      </c>
      <c r="R650" s="4">
        <v>-24.4237</v>
      </c>
      <c r="S650" s="2" t="s">
        <v>53</v>
      </c>
      <c r="T650" s="2" t="s">
        <v>122</v>
      </c>
    </row>
    <row r="651" spans="1:20" x14ac:dyDescent="0.25">
      <c r="A651" s="2" t="s">
        <v>1567</v>
      </c>
      <c r="B651" s="3">
        <v>42781</v>
      </c>
      <c r="C651" s="3">
        <v>42785</v>
      </c>
      <c r="D651" s="2" t="s">
        <v>55</v>
      </c>
      <c r="E651" s="2" t="s">
        <v>697</v>
      </c>
      <c r="F651" s="2" t="s">
        <v>698</v>
      </c>
      <c r="G651" s="2" t="s">
        <v>58</v>
      </c>
      <c r="H651" s="2" t="s">
        <v>25</v>
      </c>
      <c r="I651" s="2" t="s">
        <v>727</v>
      </c>
      <c r="J651" s="2" t="s">
        <v>728</v>
      </c>
      <c r="K651" s="2" t="s">
        <v>147</v>
      </c>
      <c r="L651" s="2" t="s">
        <v>207</v>
      </c>
      <c r="M651" s="2" t="s">
        <v>30</v>
      </c>
      <c r="N651" s="2" t="s">
        <v>31</v>
      </c>
      <c r="O651" s="2" t="s">
        <v>208</v>
      </c>
      <c r="P651" s="4">
        <v>52.347999999999999</v>
      </c>
      <c r="Q651" s="4">
        <v>5</v>
      </c>
      <c r="R651" s="4">
        <v>7.1737000000000002</v>
      </c>
      <c r="S651" s="2" t="s">
        <v>75</v>
      </c>
      <c r="T651" s="2" t="s">
        <v>101</v>
      </c>
    </row>
    <row r="652" spans="1:20" x14ac:dyDescent="0.25">
      <c r="A652" s="2" t="s">
        <v>1568</v>
      </c>
      <c r="B652" s="3">
        <v>42774</v>
      </c>
      <c r="C652" s="3">
        <v>42775</v>
      </c>
      <c r="D652" s="2" t="s">
        <v>48</v>
      </c>
      <c r="E652" s="2" t="s">
        <v>1569</v>
      </c>
      <c r="F652" s="2" t="s">
        <v>1570</v>
      </c>
      <c r="G652" s="2" t="s">
        <v>24</v>
      </c>
      <c r="H652" s="2" t="s">
        <v>25</v>
      </c>
      <c r="I652" s="2" t="s">
        <v>437</v>
      </c>
      <c r="J652" s="2" t="s">
        <v>217</v>
      </c>
      <c r="K652" s="2" t="s">
        <v>82</v>
      </c>
      <c r="L652" s="2" t="s">
        <v>41</v>
      </c>
      <c r="M652" s="2" t="s">
        <v>30</v>
      </c>
      <c r="N652" s="2" t="s">
        <v>42</v>
      </c>
      <c r="O652" s="2" t="s">
        <v>43</v>
      </c>
      <c r="P652" s="4">
        <v>243.13300000000001</v>
      </c>
      <c r="Q652" s="4">
        <v>7</v>
      </c>
      <c r="R652" s="4">
        <v>-26.208400000000001</v>
      </c>
      <c r="S652" s="2" t="s">
        <v>33</v>
      </c>
      <c r="T652" s="2" t="s">
        <v>101</v>
      </c>
    </row>
    <row r="653" spans="1:20" x14ac:dyDescent="0.25">
      <c r="A653" s="2" t="s">
        <v>1568</v>
      </c>
      <c r="B653" s="3">
        <v>42774</v>
      </c>
      <c r="C653" s="3">
        <v>42775</v>
      </c>
      <c r="D653" s="2" t="s">
        <v>48</v>
      </c>
      <c r="E653" s="2" t="s">
        <v>1569</v>
      </c>
      <c r="F653" s="2" t="s">
        <v>1570</v>
      </c>
      <c r="G653" s="2" t="s">
        <v>24</v>
      </c>
      <c r="H653" s="2" t="s">
        <v>25</v>
      </c>
      <c r="I653" s="2" t="s">
        <v>437</v>
      </c>
      <c r="J653" s="2" t="s">
        <v>217</v>
      </c>
      <c r="K653" s="2" t="s">
        <v>82</v>
      </c>
      <c r="L653" s="2" t="s">
        <v>66</v>
      </c>
      <c r="M653" s="2" t="s">
        <v>30</v>
      </c>
      <c r="N653" s="2" t="s">
        <v>31</v>
      </c>
      <c r="O653" s="2" t="s">
        <v>67</v>
      </c>
      <c r="P653" s="4">
        <v>30.263300000000001</v>
      </c>
      <c r="Q653" s="4">
        <v>4</v>
      </c>
      <c r="R653" s="4">
        <v>-5.1344000000000003</v>
      </c>
      <c r="S653" s="2" t="s">
        <v>33</v>
      </c>
      <c r="T653" s="2" t="s">
        <v>101</v>
      </c>
    </row>
    <row r="654" spans="1:20" x14ac:dyDescent="0.25">
      <c r="A654" s="2" t="s">
        <v>1571</v>
      </c>
      <c r="B654" s="3">
        <v>43016</v>
      </c>
      <c r="C654" s="3">
        <v>43017</v>
      </c>
      <c r="D654" s="2" t="s">
        <v>55</v>
      </c>
      <c r="E654" s="2" t="s">
        <v>628</v>
      </c>
      <c r="F654" s="2" t="s">
        <v>629</v>
      </c>
      <c r="G654" s="2" t="s">
        <v>58</v>
      </c>
      <c r="H654" s="2" t="s">
        <v>25</v>
      </c>
      <c r="I654" s="2" t="s">
        <v>1212</v>
      </c>
      <c r="J654" s="2" t="s">
        <v>496</v>
      </c>
      <c r="K654" s="2" t="s">
        <v>147</v>
      </c>
      <c r="L654" s="2" t="s">
        <v>323</v>
      </c>
      <c r="M654" s="2" t="s">
        <v>30</v>
      </c>
      <c r="N654" s="2" t="s">
        <v>31</v>
      </c>
      <c r="O654" s="2" t="s">
        <v>324</v>
      </c>
      <c r="P654" s="4">
        <v>97.830399999999997</v>
      </c>
      <c r="Q654" s="4">
        <v>5</v>
      </c>
      <c r="R654" s="4">
        <v>-15.686500000000001</v>
      </c>
      <c r="S654" s="2" t="s">
        <v>33</v>
      </c>
      <c r="T654" s="2" t="s">
        <v>224</v>
      </c>
    </row>
    <row r="655" spans="1:20" x14ac:dyDescent="0.25">
      <c r="A655" s="2" t="s">
        <v>1572</v>
      </c>
      <c r="B655" s="3">
        <v>41772</v>
      </c>
      <c r="C655" s="3">
        <v>41774</v>
      </c>
      <c r="D655" s="2" t="s">
        <v>48</v>
      </c>
      <c r="E655" s="2" t="s">
        <v>1573</v>
      </c>
      <c r="F655" s="2" t="s">
        <v>1574</v>
      </c>
      <c r="G655" s="2" t="s">
        <v>58</v>
      </c>
      <c r="H655" s="2" t="s">
        <v>25</v>
      </c>
      <c r="I655" s="2" t="s">
        <v>371</v>
      </c>
      <c r="J655" s="2" t="s">
        <v>127</v>
      </c>
      <c r="K655" s="2" t="s">
        <v>82</v>
      </c>
      <c r="L655" s="2" t="s">
        <v>29</v>
      </c>
      <c r="M655" s="2" t="s">
        <v>30</v>
      </c>
      <c r="N655" s="2" t="s">
        <v>31</v>
      </c>
      <c r="O655" s="2" t="s">
        <v>32</v>
      </c>
      <c r="P655" s="4">
        <v>15.1861</v>
      </c>
      <c r="Q655" s="4">
        <v>3</v>
      </c>
      <c r="R655" s="4">
        <v>-5.4051</v>
      </c>
      <c r="S655" s="2" t="s">
        <v>53</v>
      </c>
      <c r="T655" s="2" t="s">
        <v>122</v>
      </c>
    </row>
    <row r="656" spans="1:20" x14ac:dyDescent="0.25">
      <c r="A656" s="2" t="s">
        <v>1575</v>
      </c>
      <c r="B656" s="3">
        <v>42855</v>
      </c>
      <c r="C656" s="3">
        <v>42858</v>
      </c>
      <c r="D656" s="2" t="s">
        <v>21</v>
      </c>
      <c r="E656" s="2" t="s">
        <v>1576</v>
      </c>
      <c r="F656" s="2" t="s">
        <v>1577</v>
      </c>
      <c r="G656" s="2" t="s">
        <v>24</v>
      </c>
      <c r="H656" s="2" t="s">
        <v>25</v>
      </c>
      <c r="I656" s="2" t="s">
        <v>205</v>
      </c>
      <c r="J656" s="2" t="s">
        <v>206</v>
      </c>
      <c r="K656" s="2" t="s">
        <v>61</v>
      </c>
      <c r="L656" s="2" t="s">
        <v>677</v>
      </c>
      <c r="M656" s="2" t="s">
        <v>30</v>
      </c>
      <c r="N656" s="2" t="s">
        <v>162</v>
      </c>
      <c r="O656" s="2" t="s">
        <v>678</v>
      </c>
      <c r="P656" s="4">
        <v>159.36420000000001</v>
      </c>
      <c r="Q656" s="4">
        <v>1</v>
      </c>
      <c r="R656" s="4">
        <v>-49.9039</v>
      </c>
      <c r="S656" s="2" t="s">
        <v>92</v>
      </c>
      <c r="T656" s="2" t="s">
        <v>108</v>
      </c>
    </row>
    <row r="657" spans="1:20" x14ac:dyDescent="0.25">
      <c r="A657" s="2" t="s">
        <v>1575</v>
      </c>
      <c r="B657" s="3">
        <v>42855</v>
      </c>
      <c r="C657" s="3">
        <v>42858</v>
      </c>
      <c r="D657" s="2" t="s">
        <v>21</v>
      </c>
      <c r="E657" s="2" t="s">
        <v>1576</v>
      </c>
      <c r="F657" s="2" t="s">
        <v>1577</v>
      </c>
      <c r="G657" s="2" t="s">
        <v>24</v>
      </c>
      <c r="H657" s="2" t="s">
        <v>25</v>
      </c>
      <c r="I657" s="2" t="s">
        <v>205</v>
      </c>
      <c r="J657" s="2" t="s">
        <v>206</v>
      </c>
      <c r="K657" s="2" t="s">
        <v>61</v>
      </c>
      <c r="L657" s="2" t="s">
        <v>252</v>
      </c>
      <c r="M657" s="2" t="s">
        <v>30</v>
      </c>
      <c r="N657" s="2" t="s">
        <v>31</v>
      </c>
      <c r="O657" s="2" t="s">
        <v>253</v>
      </c>
      <c r="P657" s="4">
        <v>158.1113</v>
      </c>
      <c r="Q657" s="4">
        <v>1</v>
      </c>
      <c r="R657" s="4">
        <v>-42.217599999999997</v>
      </c>
      <c r="S657" s="2" t="s">
        <v>92</v>
      </c>
      <c r="T657" s="2" t="s">
        <v>108</v>
      </c>
    </row>
    <row r="658" spans="1:20" x14ac:dyDescent="0.25">
      <c r="A658" s="2" t="s">
        <v>1575</v>
      </c>
      <c r="B658" s="3">
        <v>42855</v>
      </c>
      <c r="C658" s="3">
        <v>42858</v>
      </c>
      <c r="D658" s="2" t="s">
        <v>21</v>
      </c>
      <c r="E658" s="2" t="s">
        <v>1576</v>
      </c>
      <c r="F658" s="2" t="s">
        <v>1577</v>
      </c>
      <c r="G658" s="2" t="s">
        <v>24</v>
      </c>
      <c r="H658" s="2" t="s">
        <v>25</v>
      </c>
      <c r="I658" s="2" t="s">
        <v>205</v>
      </c>
      <c r="J658" s="2" t="s">
        <v>206</v>
      </c>
      <c r="K658" s="2" t="s">
        <v>61</v>
      </c>
      <c r="L658" s="2" t="s">
        <v>139</v>
      </c>
      <c r="M658" s="2" t="s">
        <v>30</v>
      </c>
      <c r="N658" s="2" t="s">
        <v>42</v>
      </c>
      <c r="O658" s="2" t="s">
        <v>140</v>
      </c>
      <c r="P658" s="4">
        <v>304.31700000000001</v>
      </c>
      <c r="Q658" s="4">
        <v>2</v>
      </c>
      <c r="R658" s="4">
        <v>-90.4375</v>
      </c>
      <c r="S658" s="2" t="s">
        <v>92</v>
      </c>
      <c r="T658" s="2" t="s">
        <v>108</v>
      </c>
    </row>
    <row r="659" spans="1:20" x14ac:dyDescent="0.25">
      <c r="A659" s="2" t="s">
        <v>1578</v>
      </c>
      <c r="B659" s="3">
        <v>42658</v>
      </c>
      <c r="C659" s="3">
        <v>42659</v>
      </c>
      <c r="D659" s="2" t="s">
        <v>55</v>
      </c>
      <c r="E659" s="2" t="s">
        <v>827</v>
      </c>
      <c r="F659" s="2" t="s">
        <v>828</v>
      </c>
      <c r="G659" s="2" t="s">
        <v>24</v>
      </c>
      <c r="H659" s="2" t="s">
        <v>25</v>
      </c>
      <c r="I659" s="2" t="s">
        <v>527</v>
      </c>
      <c r="J659" s="2" t="s">
        <v>496</v>
      </c>
      <c r="K659" s="2" t="s">
        <v>147</v>
      </c>
      <c r="L659" s="2" t="s">
        <v>890</v>
      </c>
      <c r="M659" s="2" t="s">
        <v>30</v>
      </c>
      <c r="N659" s="2" t="s">
        <v>63</v>
      </c>
      <c r="O659" s="2" t="s">
        <v>891</v>
      </c>
      <c r="P659" s="4">
        <v>316.464</v>
      </c>
      <c r="Q659" s="4">
        <v>4</v>
      </c>
      <c r="R659" s="4">
        <v>76.280199999999994</v>
      </c>
      <c r="S659" s="2" t="s">
        <v>33</v>
      </c>
      <c r="T659" s="2" t="s">
        <v>224</v>
      </c>
    </row>
    <row r="660" spans="1:20" x14ac:dyDescent="0.25">
      <c r="A660" s="2" t="s">
        <v>1579</v>
      </c>
      <c r="B660" s="3">
        <v>42423</v>
      </c>
      <c r="C660" s="3">
        <v>42426</v>
      </c>
      <c r="D660" s="2" t="s">
        <v>21</v>
      </c>
      <c r="E660" s="2" t="s">
        <v>1280</v>
      </c>
      <c r="F660" s="2" t="s">
        <v>1281</v>
      </c>
      <c r="G660" s="2" t="s">
        <v>58</v>
      </c>
      <c r="H660" s="2" t="s">
        <v>25</v>
      </c>
      <c r="I660" s="2" t="s">
        <v>527</v>
      </c>
      <c r="J660" s="2" t="s">
        <v>496</v>
      </c>
      <c r="K660" s="2" t="s">
        <v>147</v>
      </c>
      <c r="L660" s="2" t="s">
        <v>99</v>
      </c>
      <c r="M660" s="2" t="s">
        <v>30</v>
      </c>
      <c r="N660" s="2" t="s">
        <v>42</v>
      </c>
      <c r="O660" s="2" t="s">
        <v>100</v>
      </c>
      <c r="P660" s="4">
        <v>529.56259999999997</v>
      </c>
      <c r="Q660" s="4">
        <v>4</v>
      </c>
      <c r="R660" s="4">
        <v>-114.81780000000001</v>
      </c>
      <c r="S660" s="2" t="s">
        <v>92</v>
      </c>
      <c r="T660" s="2" t="s">
        <v>101</v>
      </c>
    </row>
    <row r="661" spans="1:20" x14ac:dyDescent="0.25">
      <c r="A661" s="2" t="s">
        <v>1580</v>
      </c>
      <c r="B661" s="3">
        <v>42659</v>
      </c>
      <c r="C661" s="3">
        <v>42659</v>
      </c>
      <c r="D661" s="2" t="s">
        <v>55</v>
      </c>
      <c r="E661" s="2" t="s">
        <v>1581</v>
      </c>
      <c r="F661" s="2" t="s">
        <v>1582</v>
      </c>
      <c r="G661" s="2" t="s">
        <v>58</v>
      </c>
      <c r="H661" s="2" t="s">
        <v>25</v>
      </c>
      <c r="I661" s="2" t="s">
        <v>539</v>
      </c>
      <c r="J661" s="2" t="s">
        <v>91</v>
      </c>
      <c r="K661" s="2" t="s">
        <v>61</v>
      </c>
      <c r="L661" s="2" t="s">
        <v>252</v>
      </c>
      <c r="M661" s="2" t="s">
        <v>30</v>
      </c>
      <c r="N661" s="2" t="s">
        <v>31</v>
      </c>
      <c r="O661" s="2" t="s">
        <v>253</v>
      </c>
      <c r="P661" s="4">
        <v>77.453699999999998</v>
      </c>
      <c r="Q661" s="4">
        <v>2</v>
      </c>
      <c r="R661" s="4">
        <v>23.424600000000002</v>
      </c>
      <c r="S661" s="2" t="s">
        <v>121</v>
      </c>
      <c r="T661" s="2" t="s">
        <v>224</v>
      </c>
    </row>
    <row r="662" spans="1:20" x14ac:dyDescent="0.25">
      <c r="A662" s="2" t="s">
        <v>1580</v>
      </c>
      <c r="B662" s="3">
        <v>42659</v>
      </c>
      <c r="C662" s="3">
        <v>42659</v>
      </c>
      <c r="D662" s="2" t="s">
        <v>55</v>
      </c>
      <c r="E662" s="2" t="s">
        <v>1581</v>
      </c>
      <c r="F662" s="2" t="s">
        <v>1582</v>
      </c>
      <c r="G662" s="2" t="s">
        <v>58</v>
      </c>
      <c r="H662" s="2" t="s">
        <v>25</v>
      </c>
      <c r="I662" s="2" t="s">
        <v>539</v>
      </c>
      <c r="J662" s="2" t="s">
        <v>91</v>
      </c>
      <c r="K662" s="2" t="s">
        <v>61</v>
      </c>
      <c r="L662" s="2" t="s">
        <v>245</v>
      </c>
      <c r="M662" s="2" t="s">
        <v>30</v>
      </c>
      <c r="N662" s="2" t="s">
        <v>42</v>
      </c>
      <c r="O662" s="2" t="s">
        <v>246</v>
      </c>
      <c r="P662" s="4">
        <v>259.35149999999999</v>
      </c>
      <c r="Q662" s="4">
        <v>3</v>
      </c>
      <c r="R662" s="4">
        <v>28.857600000000001</v>
      </c>
      <c r="S662" s="2" t="s">
        <v>121</v>
      </c>
      <c r="T662" s="2" t="s">
        <v>224</v>
      </c>
    </row>
    <row r="663" spans="1:20" x14ac:dyDescent="0.25">
      <c r="A663" s="2" t="s">
        <v>1580</v>
      </c>
      <c r="B663" s="3">
        <v>42659</v>
      </c>
      <c r="C663" s="3">
        <v>42659</v>
      </c>
      <c r="D663" s="2" t="s">
        <v>55</v>
      </c>
      <c r="E663" s="2" t="s">
        <v>1581</v>
      </c>
      <c r="F663" s="2" t="s">
        <v>1582</v>
      </c>
      <c r="G663" s="2" t="s">
        <v>58</v>
      </c>
      <c r="H663" s="2" t="s">
        <v>25</v>
      </c>
      <c r="I663" s="2" t="s">
        <v>539</v>
      </c>
      <c r="J663" s="2" t="s">
        <v>91</v>
      </c>
      <c r="K663" s="2" t="s">
        <v>61</v>
      </c>
      <c r="L663" s="2" t="s">
        <v>66</v>
      </c>
      <c r="M663" s="2" t="s">
        <v>30</v>
      </c>
      <c r="N663" s="2" t="s">
        <v>31</v>
      </c>
      <c r="O663" s="2" t="s">
        <v>67</v>
      </c>
      <c r="P663" s="4">
        <v>357.49329999999998</v>
      </c>
      <c r="Q663" s="4">
        <v>3</v>
      </c>
      <c r="R663" s="4">
        <v>96.340800000000002</v>
      </c>
      <c r="S663" s="2" t="s">
        <v>121</v>
      </c>
      <c r="T663" s="2" t="s">
        <v>224</v>
      </c>
    </row>
    <row r="664" spans="1:20" x14ac:dyDescent="0.25">
      <c r="A664" s="2" t="s">
        <v>1580</v>
      </c>
      <c r="B664" s="3">
        <v>42659</v>
      </c>
      <c r="C664" s="3">
        <v>42659</v>
      </c>
      <c r="D664" s="2" t="s">
        <v>55</v>
      </c>
      <c r="E664" s="2" t="s">
        <v>1581</v>
      </c>
      <c r="F664" s="2" t="s">
        <v>1582</v>
      </c>
      <c r="G664" s="2" t="s">
        <v>58</v>
      </c>
      <c r="H664" s="2" t="s">
        <v>25</v>
      </c>
      <c r="I664" s="2" t="s">
        <v>539</v>
      </c>
      <c r="J664" s="2" t="s">
        <v>91</v>
      </c>
      <c r="K664" s="2" t="s">
        <v>61</v>
      </c>
      <c r="L664" s="2" t="s">
        <v>933</v>
      </c>
      <c r="M664" s="2" t="s">
        <v>30</v>
      </c>
      <c r="N664" s="2" t="s">
        <v>162</v>
      </c>
      <c r="O664" s="2" t="s">
        <v>934</v>
      </c>
      <c r="P664" s="4">
        <v>395.4599</v>
      </c>
      <c r="Q664" s="4">
        <v>3</v>
      </c>
      <c r="R664" s="4">
        <v>-224.6181</v>
      </c>
      <c r="S664" s="2" t="s">
        <v>121</v>
      </c>
      <c r="T664" s="2" t="s">
        <v>224</v>
      </c>
    </row>
    <row r="665" spans="1:20" x14ac:dyDescent="0.25">
      <c r="A665" s="2" t="s">
        <v>1583</v>
      </c>
      <c r="B665" s="3">
        <v>42002</v>
      </c>
      <c r="C665" s="3">
        <v>42003</v>
      </c>
      <c r="D665" s="2" t="s">
        <v>55</v>
      </c>
      <c r="E665" s="2" t="s">
        <v>286</v>
      </c>
      <c r="F665" s="2" t="s">
        <v>287</v>
      </c>
      <c r="G665" s="2" t="s">
        <v>58</v>
      </c>
      <c r="H665" s="2" t="s">
        <v>25</v>
      </c>
      <c r="I665" s="2" t="s">
        <v>576</v>
      </c>
      <c r="J665" s="2" t="s">
        <v>470</v>
      </c>
      <c r="K665" s="2" t="s">
        <v>28</v>
      </c>
      <c r="L665" s="2" t="s">
        <v>820</v>
      </c>
      <c r="M665" s="2" t="s">
        <v>30</v>
      </c>
      <c r="N665" s="2" t="s">
        <v>162</v>
      </c>
      <c r="O665" s="2" t="s">
        <v>821</v>
      </c>
      <c r="P665" s="4">
        <v>761.05920000000003</v>
      </c>
      <c r="Q665" s="4">
        <v>3</v>
      </c>
      <c r="R665" s="4">
        <v>-218.8768</v>
      </c>
      <c r="S665" s="2" t="s">
        <v>33</v>
      </c>
      <c r="T665" s="2" t="s">
        <v>76</v>
      </c>
    </row>
    <row r="666" spans="1:20" x14ac:dyDescent="0.25">
      <c r="A666" s="2" t="s">
        <v>1584</v>
      </c>
      <c r="B666" s="3">
        <v>43043</v>
      </c>
      <c r="C666" s="3">
        <v>43050</v>
      </c>
      <c r="D666" s="2" t="s">
        <v>55</v>
      </c>
      <c r="E666" s="2" t="s">
        <v>95</v>
      </c>
      <c r="F666" s="2" t="s">
        <v>96</v>
      </c>
      <c r="G666" s="2" t="s">
        <v>38</v>
      </c>
      <c r="H666" s="2" t="s">
        <v>25</v>
      </c>
      <c r="I666" s="2" t="s">
        <v>1386</v>
      </c>
      <c r="J666" s="2" t="s">
        <v>806</v>
      </c>
      <c r="K666" s="2" t="s">
        <v>28</v>
      </c>
      <c r="L666" s="2" t="s">
        <v>99</v>
      </c>
      <c r="M666" s="2" t="s">
        <v>30</v>
      </c>
      <c r="N666" s="2" t="s">
        <v>42</v>
      </c>
      <c r="O666" s="2" t="s">
        <v>100</v>
      </c>
      <c r="P666" s="4">
        <v>884.12720000000002</v>
      </c>
      <c r="Q666" s="4">
        <v>9</v>
      </c>
      <c r="R666" s="4">
        <v>391.89749999999998</v>
      </c>
      <c r="S666" s="2" t="s">
        <v>107</v>
      </c>
      <c r="T666" s="2" t="s">
        <v>93</v>
      </c>
    </row>
    <row r="667" spans="1:20" x14ac:dyDescent="0.25">
      <c r="A667" s="2" t="s">
        <v>1585</v>
      </c>
      <c r="B667" s="3">
        <v>42362</v>
      </c>
      <c r="C667" s="3">
        <v>42362</v>
      </c>
      <c r="D667" s="2" t="s">
        <v>55</v>
      </c>
      <c r="E667" s="2" t="s">
        <v>1586</v>
      </c>
      <c r="F667" s="2" t="s">
        <v>1587</v>
      </c>
      <c r="G667" s="2" t="s">
        <v>58</v>
      </c>
      <c r="H667" s="2" t="s">
        <v>25</v>
      </c>
      <c r="I667" s="2" t="s">
        <v>343</v>
      </c>
      <c r="J667" s="2" t="s">
        <v>153</v>
      </c>
      <c r="K667" s="2" t="s">
        <v>147</v>
      </c>
      <c r="L667" s="2" t="s">
        <v>45</v>
      </c>
      <c r="M667" s="2" t="s">
        <v>30</v>
      </c>
      <c r="N667" s="2" t="s">
        <v>31</v>
      </c>
      <c r="O667" s="2" t="s">
        <v>46</v>
      </c>
      <c r="P667" s="4">
        <v>3.9782000000000002</v>
      </c>
      <c r="Q667" s="4">
        <v>6</v>
      </c>
      <c r="R667" s="4">
        <v>1.8243</v>
      </c>
      <c r="S667" s="2" t="s">
        <v>121</v>
      </c>
      <c r="T667" s="2" t="s">
        <v>76</v>
      </c>
    </row>
    <row r="668" spans="1:20" x14ac:dyDescent="0.25">
      <c r="A668" s="2" t="s">
        <v>1588</v>
      </c>
      <c r="B668" s="3">
        <v>41839</v>
      </c>
      <c r="C668" s="3">
        <v>41840</v>
      </c>
      <c r="D668" s="2" t="s">
        <v>21</v>
      </c>
      <c r="E668" s="2" t="s">
        <v>1589</v>
      </c>
      <c r="F668" s="2" t="s">
        <v>1590</v>
      </c>
      <c r="G668" s="2" t="s">
        <v>24</v>
      </c>
      <c r="H668" s="2" t="s">
        <v>25</v>
      </c>
      <c r="I668" s="2" t="s">
        <v>80</v>
      </c>
      <c r="J668" s="2" t="s">
        <v>81</v>
      </c>
      <c r="K668" s="2" t="s">
        <v>82</v>
      </c>
      <c r="L668" s="2" t="s">
        <v>73</v>
      </c>
      <c r="M668" s="2" t="s">
        <v>30</v>
      </c>
      <c r="N668" s="2" t="s">
        <v>42</v>
      </c>
      <c r="O668" s="2" t="s">
        <v>74</v>
      </c>
      <c r="P668" s="4">
        <v>39.142000000000003</v>
      </c>
      <c r="Q668" s="4">
        <v>3</v>
      </c>
      <c r="R668" s="4">
        <v>8.9711999999999996</v>
      </c>
      <c r="S668" s="2" t="s">
        <v>33</v>
      </c>
      <c r="T668" s="2" t="s">
        <v>86</v>
      </c>
    </row>
    <row r="669" spans="1:20" x14ac:dyDescent="0.25">
      <c r="A669" s="2" t="s">
        <v>1591</v>
      </c>
      <c r="B669" s="3">
        <v>43049</v>
      </c>
      <c r="C669" s="3">
        <v>43056</v>
      </c>
      <c r="D669" s="2" t="s">
        <v>55</v>
      </c>
      <c r="E669" s="2" t="s">
        <v>143</v>
      </c>
      <c r="F669" s="2" t="s">
        <v>144</v>
      </c>
      <c r="G669" s="2" t="s">
        <v>58</v>
      </c>
      <c r="H669" s="2" t="s">
        <v>25</v>
      </c>
      <c r="I669" s="2" t="s">
        <v>566</v>
      </c>
      <c r="J669" s="2" t="s">
        <v>424</v>
      </c>
      <c r="K669" s="2" t="s">
        <v>28</v>
      </c>
      <c r="L669" s="2" t="s">
        <v>820</v>
      </c>
      <c r="M669" s="2" t="s">
        <v>30</v>
      </c>
      <c r="N669" s="2" t="s">
        <v>162</v>
      </c>
      <c r="O669" s="2" t="s">
        <v>821</v>
      </c>
      <c r="P669" s="4">
        <v>2786.3436000000002</v>
      </c>
      <c r="Q669" s="4">
        <v>4</v>
      </c>
      <c r="R669" s="4">
        <v>-1108.2425000000001</v>
      </c>
      <c r="S669" s="2" t="s">
        <v>107</v>
      </c>
      <c r="T669" s="2" t="s">
        <v>93</v>
      </c>
    </row>
    <row r="670" spans="1:20" x14ac:dyDescent="0.25">
      <c r="A670" s="2" t="s">
        <v>1592</v>
      </c>
      <c r="B670" s="3">
        <v>42502</v>
      </c>
      <c r="C670" s="3">
        <v>42507</v>
      </c>
      <c r="D670" s="2" t="s">
        <v>55</v>
      </c>
      <c r="E670" s="2" t="s">
        <v>1593</v>
      </c>
      <c r="F670" s="2" t="s">
        <v>1594</v>
      </c>
      <c r="G670" s="2" t="s">
        <v>38</v>
      </c>
      <c r="H670" s="2" t="s">
        <v>25</v>
      </c>
      <c r="I670" s="2" t="s">
        <v>350</v>
      </c>
      <c r="J670" s="2" t="s">
        <v>351</v>
      </c>
      <c r="K670" s="2" t="s">
        <v>147</v>
      </c>
      <c r="L670" s="2" t="s">
        <v>252</v>
      </c>
      <c r="M670" s="2" t="s">
        <v>30</v>
      </c>
      <c r="N670" s="2" t="s">
        <v>31</v>
      </c>
      <c r="O670" s="2" t="s">
        <v>253</v>
      </c>
      <c r="P670" s="4">
        <v>19.396999999999998</v>
      </c>
      <c r="Q670" s="4">
        <v>2</v>
      </c>
      <c r="R670" s="4">
        <v>2.8E-3</v>
      </c>
      <c r="S670" s="2" t="s">
        <v>85</v>
      </c>
      <c r="T670" s="2" t="s">
        <v>122</v>
      </c>
    </row>
    <row r="671" spans="1:20" x14ac:dyDescent="0.25">
      <c r="A671" s="2" t="s">
        <v>1595</v>
      </c>
      <c r="B671" s="3">
        <v>43054</v>
      </c>
      <c r="C671" s="3">
        <v>43060</v>
      </c>
      <c r="D671" s="2" t="s">
        <v>55</v>
      </c>
      <c r="E671" s="2" t="s">
        <v>1283</v>
      </c>
      <c r="F671" s="2" t="s">
        <v>1284</v>
      </c>
      <c r="G671" s="2" t="s">
        <v>58</v>
      </c>
      <c r="H671" s="2" t="s">
        <v>25</v>
      </c>
      <c r="I671" s="2" t="s">
        <v>531</v>
      </c>
      <c r="J671" s="2" t="s">
        <v>435</v>
      </c>
      <c r="K671" s="2" t="s">
        <v>61</v>
      </c>
      <c r="L671" s="2" t="s">
        <v>252</v>
      </c>
      <c r="M671" s="2" t="s">
        <v>30</v>
      </c>
      <c r="N671" s="2" t="s">
        <v>31</v>
      </c>
      <c r="O671" s="2" t="s">
        <v>253</v>
      </c>
      <c r="P671" s="4">
        <v>12.624700000000001</v>
      </c>
      <c r="Q671" s="4">
        <v>3</v>
      </c>
      <c r="R671" s="4">
        <v>2.4622000000000002</v>
      </c>
      <c r="S671" s="2" t="s">
        <v>65</v>
      </c>
      <c r="T671" s="2" t="s">
        <v>93</v>
      </c>
    </row>
    <row r="672" spans="1:20" x14ac:dyDescent="0.25">
      <c r="A672" s="2" t="s">
        <v>1596</v>
      </c>
      <c r="B672" s="3">
        <v>42737</v>
      </c>
      <c r="C672" s="3">
        <v>42739</v>
      </c>
      <c r="D672" s="2" t="s">
        <v>48</v>
      </c>
      <c r="E672" s="2" t="s">
        <v>582</v>
      </c>
      <c r="F672" s="2" t="s">
        <v>583</v>
      </c>
      <c r="G672" s="2" t="s">
        <v>58</v>
      </c>
      <c r="H672" s="2" t="s">
        <v>25</v>
      </c>
      <c r="I672" s="2" t="s">
        <v>71</v>
      </c>
      <c r="J672" s="2" t="s">
        <v>72</v>
      </c>
      <c r="K672" s="2" t="s">
        <v>61</v>
      </c>
      <c r="L672" s="2" t="s">
        <v>899</v>
      </c>
      <c r="M672" s="2" t="s">
        <v>30</v>
      </c>
      <c r="N672" s="2" t="s">
        <v>63</v>
      </c>
      <c r="O672" s="2" t="s">
        <v>900</v>
      </c>
      <c r="P672" s="4">
        <v>232.71799999999999</v>
      </c>
      <c r="Q672" s="4">
        <v>3</v>
      </c>
      <c r="R672" s="4">
        <v>-10.3848</v>
      </c>
      <c r="S672" s="2" t="s">
        <v>53</v>
      </c>
      <c r="T672" s="2" t="s">
        <v>115</v>
      </c>
    </row>
    <row r="673" spans="1:20" x14ac:dyDescent="0.25">
      <c r="A673" s="2" t="s">
        <v>1597</v>
      </c>
      <c r="B673" s="3">
        <v>41834</v>
      </c>
      <c r="C673" s="3">
        <v>41835</v>
      </c>
      <c r="D673" s="2" t="s">
        <v>55</v>
      </c>
      <c r="E673" s="2" t="s">
        <v>1372</v>
      </c>
      <c r="F673" s="2" t="s">
        <v>1373</v>
      </c>
      <c r="G673" s="2" t="s">
        <v>58</v>
      </c>
      <c r="H673" s="2" t="s">
        <v>25</v>
      </c>
      <c r="I673" s="2" t="s">
        <v>198</v>
      </c>
      <c r="J673" s="2" t="s">
        <v>199</v>
      </c>
      <c r="K673" s="2" t="s">
        <v>82</v>
      </c>
      <c r="L673" s="2" t="s">
        <v>83</v>
      </c>
      <c r="M673" s="2" t="s">
        <v>30</v>
      </c>
      <c r="N673" s="2" t="s">
        <v>42</v>
      </c>
      <c r="O673" s="2" t="s">
        <v>84</v>
      </c>
      <c r="P673" s="4">
        <v>192.84030000000001</v>
      </c>
      <c r="Q673" s="4">
        <v>9</v>
      </c>
      <c r="R673" s="4">
        <v>65.524900000000002</v>
      </c>
      <c r="S673" s="2" t="s">
        <v>33</v>
      </c>
      <c r="T673" s="2" t="s">
        <v>86</v>
      </c>
    </row>
    <row r="674" spans="1:20" x14ac:dyDescent="0.25">
      <c r="A674" s="2" t="s">
        <v>1598</v>
      </c>
      <c r="B674" s="3">
        <v>42526</v>
      </c>
      <c r="C674" s="3">
        <v>42530</v>
      </c>
      <c r="D674" s="2" t="s">
        <v>21</v>
      </c>
      <c r="E674" s="2" t="s">
        <v>920</v>
      </c>
      <c r="F674" s="2" t="s">
        <v>921</v>
      </c>
      <c r="G674" s="2" t="s">
        <v>58</v>
      </c>
      <c r="H674" s="2" t="s">
        <v>25</v>
      </c>
      <c r="I674" s="2" t="s">
        <v>71</v>
      </c>
      <c r="J674" s="2" t="s">
        <v>72</v>
      </c>
      <c r="K674" s="2" t="s">
        <v>61</v>
      </c>
      <c r="L674" s="2" t="s">
        <v>793</v>
      </c>
      <c r="M674" s="2" t="s">
        <v>30</v>
      </c>
      <c r="N674" s="2" t="s">
        <v>63</v>
      </c>
      <c r="O674" s="2" t="s">
        <v>794</v>
      </c>
      <c r="P674" s="4">
        <v>410.71260000000001</v>
      </c>
      <c r="Q674" s="4">
        <v>8</v>
      </c>
      <c r="R674" s="4">
        <v>35.182200000000002</v>
      </c>
      <c r="S674" s="2" t="s">
        <v>75</v>
      </c>
      <c r="T674" s="2" t="s">
        <v>133</v>
      </c>
    </row>
    <row r="675" spans="1:20" x14ac:dyDescent="0.25">
      <c r="A675" s="2" t="s">
        <v>1599</v>
      </c>
      <c r="B675" s="3">
        <v>42697</v>
      </c>
      <c r="C675" s="3">
        <v>42699</v>
      </c>
      <c r="D675" s="2" t="s">
        <v>48</v>
      </c>
      <c r="E675" s="2" t="s">
        <v>1600</v>
      </c>
      <c r="F675" s="2" t="s">
        <v>1601</v>
      </c>
      <c r="G675" s="2" t="s">
        <v>58</v>
      </c>
      <c r="H675" s="2" t="s">
        <v>25</v>
      </c>
      <c r="I675" s="2" t="s">
        <v>288</v>
      </c>
      <c r="J675" s="2" t="s">
        <v>289</v>
      </c>
      <c r="K675" s="2" t="s">
        <v>82</v>
      </c>
      <c r="L675" s="2" t="s">
        <v>283</v>
      </c>
      <c r="M675" s="2" t="s">
        <v>30</v>
      </c>
      <c r="N675" s="2" t="s">
        <v>162</v>
      </c>
      <c r="O675" s="2" t="s">
        <v>284</v>
      </c>
      <c r="P675" s="4">
        <v>617.16070000000002</v>
      </c>
      <c r="Q675" s="4">
        <v>1</v>
      </c>
      <c r="R675" s="4">
        <v>-92.287499999999994</v>
      </c>
      <c r="S675" s="2" t="s">
        <v>53</v>
      </c>
      <c r="T675" s="2" t="s">
        <v>93</v>
      </c>
    </row>
    <row r="676" spans="1:20" x14ac:dyDescent="0.25">
      <c r="A676" s="2" t="s">
        <v>1602</v>
      </c>
      <c r="B676" s="3">
        <v>42587</v>
      </c>
      <c r="C676" s="3">
        <v>42588</v>
      </c>
      <c r="D676" s="2" t="s">
        <v>55</v>
      </c>
      <c r="E676" s="2" t="s">
        <v>690</v>
      </c>
      <c r="F676" s="2" t="s">
        <v>691</v>
      </c>
      <c r="G676" s="2" t="s">
        <v>58</v>
      </c>
      <c r="H676" s="2" t="s">
        <v>25</v>
      </c>
      <c r="I676" s="2" t="s">
        <v>105</v>
      </c>
      <c r="J676" s="2" t="s">
        <v>106</v>
      </c>
      <c r="K676" s="2" t="s">
        <v>61</v>
      </c>
      <c r="L676" s="2" t="s">
        <v>131</v>
      </c>
      <c r="M676" s="2" t="s">
        <v>30</v>
      </c>
      <c r="N676" s="2" t="s">
        <v>31</v>
      </c>
      <c r="O676" s="2" t="s">
        <v>132</v>
      </c>
      <c r="P676" s="4">
        <v>12.1487</v>
      </c>
      <c r="Q676" s="4">
        <v>3</v>
      </c>
      <c r="R676" s="4">
        <v>1.3966000000000001</v>
      </c>
      <c r="S676" s="2" t="s">
        <v>33</v>
      </c>
      <c r="T676" s="2" t="s">
        <v>34</v>
      </c>
    </row>
    <row r="677" spans="1:20" x14ac:dyDescent="0.25">
      <c r="A677" s="2" t="s">
        <v>1603</v>
      </c>
      <c r="B677" s="3">
        <v>42227</v>
      </c>
      <c r="C677" s="3">
        <v>42230</v>
      </c>
      <c r="D677" s="2" t="s">
        <v>55</v>
      </c>
      <c r="E677" s="2" t="s">
        <v>36</v>
      </c>
      <c r="F677" s="2" t="s">
        <v>37</v>
      </c>
      <c r="G677" s="2" t="s">
        <v>38</v>
      </c>
      <c r="H677" s="2" t="s">
        <v>25</v>
      </c>
      <c r="I677" s="2" t="s">
        <v>666</v>
      </c>
      <c r="J677" s="2" t="s">
        <v>667</v>
      </c>
      <c r="K677" s="2" t="s">
        <v>28</v>
      </c>
      <c r="L677" s="2" t="s">
        <v>131</v>
      </c>
      <c r="M677" s="2" t="s">
        <v>30</v>
      </c>
      <c r="N677" s="2" t="s">
        <v>31</v>
      </c>
      <c r="O677" s="2" t="s">
        <v>132</v>
      </c>
      <c r="P677" s="4">
        <v>161.25749999999999</v>
      </c>
      <c r="Q677" s="4">
        <v>3</v>
      </c>
      <c r="R677" s="4">
        <v>-10.8782</v>
      </c>
      <c r="S677" s="2" t="s">
        <v>92</v>
      </c>
      <c r="T677" s="2" t="s">
        <v>34</v>
      </c>
    </row>
    <row r="678" spans="1:20" x14ac:dyDescent="0.25">
      <c r="A678" s="2" t="s">
        <v>1604</v>
      </c>
      <c r="B678" s="3">
        <v>42590</v>
      </c>
      <c r="C678" s="3">
        <v>42594</v>
      </c>
      <c r="D678" s="2" t="s">
        <v>55</v>
      </c>
      <c r="E678" s="2" t="s">
        <v>1605</v>
      </c>
      <c r="F678" s="2" t="s">
        <v>1606</v>
      </c>
      <c r="G678" s="2" t="s">
        <v>24</v>
      </c>
      <c r="H678" s="2" t="s">
        <v>25</v>
      </c>
      <c r="I678" s="2" t="s">
        <v>338</v>
      </c>
      <c r="J678" s="2" t="s">
        <v>339</v>
      </c>
      <c r="K678" s="2" t="s">
        <v>82</v>
      </c>
      <c r="L678" s="2" t="s">
        <v>83</v>
      </c>
      <c r="M678" s="2" t="s">
        <v>30</v>
      </c>
      <c r="N678" s="2" t="s">
        <v>42</v>
      </c>
      <c r="O678" s="2" t="s">
        <v>84</v>
      </c>
      <c r="P678" s="4">
        <v>356.89870000000002</v>
      </c>
      <c r="Q678" s="4">
        <v>3</v>
      </c>
      <c r="R678" s="4">
        <v>2.3414000000000001</v>
      </c>
      <c r="S678" s="2" t="s">
        <v>75</v>
      </c>
      <c r="T678" s="2" t="s">
        <v>34</v>
      </c>
    </row>
    <row r="679" spans="1:20" x14ac:dyDescent="0.25">
      <c r="A679" s="2" t="s">
        <v>1607</v>
      </c>
      <c r="B679" s="3">
        <v>42988</v>
      </c>
      <c r="C679" s="3">
        <v>42988</v>
      </c>
      <c r="D679" s="2" t="s">
        <v>48</v>
      </c>
      <c r="E679" s="2" t="s">
        <v>1576</v>
      </c>
      <c r="F679" s="2" t="s">
        <v>1577</v>
      </c>
      <c r="G679" s="2" t="s">
        <v>24</v>
      </c>
      <c r="H679" s="2" t="s">
        <v>25</v>
      </c>
      <c r="I679" s="2" t="s">
        <v>501</v>
      </c>
      <c r="J679" s="2" t="s">
        <v>234</v>
      </c>
      <c r="K679" s="2" t="s">
        <v>82</v>
      </c>
      <c r="L679" s="2" t="s">
        <v>73</v>
      </c>
      <c r="M679" s="2" t="s">
        <v>30</v>
      </c>
      <c r="N679" s="2" t="s">
        <v>42</v>
      </c>
      <c r="O679" s="2" t="s">
        <v>74</v>
      </c>
      <c r="P679" s="4">
        <v>825.36170000000004</v>
      </c>
      <c r="Q679" s="4">
        <v>4</v>
      </c>
      <c r="R679" s="4">
        <v>76.719300000000004</v>
      </c>
      <c r="S679" s="2" t="s">
        <v>121</v>
      </c>
      <c r="T679" s="2" t="s">
        <v>148</v>
      </c>
    </row>
    <row r="680" spans="1:20" x14ac:dyDescent="0.25">
      <c r="A680" s="2" t="s">
        <v>1608</v>
      </c>
      <c r="B680" s="3">
        <v>42473</v>
      </c>
      <c r="C680" s="3">
        <v>42473</v>
      </c>
      <c r="D680" s="2" t="s">
        <v>48</v>
      </c>
      <c r="E680" s="2" t="s">
        <v>1609</v>
      </c>
      <c r="F680" s="2" t="s">
        <v>1610</v>
      </c>
      <c r="G680" s="2" t="s">
        <v>38</v>
      </c>
      <c r="H680" s="2" t="s">
        <v>25</v>
      </c>
      <c r="I680" s="2" t="s">
        <v>736</v>
      </c>
      <c r="J680" s="2" t="s">
        <v>728</v>
      </c>
      <c r="K680" s="2" t="s">
        <v>147</v>
      </c>
      <c r="L680" s="2" t="s">
        <v>252</v>
      </c>
      <c r="M680" s="2" t="s">
        <v>30</v>
      </c>
      <c r="N680" s="2" t="s">
        <v>31</v>
      </c>
      <c r="O680" s="2" t="s">
        <v>253</v>
      </c>
      <c r="P680" s="4">
        <v>26.675000000000001</v>
      </c>
      <c r="Q680" s="4">
        <v>4</v>
      </c>
      <c r="R680" s="4">
        <v>1.4289000000000001</v>
      </c>
      <c r="S680" s="2" t="s">
        <v>121</v>
      </c>
      <c r="T680" s="2" t="s">
        <v>108</v>
      </c>
    </row>
    <row r="681" spans="1:20" x14ac:dyDescent="0.25">
      <c r="A681" s="2" t="s">
        <v>1611</v>
      </c>
      <c r="B681" s="3">
        <v>42708</v>
      </c>
      <c r="C681" s="3">
        <v>42710</v>
      </c>
      <c r="D681" s="2" t="s">
        <v>21</v>
      </c>
      <c r="E681" s="2" t="s">
        <v>835</v>
      </c>
      <c r="F681" s="2" t="s">
        <v>836</v>
      </c>
      <c r="G681" s="2" t="s">
        <v>24</v>
      </c>
      <c r="H681" s="2" t="s">
        <v>25</v>
      </c>
      <c r="I681" s="2" t="s">
        <v>39</v>
      </c>
      <c r="J681" s="2" t="s">
        <v>40</v>
      </c>
      <c r="K681" s="2" t="s">
        <v>28</v>
      </c>
      <c r="L681" s="2" t="s">
        <v>45</v>
      </c>
      <c r="M681" s="2" t="s">
        <v>30</v>
      </c>
      <c r="N681" s="2" t="s">
        <v>31</v>
      </c>
      <c r="O681" s="2" t="s">
        <v>46</v>
      </c>
      <c r="P681" s="4">
        <v>230.28059999999999</v>
      </c>
      <c r="Q681" s="4">
        <v>2</v>
      </c>
      <c r="R681" s="4">
        <v>-14.8797</v>
      </c>
      <c r="S681" s="2" t="s">
        <v>53</v>
      </c>
      <c r="T681" s="2" t="s">
        <v>76</v>
      </c>
    </row>
    <row r="682" spans="1:20" x14ac:dyDescent="0.25">
      <c r="A682" s="2" t="s">
        <v>1612</v>
      </c>
      <c r="B682" s="3">
        <v>42123</v>
      </c>
      <c r="C682" s="3">
        <v>42127</v>
      </c>
      <c r="D682" s="2" t="s">
        <v>55</v>
      </c>
      <c r="E682" s="2" t="s">
        <v>1182</v>
      </c>
      <c r="F682" s="2" t="s">
        <v>1183</v>
      </c>
      <c r="G682" s="2" t="s">
        <v>58</v>
      </c>
      <c r="H682" s="2" t="s">
        <v>25</v>
      </c>
      <c r="I682" s="2" t="s">
        <v>760</v>
      </c>
      <c r="J682" s="2" t="s">
        <v>112</v>
      </c>
      <c r="K682" s="2" t="s">
        <v>28</v>
      </c>
      <c r="L682" s="2" t="s">
        <v>513</v>
      </c>
      <c r="M682" s="2" t="s">
        <v>30</v>
      </c>
      <c r="N682" s="2" t="s">
        <v>63</v>
      </c>
      <c r="O682" s="2" t="s">
        <v>514</v>
      </c>
      <c r="P682" s="4">
        <v>169.35730000000001</v>
      </c>
      <c r="Q682" s="4">
        <v>3</v>
      </c>
      <c r="R682" s="4">
        <v>90.392799999999994</v>
      </c>
      <c r="S682" s="2" t="s">
        <v>75</v>
      </c>
      <c r="T682" s="2" t="s">
        <v>108</v>
      </c>
    </row>
    <row r="683" spans="1:20" x14ac:dyDescent="0.25">
      <c r="A683" s="2" t="s">
        <v>1612</v>
      </c>
      <c r="B683" s="3">
        <v>42123</v>
      </c>
      <c r="C683" s="3">
        <v>42127</v>
      </c>
      <c r="D683" s="2" t="s">
        <v>55</v>
      </c>
      <c r="E683" s="2" t="s">
        <v>1182</v>
      </c>
      <c r="F683" s="2" t="s">
        <v>1183</v>
      </c>
      <c r="G683" s="2" t="s">
        <v>58</v>
      </c>
      <c r="H683" s="2" t="s">
        <v>25</v>
      </c>
      <c r="I683" s="2" t="s">
        <v>760</v>
      </c>
      <c r="J683" s="2" t="s">
        <v>112</v>
      </c>
      <c r="K683" s="2" t="s">
        <v>28</v>
      </c>
      <c r="L683" s="2" t="s">
        <v>73</v>
      </c>
      <c r="M683" s="2" t="s">
        <v>30</v>
      </c>
      <c r="N683" s="2" t="s">
        <v>42</v>
      </c>
      <c r="O683" s="2" t="s">
        <v>74</v>
      </c>
      <c r="P683" s="4">
        <v>290.86279999999999</v>
      </c>
      <c r="Q683" s="4">
        <v>6</v>
      </c>
      <c r="R683" s="4">
        <v>99.580299999999994</v>
      </c>
      <c r="S683" s="2" t="s">
        <v>75</v>
      </c>
      <c r="T683" s="2" t="s">
        <v>108</v>
      </c>
    </row>
    <row r="684" spans="1:20" x14ac:dyDescent="0.25">
      <c r="A684" s="2" t="s">
        <v>1613</v>
      </c>
      <c r="B684" s="3">
        <v>42288</v>
      </c>
      <c r="C684" s="3">
        <v>42293</v>
      </c>
      <c r="D684" s="2" t="s">
        <v>55</v>
      </c>
      <c r="E684" s="2" t="s">
        <v>1614</v>
      </c>
      <c r="F684" s="2" t="s">
        <v>1615</v>
      </c>
      <c r="G684" s="2" t="s">
        <v>38</v>
      </c>
      <c r="H684" s="2" t="s">
        <v>25</v>
      </c>
      <c r="I684" s="2" t="s">
        <v>531</v>
      </c>
      <c r="J684" s="2" t="s">
        <v>435</v>
      </c>
      <c r="K684" s="2" t="s">
        <v>61</v>
      </c>
      <c r="L684" s="2" t="s">
        <v>899</v>
      </c>
      <c r="M684" s="2" t="s">
        <v>30</v>
      </c>
      <c r="N684" s="2" t="s">
        <v>63</v>
      </c>
      <c r="O684" s="2" t="s">
        <v>900</v>
      </c>
      <c r="P684" s="4">
        <v>590.4896</v>
      </c>
      <c r="Q684" s="4">
        <v>1</v>
      </c>
      <c r="R684" s="4">
        <v>33.026600000000002</v>
      </c>
      <c r="S684" s="2" t="s">
        <v>85</v>
      </c>
      <c r="T684" s="2" t="s">
        <v>224</v>
      </c>
    </row>
    <row r="685" spans="1:20" x14ac:dyDescent="0.25">
      <c r="A685" s="2" t="s">
        <v>1613</v>
      </c>
      <c r="B685" s="3">
        <v>42288</v>
      </c>
      <c r="C685" s="3">
        <v>42293</v>
      </c>
      <c r="D685" s="2" t="s">
        <v>55</v>
      </c>
      <c r="E685" s="2" t="s">
        <v>1614</v>
      </c>
      <c r="F685" s="2" t="s">
        <v>1615</v>
      </c>
      <c r="G685" s="2" t="s">
        <v>38</v>
      </c>
      <c r="H685" s="2" t="s">
        <v>25</v>
      </c>
      <c r="I685" s="2" t="s">
        <v>531</v>
      </c>
      <c r="J685" s="2" t="s">
        <v>435</v>
      </c>
      <c r="K685" s="2" t="s">
        <v>61</v>
      </c>
      <c r="L685" s="2" t="s">
        <v>793</v>
      </c>
      <c r="M685" s="2" t="s">
        <v>30</v>
      </c>
      <c r="N685" s="2" t="s">
        <v>63</v>
      </c>
      <c r="O685" s="2" t="s">
        <v>794</v>
      </c>
      <c r="P685" s="4">
        <v>1372.3206</v>
      </c>
      <c r="Q685" s="4">
        <v>7</v>
      </c>
      <c r="R685" s="4">
        <v>140.91999999999999</v>
      </c>
      <c r="S685" s="2" t="s">
        <v>85</v>
      </c>
      <c r="T685" s="2" t="s">
        <v>224</v>
      </c>
    </row>
    <row r="686" spans="1:20" x14ac:dyDescent="0.25">
      <c r="A686" s="2" t="s">
        <v>1616</v>
      </c>
      <c r="B686" s="3">
        <v>42996</v>
      </c>
      <c r="C686" s="3">
        <v>42998</v>
      </c>
      <c r="D686" s="2" t="s">
        <v>48</v>
      </c>
      <c r="E686" s="2" t="s">
        <v>1609</v>
      </c>
      <c r="F686" s="2" t="s">
        <v>1610</v>
      </c>
      <c r="G686" s="2" t="s">
        <v>58</v>
      </c>
      <c r="H686" s="2" t="s">
        <v>25</v>
      </c>
      <c r="I686" s="2" t="s">
        <v>288</v>
      </c>
      <c r="J686" s="2" t="s">
        <v>289</v>
      </c>
      <c r="K686" s="2" t="s">
        <v>82</v>
      </c>
      <c r="L686" s="2" t="s">
        <v>66</v>
      </c>
      <c r="M686" s="2" t="s">
        <v>30</v>
      </c>
      <c r="N686" s="2" t="s">
        <v>31</v>
      </c>
      <c r="O686" s="2" t="s">
        <v>67</v>
      </c>
      <c r="P686" s="4">
        <v>57.164000000000001</v>
      </c>
      <c r="Q686" s="4">
        <v>7</v>
      </c>
      <c r="R686" s="4">
        <v>26.5398</v>
      </c>
      <c r="S686" s="2" t="s">
        <v>53</v>
      </c>
      <c r="T686" s="2" t="s">
        <v>148</v>
      </c>
    </row>
    <row r="687" spans="1:20" x14ac:dyDescent="0.25">
      <c r="A687" s="2" t="s">
        <v>1617</v>
      </c>
      <c r="B687" s="3">
        <v>42435</v>
      </c>
      <c r="C687" s="3">
        <v>42435</v>
      </c>
      <c r="D687" s="2" t="s">
        <v>48</v>
      </c>
      <c r="E687" s="2" t="s">
        <v>731</v>
      </c>
      <c r="F687" s="2" t="s">
        <v>732</v>
      </c>
      <c r="G687" s="2" t="s">
        <v>24</v>
      </c>
      <c r="H687" s="2" t="s">
        <v>25</v>
      </c>
      <c r="I687" s="2" t="s">
        <v>580</v>
      </c>
      <c r="J687" s="2" t="s">
        <v>387</v>
      </c>
      <c r="K687" s="2" t="s">
        <v>61</v>
      </c>
      <c r="L687" s="2" t="s">
        <v>323</v>
      </c>
      <c r="M687" s="2" t="s">
        <v>30</v>
      </c>
      <c r="N687" s="2" t="s">
        <v>31</v>
      </c>
      <c r="O687" s="2" t="s">
        <v>324</v>
      </c>
      <c r="P687" s="4">
        <v>280.89749999999998</v>
      </c>
      <c r="Q687" s="4">
        <v>2</v>
      </c>
      <c r="R687" s="4">
        <v>84.451700000000002</v>
      </c>
      <c r="S687" s="2" t="s">
        <v>121</v>
      </c>
      <c r="T687" s="2" t="s">
        <v>44</v>
      </c>
    </row>
    <row r="688" spans="1:20" x14ac:dyDescent="0.25">
      <c r="A688" s="2" t="s">
        <v>1618</v>
      </c>
      <c r="B688" s="3">
        <v>42538</v>
      </c>
      <c r="C688" s="3">
        <v>42539</v>
      </c>
      <c r="D688" s="2" t="s">
        <v>48</v>
      </c>
      <c r="E688" s="2" t="s">
        <v>1576</v>
      </c>
      <c r="F688" s="2" t="s">
        <v>1577</v>
      </c>
      <c r="G688" s="2" t="s">
        <v>58</v>
      </c>
      <c r="H688" s="2" t="s">
        <v>25</v>
      </c>
      <c r="I688" s="2" t="s">
        <v>910</v>
      </c>
      <c r="J688" s="2" t="s">
        <v>260</v>
      </c>
      <c r="K688" s="2" t="s">
        <v>147</v>
      </c>
      <c r="L688" s="2" t="s">
        <v>283</v>
      </c>
      <c r="M688" s="2" t="s">
        <v>30</v>
      </c>
      <c r="N688" s="2" t="s">
        <v>162</v>
      </c>
      <c r="O688" s="2" t="s">
        <v>284</v>
      </c>
      <c r="P688" s="4">
        <v>596.84249999999997</v>
      </c>
      <c r="Q688" s="4">
        <v>4</v>
      </c>
      <c r="R688" s="4">
        <v>58.537500000000001</v>
      </c>
      <c r="S688" s="2" t="s">
        <v>33</v>
      </c>
      <c r="T688" s="2" t="s">
        <v>133</v>
      </c>
    </row>
    <row r="689" spans="1:20" x14ac:dyDescent="0.25">
      <c r="A689" s="2" t="s">
        <v>1619</v>
      </c>
      <c r="B689" s="3">
        <v>42505</v>
      </c>
      <c r="C689" s="3">
        <v>42509</v>
      </c>
      <c r="D689" s="2" t="s">
        <v>21</v>
      </c>
      <c r="E689" s="2" t="s">
        <v>1057</v>
      </c>
      <c r="F689" s="2" t="s">
        <v>1058</v>
      </c>
      <c r="G689" s="2" t="s">
        <v>38</v>
      </c>
      <c r="H689" s="2" t="s">
        <v>25</v>
      </c>
      <c r="I689" s="2" t="s">
        <v>350</v>
      </c>
      <c r="J689" s="2" t="s">
        <v>351</v>
      </c>
      <c r="K689" s="2" t="s">
        <v>147</v>
      </c>
      <c r="L689" s="2" t="s">
        <v>933</v>
      </c>
      <c r="M689" s="2" t="s">
        <v>30</v>
      </c>
      <c r="N689" s="2" t="s">
        <v>162</v>
      </c>
      <c r="O689" s="2" t="s">
        <v>934</v>
      </c>
      <c r="P689" s="4">
        <v>1494.2701999999999</v>
      </c>
      <c r="Q689" s="4">
        <v>5</v>
      </c>
      <c r="R689" s="4">
        <v>29.289200000000001</v>
      </c>
      <c r="S689" s="2" t="s">
        <v>75</v>
      </c>
      <c r="T689" s="2" t="s">
        <v>122</v>
      </c>
    </row>
    <row r="690" spans="1:20" x14ac:dyDescent="0.25">
      <c r="A690" s="2" t="s">
        <v>1620</v>
      </c>
      <c r="B690" s="3">
        <v>41746</v>
      </c>
      <c r="C690" s="3">
        <v>41750</v>
      </c>
      <c r="D690" s="2" t="s">
        <v>55</v>
      </c>
      <c r="E690" s="2" t="s">
        <v>1621</v>
      </c>
      <c r="F690" s="2" t="s">
        <v>1622</v>
      </c>
      <c r="G690" s="2" t="s">
        <v>58</v>
      </c>
      <c r="H690" s="2" t="s">
        <v>25</v>
      </c>
      <c r="I690" s="2" t="s">
        <v>605</v>
      </c>
      <c r="J690" s="2" t="s">
        <v>424</v>
      </c>
      <c r="K690" s="2" t="s">
        <v>28</v>
      </c>
      <c r="L690" s="2" t="s">
        <v>890</v>
      </c>
      <c r="M690" s="2" t="s">
        <v>30</v>
      </c>
      <c r="N690" s="2" t="s">
        <v>63</v>
      </c>
      <c r="O690" s="2" t="s">
        <v>891</v>
      </c>
      <c r="P690" s="4">
        <v>113.5731</v>
      </c>
      <c r="Q690" s="4">
        <v>4</v>
      </c>
      <c r="R690" s="4">
        <v>-39.308300000000003</v>
      </c>
      <c r="S690" s="2" t="s">
        <v>75</v>
      </c>
      <c r="T690" s="2" t="s">
        <v>108</v>
      </c>
    </row>
    <row r="691" spans="1:20" x14ac:dyDescent="0.25">
      <c r="A691" s="2" t="s">
        <v>1623</v>
      </c>
      <c r="B691" s="3">
        <v>42151</v>
      </c>
      <c r="C691" s="3">
        <v>42151</v>
      </c>
      <c r="D691" s="2" t="s">
        <v>48</v>
      </c>
      <c r="E691" s="2" t="s">
        <v>1624</v>
      </c>
      <c r="F691" s="2" t="s">
        <v>1625</v>
      </c>
      <c r="G691" s="2" t="s">
        <v>38</v>
      </c>
      <c r="H691" s="2" t="s">
        <v>25</v>
      </c>
      <c r="I691" s="2" t="s">
        <v>414</v>
      </c>
      <c r="J691" s="2" t="s">
        <v>206</v>
      </c>
      <c r="K691" s="2" t="s">
        <v>61</v>
      </c>
      <c r="L691" s="2" t="s">
        <v>186</v>
      </c>
      <c r="M691" s="2" t="s">
        <v>30</v>
      </c>
      <c r="N691" s="2" t="s">
        <v>31</v>
      </c>
      <c r="O691" s="2" t="s">
        <v>187</v>
      </c>
      <c r="P691" s="4">
        <v>145.98320000000001</v>
      </c>
      <c r="Q691" s="4">
        <v>2</v>
      </c>
      <c r="R691" s="4">
        <v>-23.418099999999999</v>
      </c>
      <c r="S691" s="2" t="s">
        <v>121</v>
      </c>
      <c r="T691" s="2" t="s">
        <v>122</v>
      </c>
    </row>
    <row r="692" spans="1:20" x14ac:dyDescent="0.25">
      <c r="A692" s="2" t="s">
        <v>1626</v>
      </c>
      <c r="B692" s="3">
        <v>42217</v>
      </c>
      <c r="C692" s="3">
        <v>42217</v>
      </c>
      <c r="D692" s="2" t="s">
        <v>142</v>
      </c>
      <c r="E692" s="2" t="s">
        <v>421</v>
      </c>
      <c r="F692" s="2" t="s">
        <v>422</v>
      </c>
      <c r="G692" s="2" t="s">
        <v>58</v>
      </c>
      <c r="H692" s="2" t="s">
        <v>25</v>
      </c>
      <c r="I692" s="2" t="s">
        <v>1128</v>
      </c>
      <c r="J692" s="2" t="s">
        <v>667</v>
      </c>
      <c r="K692" s="2" t="s">
        <v>28</v>
      </c>
      <c r="L692" s="2" t="s">
        <v>41</v>
      </c>
      <c r="M692" s="2" t="s">
        <v>30</v>
      </c>
      <c r="N692" s="2" t="s">
        <v>42</v>
      </c>
      <c r="O692" s="2" t="s">
        <v>43</v>
      </c>
      <c r="P692" s="4">
        <v>269.9205</v>
      </c>
      <c r="Q692" s="4">
        <v>1</v>
      </c>
      <c r="R692" s="4">
        <v>-78.153099999999995</v>
      </c>
      <c r="S692" s="2" t="s">
        <v>121</v>
      </c>
      <c r="T692" s="2" t="s">
        <v>34</v>
      </c>
    </row>
    <row r="693" spans="1:20" x14ac:dyDescent="0.25">
      <c r="A693" s="2" t="s">
        <v>1626</v>
      </c>
      <c r="B693" s="3">
        <v>42217</v>
      </c>
      <c r="C693" s="3">
        <v>42217</v>
      </c>
      <c r="D693" s="2" t="s">
        <v>142</v>
      </c>
      <c r="E693" s="2" t="s">
        <v>421</v>
      </c>
      <c r="F693" s="2" t="s">
        <v>422</v>
      </c>
      <c r="G693" s="2" t="s">
        <v>58</v>
      </c>
      <c r="H693" s="2" t="s">
        <v>25</v>
      </c>
      <c r="I693" s="2" t="s">
        <v>1128</v>
      </c>
      <c r="J693" s="2" t="s">
        <v>667</v>
      </c>
      <c r="K693" s="2" t="s">
        <v>28</v>
      </c>
      <c r="L693" s="2" t="s">
        <v>235</v>
      </c>
      <c r="M693" s="2" t="s">
        <v>30</v>
      </c>
      <c r="N693" s="2" t="s">
        <v>31</v>
      </c>
      <c r="O693" s="2" t="s">
        <v>236</v>
      </c>
      <c r="P693" s="4">
        <v>53.928699999999999</v>
      </c>
      <c r="Q693" s="4">
        <v>4</v>
      </c>
      <c r="R693" s="4">
        <v>-9.7100000000000006E-2</v>
      </c>
      <c r="S693" s="2" t="s">
        <v>121</v>
      </c>
      <c r="T693" s="2" t="s">
        <v>34</v>
      </c>
    </row>
    <row r="694" spans="1:20" x14ac:dyDescent="0.25">
      <c r="A694" s="2" t="s">
        <v>1627</v>
      </c>
      <c r="B694" s="3">
        <v>42893</v>
      </c>
      <c r="C694" s="3">
        <v>42893</v>
      </c>
      <c r="D694" s="2" t="s">
        <v>48</v>
      </c>
      <c r="E694" s="2" t="s">
        <v>1628</v>
      </c>
      <c r="F694" s="2" t="s">
        <v>1629</v>
      </c>
      <c r="G694" s="2" t="s">
        <v>24</v>
      </c>
      <c r="H694" s="2" t="s">
        <v>25</v>
      </c>
      <c r="I694" s="2" t="s">
        <v>576</v>
      </c>
      <c r="J694" s="2" t="s">
        <v>470</v>
      </c>
      <c r="K694" s="2" t="s">
        <v>28</v>
      </c>
      <c r="L694" s="2" t="s">
        <v>169</v>
      </c>
      <c r="M694" s="2" t="s">
        <v>30</v>
      </c>
      <c r="N694" s="2" t="s">
        <v>162</v>
      </c>
      <c r="O694" s="2" t="s">
        <v>170</v>
      </c>
      <c r="P694" s="4">
        <v>708.62810000000002</v>
      </c>
      <c r="Q694" s="4">
        <v>5</v>
      </c>
      <c r="R694" s="4">
        <v>162.3083</v>
      </c>
      <c r="S694" s="2" t="s">
        <v>121</v>
      </c>
      <c r="T694" s="2" t="s">
        <v>133</v>
      </c>
    </row>
    <row r="695" spans="1:20" x14ac:dyDescent="0.25">
      <c r="A695" s="2" t="s">
        <v>1630</v>
      </c>
      <c r="B695" s="3">
        <v>41945</v>
      </c>
      <c r="C695" s="3">
        <v>41948</v>
      </c>
      <c r="D695" s="2" t="s">
        <v>21</v>
      </c>
      <c r="E695" s="2" t="s">
        <v>1631</v>
      </c>
      <c r="F695" s="2" t="s">
        <v>1632</v>
      </c>
      <c r="G695" s="2" t="s">
        <v>58</v>
      </c>
      <c r="H695" s="2" t="s">
        <v>25</v>
      </c>
      <c r="I695" s="2" t="s">
        <v>1449</v>
      </c>
      <c r="J695" s="2" t="s">
        <v>753</v>
      </c>
      <c r="K695" s="2" t="s">
        <v>147</v>
      </c>
      <c r="L695" s="2" t="s">
        <v>333</v>
      </c>
      <c r="M695" s="2" t="s">
        <v>30</v>
      </c>
      <c r="N695" s="2" t="s">
        <v>162</v>
      </c>
      <c r="O695" s="2" t="s">
        <v>334</v>
      </c>
      <c r="P695" s="4">
        <v>195.1113</v>
      </c>
      <c r="Q695" s="4">
        <v>3</v>
      </c>
      <c r="R695" s="4">
        <v>-20.284099999999999</v>
      </c>
      <c r="S695" s="2" t="s">
        <v>92</v>
      </c>
      <c r="T695" s="2" t="s">
        <v>93</v>
      </c>
    </row>
    <row r="696" spans="1:20" x14ac:dyDescent="0.25">
      <c r="A696" s="2" t="s">
        <v>1630</v>
      </c>
      <c r="B696" s="3">
        <v>41945</v>
      </c>
      <c r="C696" s="3">
        <v>41948</v>
      </c>
      <c r="D696" s="2" t="s">
        <v>21</v>
      </c>
      <c r="E696" s="2" t="s">
        <v>1631</v>
      </c>
      <c r="F696" s="2" t="s">
        <v>1632</v>
      </c>
      <c r="G696" s="2" t="s">
        <v>58</v>
      </c>
      <c r="H696" s="2" t="s">
        <v>25</v>
      </c>
      <c r="I696" s="2" t="s">
        <v>1449</v>
      </c>
      <c r="J696" s="2" t="s">
        <v>753</v>
      </c>
      <c r="K696" s="2" t="s">
        <v>147</v>
      </c>
      <c r="L696" s="2" t="s">
        <v>207</v>
      </c>
      <c r="M696" s="2" t="s">
        <v>30</v>
      </c>
      <c r="N696" s="2" t="s">
        <v>31</v>
      </c>
      <c r="O696" s="2" t="s">
        <v>208</v>
      </c>
      <c r="P696" s="4">
        <v>14.2361</v>
      </c>
      <c r="Q696" s="4">
        <v>2</v>
      </c>
      <c r="R696" s="4">
        <v>-2.3062</v>
      </c>
      <c r="S696" s="2" t="s">
        <v>92</v>
      </c>
      <c r="T696" s="2" t="s">
        <v>93</v>
      </c>
    </row>
    <row r="697" spans="1:20" x14ac:dyDescent="0.25">
      <c r="A697" s="2" t="s">
        <v>1633</v>
      </c>
      <c r="B697" s="3">
        <v>42185</v>
      </c>
      <c r="C697" s="3">
        <v>42185</v>
      </c>
      <c r="D697" s="2" t="s">
        <v>142</v>
      </c>
      <c r="E697" s="2" t="s">
        <v>1393</v>
      </c>
      <c r="F697" s="2" t="s">
        <v>1394</v>
      </c>
      <c r="G697" s="2" t="s">
        <v>58</v>
      </c>
      <c r="H697" s="2" t="s">
        <v>25</v>
      </c>
      <c r="I697" s="2" t="s">
        <v>437</v>
      </c>
      <c r="J697" s="2" t="s">
        <v>217</v>
      </c>
      <c r="K697" s="2" t="s">
        <v>82</v>
      </c>
      <c r="L697" s="2" t="s">
        <v>45</v>
      </c>
      <c r="M697" s="2" t="s">
        <v>30</v>
      </c>
      <c r="N697" s="2" t="s">
        <v>31</v>
      </c>
      <c r="O697" s="2" t="s">
        <v>46</v>
      </c>
      <c r="P697" s="4">
        <v>112.997</v>
      </c>
      <c r="Q697" s="4">
        <v>1</v>
      </c>
      <c r="R697" s="4">
        <v>36.991</v>
      </c>
      <c r="S697" s="2" t="s">
        <v>121</v>
      </c>
      <c r="T697" s="2" t="s">
        <v>133</v>
      </c>
    </row>
    <row r="698" spans="1:20" x14ac:dyDescent="0.25">
      <c r="A698" s="2" t="s">
        <v>1634</v>
      </c>
      <c r="B698" s="3">
        <v>42009</v>
      </c>
      <c r="C698" s="3">
        <v>42012</v>
      </c>
      <c r="D698" s="2" t="s">
        <v>55</v>
      </c>
      <c r="E698" s="2" t="s">
        <v>1635</v>
      </c>
      <c r="F698" s="2" t="s">
        <v>1636</v>
      </c>
      <c r="G698" s="2" t="s">
        <v>58</v>
      </c>
      <c r="H698" s="2" t="s">
        <v>25</v>
      </c>
      <c r="I698" s="2" t="s">
        <v>482</v>
      </c>
      <c r="J698" s="2" t="s">
        <v>120</v>
      </c>
      <c r="K698" s="2" t="s">
        <v>61</v>
      </c>
      <c r="L698" s="2" t="s">
        <v>66</v>
      </c>
      <c r="M698" s="2" t="s">
        <v>30</v>
      </c>
      <c r="N698" s="2" t="s">
        <v>31</v>
      </c>
      <c r="O698" s="2" t="s">
        <v>67</v>
      </c>
      <c r="P698" s="4">
        <v>95.872699999999995</v>
      </c>
      <c r="Q698" s="4">
        <v>4</v>
      </c>
      <c r="R698" s="4">
        <v>-13.693199999999999</v>
      </c>
      <c r="S698" s="2" t="s">
        <v>92</v>
      </c>
      <c r="T698" s="2" t="s">
        <v>115</v>
      </c>
    </row>
    <row r="699" spans="1:20" x14ac:dyDescent="0.25">
      <c r="A699" s="2" t="s">
        <v>1637</v>
      </c>
      <c r="B699" s="3">
        <v>41815</v>
      </c>
      <c r="C699" s="3">
        <v>41818</v>
      </c>
      <c r="D699" s="2" t="s">
        <v>21</v>
      </c>
      <c r="E699" s="2" t="s">
        <v>241</v>
      </c>
      <c r="F699" s="2" t="s">
        <v>242</v>
      </c>
      <c r="G699" s="2" t="s">
        <v>58</v>
      </c>
      <c r="H699" s="2" t="s">
        <v>25</v>
      </c>
      <c r="I699" s="2" t="s">
        <v>1055</v>
      </c>
      <c r="J699" s="2" t="s">
        <v>106</v>
      </c>
      <c r="K699" s="2" t="s">
        <v>61</v>
      </c>
      <c r="L699" s="2" t="s">
        <v>73</v>
      </c>
      <c r="M699" s="2" t="s">
        <v>30</v>
      </c>
      <c r="N699" s="2" t="s">
        <v>42</v>
      </c>
      <c r="O699" s="2" t="s">
        <v>74</v>
      </c>
      <c r="P699" s="4">
        <v>1257.5861</v>
      </c>
      <c r="Q699" s="4">
        <v>2</v>
      </c>
      <c r="R699" s="4">
        <v>79.322699999999998</v>
      </c>
      <c r="S699" s="2" t="s">
        <v>92</v>
      </c>
      <c r="T699" s="2" t="s">
        <v>133</v>
      </c>
    </row>
    <row r="700" spans="1:20" x14ac:dyDescent="0.25">
      <c r="A700" s="2" t="s">
        <v>1638</v>
      </c>
      <c r="B700" s="3">
        <v>42780</v>
      </c>
      <c r="C700" s="3">
        <v>42780</v>
      </c>
      <c r="D700" s="2" t="s">
        <v>142</v>
      </c>
      <c r="E700" s="2" t="s">
        <v>1485</v>
      </c>
      <c r="F700" s="2" t="s">
        <v>1486</v>
      </c>
      <c r="G700" s="2" t="s">
        <v>58</v>
      </c>
      <c r="H700" s="2" t="s">
        <v>25</v>
      </c>
      <c r="I700" s="2" t="s">
        <v>309</v>
      </c>
      <c r="J700" s="2" t="s">
        <v>310</v>
      </c>
      <c r="K700" s="2" t="s">
        <v>28</v>
      </c>
      <c r="L700" s="2" t="s">
        <v>29</v>
      </c>
      <c r="M700" s="2" t="s">
        <v>30</v>
      </c>
      <c r="N700" s="2" t="s">
        <v>31</v>
      </c>
      <c r="O700" s="2" t="s">
        <v>32</v>
      </c>
      <c r="P700" s="4">
        <v>76.656800000000004</v>
      </c>
      <c r="Q700" s="4">
        <v>1</v>
      </c>
      <c r="R700" s="4">
        <v>-17.524000000000001</v>
      </c>
      <c r="S700" s="2" t="s">
        <v>121</v>
      </c>
      <c r="T700" s="2" t="s">
        <v>101</v>
      </c>
    </row>
    <row r="701" spans="1:20" x14ac:dyDescent="0.25">
      <c r="A701" s="2" t="s">
        <v>1638</v>
      </c>
      <c r="B701" s="3">
        <v>42780</v>
      </c>
      <c r="C701" s="3">
        <v>42780</v>
      </c>
      <c r="D701" s="2" t="s">
        <v>142</v>
      </c>
      <c r="E701" s="2" t="s">
        <v>1485</v>
      </c>
      <c r="F701" s="2" t="s">
        <v>1486</v>
      </c>
      <c r="G701" s="2" t="s">
        <v>58</v>
      </c>
      <c r="H701" s="2" t="s">
        <v>25</v>
      </c>
      <c r="I701" s="2" t="s">
        <v>309</v>
      </c>
      <c r="J701" s="2" t="s">
        <v>310</v>
      </c>
      <c r="K701" s="2" t="s">
        <v>28</v>
      </c>
      <c r="L701" s="2" t="s">
        <v>174</v>
      </c>
      <c r="M701" s="2" t="s">
        <v>30</v>
      </c>
      <c r="N701" s="2" t="s">
        <v>31</v>
      </c>
      <c r="O701" s="2" t="s">
        <v>175</v>
      </c>
      <c r="P701" s="4">
        <v>188.47130000000001</v>
      </c>
      <c r="Q701" s="4">
        <v>5</v>
      </c>
      <c r="R701" s="4">
        <v>10.238200000000001</v>
      </c>
      <c r="S701" s="2" t="s">
        <v>121</v>
      </c>
      <c r="T701" s="2" t="s">
        <v>101</v>
      </c>
    </row>
    <row r="702" spans="1:20" x14ac:dyDescent="0.25">
      <c r="A702" s="2" t="s">
        <v>1639</v>
      </c>
      <c r="B702" s="3">
        <v>41650</v>
      </c>
      <c r="C702" s="3">
        <v>41650</v>
      </c>
      <c r="D702" s="2" t="s">
        <v>55</v>
      </c>
      <c r="E702" s="2" t="s">
        <v>1581</v>
      </c>
      <c r="F702" s="2" t="s">
        <v>1582</v>
      </c>
      <c r="G702" s="2" t="s">
        <v>38</v>
      </c>
      <c r="H702" s="2" t="s">
        <v>25</v>
      </c>
      <c r="I702" s="2" t="s">
        <v>105</v>
      </c>
      <c r="J702" s="2" t="s">
        <v>106</v>
      </c>
      <c r="K702" s="2" t="s">
        <v>61</v>
      </c>
      <c r="L702" s="2" t="s">
        <v>453</v>
      </c>
      <c r="M702" s="2" t="s">
        <v>30</v>
      </c>
      <c r="N702" s="2" t="s">
        <v>42</v>
      </c>
      <c r="O702" s="2" t="s">
        <v>454</v>
      </c>
      <c r="P702" s="4">
        <v>492.53469999999999</v>
      </c>
      <c r="Q702" s="4">
        <v>4</v>
      </c>
      <c r="R702" s="4">
        <v>-54.163699999999999</v>
      </c>
      <c r="S702" s="2" t="s">
        <v>121</v>
      </c>
      <c r="T702" s="2" t="s">
        <v>115</v>
      </c>
    </row>
    <row r="703" spans="1:20" x14ac:dyDescent="0.25">
      <c r="A703" s="2" t="s">
        <v>1640</v>
      </c>
      <c r="B703" s="3">
        <v>42649</v>
      </c>
      <c r="C703" s="3">
        <v>42650</v>
      </c>
      <c r="D703" s="2" t="s">
        <v>55</v>
      </c>
      <c r="E703" s="2" t="s">
        <v>1258</v>
      </c>
      <c r="F703" s="2" t="s">
        <v>1259</v>
      </c>
      <c r="G703" s="2" t="s">
        <v>58</v>
      </c>
      <c r="H703" s="2" t="s">
        <v>25</v>
      </c>
      <c r="I703" s="2" t="s">
        <v>26</v>
      </c>
      <c r="J703" s="2" t="s">
        <v>91</v>
      </c>
      <c r="K703" s="2" t="s">
        <v>61</v>
      </c>
      <c r="L703" s="2" t="s">
        <v>66</v>
      </c>
      <c r="M703" s="2" t="s">
        <v>30</v>
      </c>
      <c r="N703" s="2" t="s">
        <v>31</v>
      </c>
      <c r="O703" s="2" t="s">
        <v>67</v>
      </c>
      <c r="P703" s="4">
        <v>59.845999999999997</v>
      </c>
      <c r="Q703" s="4">
        <v>6</v>
      </c>
      <c r="R703" s="4">
        <v>-6.0670000000000002</v>
      </c>
      <c r="S703" s="2" t="s">
        <v>33</v>
      </c>
      <c r="T703" s="2" t="s">
        <v>224</v>
      </c>
    </row>
    <row r="704" spans="1:20" x14ac:dyDescent="0.25">
      <c r="A704" s="2" t="s">
        <v>1641</v>
      </c>
      <c r="B704" s="3">
        <v>42215</v>
      </c>
      <c r="C704" s="3">
        <v>42221</v>
      </c>
      <c r="D704" s="2" t="s">
        <v>55</v>
      </c>
      <c r="E704" s="2" t="s">
        <v>1642</v>
      </c>
      <c r="F704" s="2" t="s">
        <v>1643</v>
      </c>
      <c r="G704" s="2" t="s">
        <v>58</v>
      </c>
      <c r="H704" s="2" t="s">
        <v>25</v>
      </c>
      <c r="I704" s="2" t="s">
        <v>270</v>
      </c>
      <c r="J704" s="2" t="s">
        <v>72</v>
      </c>
      <c r="K704" s="2" t="s">
        <v>61</v>
      </c>
      <c r="L704" s="2" t="s">
        <v>139</v>
      </c>
      <c r="M704" s="2" t="s">
        <v>30</v>
      </c>
      <c r="N704" s="2" t="s">
        <v>42</v>
      </c>
      <c r="O704" s="2" t="s">
        <v>140</v>
      </c>
      <c r="P704" s="4">
        <v>155.60429999999999</v>
      </c>
      <c r="Q704" s="4">
        <v>3</v>
      </c>
      <c r="R704" s="4">
        <v>63.641399999999997</v>
      </c>
      <c r="S704" s="2" t="s">
        <v>65</v>
      </c>
      <c r="T704" s="2" t="s">
        <v>86</v>
      </c>
    </row>
    <row r="705" spans="1:20" x14ac:dyDescent="0.25">
      <c r="A705" s="2" t="s">
        <v>1641</v>
      </c>
      <c r="B705" s="3">
        <v>42215</v>
      </c>
      <c r="C705" s="3">
        <v>42221</v>
      </c>
      <c r="D705" s="2" t="s">
        <v>55</v>
      </c>
      <c r="E705" s="2" t="s">
        <v>1642</v>
      </c>
      <c r="F705" s="2" t="s">
        <v>1643</v>
      </c>
      <c r="G705" s="2" t="s">
        <v>58</v>
      </c>
      <c r="H705" s="2" t="s">
        <v>25</v>
      </c>
      <c r="I705" s="2" t="s">
        <v>270</v>
      </c>
      <c r="J705" s="2" t="s">
        <v>72</v>
      </c>
      <c r="K705" s="2" t="s">
        <v>61</v>
      </c>
      <c r="L705" s="2" t="s">
        <v>323</v>
      </c>
      <c r="M705" s="2" t="s">
        <v>30</v>
      </c>
      <c r="N705" s="2" t="s">
        <v>31</v>
      </c>
      <c r="O705" s="2" t="s">
        <v>324</v>
      </c>
      <c r="P705" s="4">
        <v>26.9452</v>
      </c>
      <c r="Q705" s="4">
        <v>1</v>
      </c>
      <c r="R705" s="4">
        <v>9.0039999999999996</v>
      </c>
      <c r="S705" s="2" t="s">
        <v>65</v>
      </c>
      <c r="T705" s="2" t="s">
        <v>86</v>
      </c>
    </row>
    <row r="706" spans="1:20" x14ac:dyDescent="0.25">
      <c r="A706" s="2" t="s">
        <v>1644</v>
      </c>
      <c r="B706" s="3">
        <v>42778</v>
      </c>
      <c r="C706" s="3">
        <v>42782</v>
      </c>
      <c r="D706" s="2" t="s">
        <v>55</v>
      </c>
      <c r="E706" s="2" t="s">
        <v>1645</v>
      </c>
      <c r="F706" s="2" t="s">
        <v>1646</v>
      </c>
      <c r="G706" s="2" t="s">
        <v>58</v>
      </c>
      <c r="H706" s="2" t="s">
        <v>25</v>
      </c>
      <c r="I706" s="2" t="s">
        <v>485</v>
      </c>
      <c r="J706" s="2" t="s">
        <v>251</v>
      </c>
      <c r="K706" s="2" t="s">
        <v>147</v>
      </c>
      <c r="L706" s="2" t="s">
        <v>301</v>
      </c>
      <c r="M706" s="2" t="s">
        <v>30</v>
      </c>
      <c r="N706" s="2" t="s">
        <v>162</v>
      </c>
      <c r="O706" s="2" t="s">
        <v>302</v>
      </c>
      <c r="P706" s="4">
        <v>774.72739999999999</v>
      </c>
      <c r="Q706" s="4">
        <v>6</v>
      </c>
      <c r="R706" s="4">
        <v>215.59100000000001</v>
      </c>
      <c r="S706" s="2" t="s">
        <v>75</v>
      </c>
      <c r="T706" s="2" t="s">
        <v>101</v>
      </c>
    </row>
    <row r="707" spans="1:20" x14ac:dyDescent="0.25">
      <c r="A707" s="2" t="s">
        <v>1647</v>
      </c>
      <c r="B707" s="3">
        <v>42653</v>
      </c>
      <c r="C707" s="3">
        <v>42655</v>
      </c>
      <c r="D707" s="2" t="s">
        <v>55</v>
      </c>
      <c r="E707" s="2" t="s">
        <v>1648</v>
      </c>
      <c r="F707" s="2" t="s">
        <v>1649</v>
      </c>
      <c r="G707" s="2" t="s">
        <v>58</v>
      </c>
      <c r="H707" s="2" t="s">
        <v>25</v>
      </c>
      <c r="I707" s="2" t="s">
        <v>449</v>
      </c>
      <c r="J707" s="2" t="s">
        <v>98</v>
      </c>
      <c r="K707" s="2" t="s">
        <v>82</v>
      </c>
      <c r="L707" s="2" t="s">
        <v>328</v>
      </c>
      <c r="M707" s="2" t="s">
        <v>30</v>
      </c>
      <c r="N707" s="2" t="s">
        <v>63</v>
      </c>
      <c r="O707" s="2" t="s">
        <v>329</v>
      </c>
      <c r="P707" s="4">
        <v>2254.3065999999999</v>
      </c>
      <c r="Q707" s="4">
        <v>5</v>
      </c>
      <c r="R707" s="4">
        <v>170.83920000000001</v>
      </c>
      <c r="S707" s="2" t="s">
        <v>53</v>
      </c>
      <c r="T707" s="2" t="s">
        <v>224</v>
      </c>
    </row>
    <row r="708" spans="1:20" x14ac:dyDescent="0.25">
      <c r="A708" s="2" t="s">
        <v>1650</v>
      </c>
      <c r="B708" s="3">
        <v>42009</v>
      </c>
      <c r="C708" s="3">
        <v>42011</v>
      </c>
      <c r="D708" s="2" t="s">
        <v>55</v>
      </c>
      <c r="E708" s="2" t="s">
        <v>1034</v>
      </c>
      <c r="F708" s="2" t="s">
        <v>1035</v>
      </c>
      <c r="G708" s="2" t="s">
        <v>24</v>
      </c>
      <c r="H708" s="2" t="s">
        <v>25</v>
      </c>
      <c r="I708" s="2" t="s">
        <v>39</v>
      </c>
      <c r="J708" s="2" t="s">
        <v>40</v>
      </c>
      <c r="K708" s="2" t="s">
        <v>28</v>
      </c>
      <c r="L708" s="2" t="s">
        <v>618</v>
      </c>
      <c r="M708" s="2" t="s">
        <v>30</v>
      </c>
      <c r="N708" s="2" t="s">
        <v>63</v>
      </c>
      <c r="O708" s="2" t="s">
        <v>619</v>
      </c>
      <c r="P708" s="4">
        <v>359.60629999999998</v>
      </c>
      <c r="Q708" s="4">
        <v>3</v>
      </c>
      <c r="R708" s="4">
        <v>192.75149999999999</v>
      </c>
      <c r="S708" s="2" t="s">
        <v>53</v>
      </c>
      <c r="T708" s="2" t="s">
        <v>115</v>
      </c>
    </row>
    <row r="709" spans="1:20" x14ac:dyDescent="0.25">
      <c r="A709" s="2" t="s">
        <v>1651</v>
      </c>
      <c r="B709" s="3">
        <v>43026</v>
      </c>
      <c r="C709" s="3">
        <v>43027</v>
      </c>
      <c r="D709" s="2" t="s">
        <v>55</v>
      </c>
      <c r="E709" s="2" t="s">
        <v>1652</v>
      </c>
      <c r="F709" s="2" t="s">
        <v>1653</v>
      </c>
      <c r="G709" s="2" t="s">
        <v>58</v>
      </c>
      <c r="H709" s="2" t="s">
        <v>25</v>
      </c>
      <c r="I709" s="2" t="s">
        <v>727</v>
      </c>
      <c r="J709" s="2" t="s">
        <v>728</v>
      </c>
      <c r="K709" s="2" t="s">
        <v>147</v>
      </c>
      <c r="L709" s="2" t="s">
        <v>73</v>
      </c>
      <c r="M709" s="2" t="s">
        <v>30</v>
      </c>
      <c r="N709" s="2" t="s">
        <v>42</v>
      </c>
      <c r="O709" s="2" t="s">
        <v>74</v>
      </c>
      <c r="P709" s="4">
        <v>243.33600000000001</v>
      </c>
      <c r="Q709" s="4">
        <v>1</v>
      </c>
      <c r="R709" s="4">
        <v>-16.634899999999998</v>
      </c>
      <c r="S709" s="2" t="s">
        <v>33</v>
      </c>
      <c r="T709" s="2" t="s">
        <v>224</v>
      </c>
    </row>
    <row r="710" spans="1:20" x14ac:dyDescent="0.25">
      <c r="A710" s="2" t="s">
        <v>1651</v>
      </c>
      <c r="B710" s="3">
        <v>43026</v>
      </c>
      <c r="C710" s="3">
        <v>43027</v>
      </c>
      <c r="D710" s="2" t="s">
        <v>55</v>
      </c>
      <c r="E710" s="2" t="s">
        <v>1652</v>
      </c>
      <c r="F710" s="2" t="s">
        <v>1653</v>
      </c>
      <c r="G710" s="2" t="s">
        <v>58</v>
      </c>
      <c r="H710" s="2" t="s">
        <v>25</v>
      </c>
      <c r="I710" s="2" t="s">
        <v>727</v>
      </c>
      <c r="J710" s="2" t="s">
        <v>728</v>
      </c>
      <c r="K710" s="2" t="s">
        <v>147</v>
      </c>
      <c r="L710" s="2" t="s">
        <v>254</v>
      </c>
      <c r="M710" s="2" t="s">
        <v>30</v>
      </c>
      <c r="N710" s="2" t="s">
        <v>162</v>
      </c>
      <c r="O710" s="2" t="s">
        <v>255</v>
      </c>
      <c r="P710" s="4">
        <v>631.82550000000003</v>
      </c>
      <c r="Q710" s="4">
        <v>1</v>
      </c>
      <c r="R710" s="4">
        <v>185.9308</v>
      </c>
      <c r="S710" s="2" t="s">
        <v>33</v>
      </c>
      <c r="T710" s="2" t="s">
        <v>224</v>
      </c>
    </row>
    <row r="711" spans="1:20" x14ac:dyDescent="0.25">
      <c r="A711" s="2" t="s">
        <v>1654</v>
      </c>
      <c r="B711" s="3">
        <v>42990</v>
      </c>
      <c r="C711" s="3">
        <v>42990</v>
      </c>
      <c r="D711" s="2" t="s">
        <v>55</v>
      </c>
      <c r="E711" s="2" t="s">
        <v>347</v>
      </c>
      <c r="F711" s="2" t="s">
        <v>348</v>
      </c>
      <c r="G711" s="2" t="s">
        <v>38</v>
      </c>
      <c r="H711" s="2" t="s">
        <v>25</v>
      </c>
      <c r="I711" s="2" t="s">
        <v>533</v>
      </c>
      <c r="J711" s="2" t="s">
        <v>72</v>
      </c>
      <c r="K711" s="2" t="s">
        <v>61</v>
      </c>
      <c r="L711" s="2" t="s">
        <v>186</v>
      </c>
      <c r="M711" s="2" t="s">
        <v>30</v>
      </c>
      <c r="N711" s="2" t="s">
        <v>31</v>
      </c>
      <c r="O711" s="2" t="s">
        <v>187</v>
      </c>
      <c r="P711" s="4">
        <v>95.557400000000001</v>
      </c>
      <c r="Q711" s="4">
        <v>5</v>
      </c>
      <c r="R711" s="4">
        <v>59.361400000000003</v>
      </c>
      <c r="S711" s="2" t="s">
        <v>121</v>
      </c>
      <c r="T711" s="2" t="s">
        <v>148</v>
      </c>
    </row>
    <row r="712" spans="1:20" x14ac:dyDescent="0.25">
      <c r="A712" s="2" t="s">
        <v>1655</v>
      </c>
      <c r="B712" s="3">
        <v>42805</v>
      </c>
      <c r="C712" s="3">
        <v>42809</v>
      </c>
      <c r="D712" s="2" t="s">
        <v>21</v>
      </c>
      <c r="E712" s="2" t="s">
        <v>384</v>
      </c>
      <c r="F712" s="2" t="s">
        <v>385</v>
      </c>
      <c r="G712" s="2" t="s">
        <v>24</v>
      </c>
      <c r="H712" s="2" t="s">
        <v>25</v>
      </c>
      <c r="I712" s="2" t="s">
        <v>1366</v>
      </c>
      <c r="J712" s="2" t="s">
        <v>244</v>
      </c>
      <c r="K712" s="2" t="s">
        <v>61</v>
      </c>
      <c r="L712" s="2" t="s">
        <v>193</v>
      </c>
      <c r="M712" s="2" t="s">
        <v>30</v>
      </c>
      <c r="N712" s="2" t="s">
        <v>42</v>
      </c>
      <c r="O712" s="2" t="s">
        <v>194</v>
      </c>
      <c r="P712" s="4">
        <v>1958.0697</v>
      </c>
      <c r="Q712" s="4">
        <v>2</v>
      </c>
      <c r="R712" s="4">
        <v>453.76060000000001</v>
      </c>
      <c r="S712" s="2" t="s">
        <v>75</v>
      </c>
      <c r="T712" s="2" t="s">
        <v>44</v>
      </c>
    </row>
    <row r="713" spans="1:20" x14ac:dyDescent="0.25">
      <c r="A713" s="2" t="s">
        <v>1655</v>
      </c>
      <c r="B713" s="3">
        <v>42805</v>
      </c>
      <c r="C713" s="3">
        <v>42809</v>
      </c>
      <c r="D713" s="2" t="s">
        <v>21</v>
      </c>
      <c r="E713" s="2" t="s">
        <v>384</v>
      </c>
      <c r="F713" s="2" t="s">
        <v>385</v>
      </c>
      <c r="G713" s="2" t="s">
        <v>24</v>
      </c>
      <c r="H713" s="2" t="s">
        <v>25</v>
      </c>
      <c r="I713" s="2" t="s">
        <v>1366</v>
      </c>
      <c r="J713" s="2" t="s">
        <v>244</v>
      </c>
      <c r="K713" s="2" t="s">
        <v>61</v>
      </c>
      <c r="L713" s="2" t="s">
        <v>228</v>
      </c>
      <c r="M713" s="2" t="s">
        <v>30</v>
      </c>
      <c r="N713" s="2" t="s">
        <v>42</v>
      </c>
      <c r="O713" s="2" t="s">
        <v>229</v>
      </c>
      <c r="P713" s="4">
        <v>322.87079999999997</v>
      </c>
      <c r="Q713" s="4">
        <v>3</v>
      </c>
      <c r="R713" s="4">
        <v>-85.150300000000001</v>
      </c>
      <c r="S713" s="2" t="s">
        <v>75</v>
      </c>
      <c r="T713" s="2" t="s">
        <v>44</v>
      </c>
    </row>
    <row r="714" spans="1:20" x14ac:dyDescent="0.25">
      <c r="A714" s="2" t="s">
        <v>1655</v>
      </c>
      <c r="B714" s="3">
        <v>42805</v>
      </c>
      <c r="C714" s="3">
        <v>42809</v>
      </c>
      <c r="D714" s="2" t="s">
        <v>21</v>
      </c>
      <c r="E714" s="2" t="s">
        <v>384</v>
      </c>
      <c r="F714" s="2" t="s">
        <v>385</v>
      </c>
      <c r="G714" s="2" t="s">
        <v>24</v>
      </c>
      <c r="H714" s="2" t="s">
        <v>25</v>
      </c>
      <c r="I714" s="2" t="s">
        <v>1366</v>
      </c>
      <c r="J714" s="2" t="s">
        <v>244</v>
      </c>
      <c r="K714" s="2" t="s">
        <v>61</v>
      </c>
      <c r="L714" s="2" t="s">
        <v>45</v>
      </c>
      <c r="M714" s="2" t="s">
        <v>30</v>
      </c>
      <c r="N714" s="2" t="s">
        <v>31</v>
      </c>
      <c r="O714" s="2" t="s">
        <v>46</v>
      </c>
      <c r="P714" s="4">
        <v>159.14920000000001</v>
      </c>
      <c r="Q714" s="4">
        <v>6</v>
      </c>
      <c r="R714" s="4">
        <v>41.892899999999997</v>
      </c>
      <c r="S714" s="2" t="s">
        <v>75</v>
      </c>
      <c r="T714" s="2" t="s">
        <v>44</v>
      </c>
    </row>
    <row r="715" spans="1:20" x14ac:dyDescent="0.25">
      <c r="A715" s="2" t="s">
        <v>1656</v>
      </c>
      <c r="B715" s="3">
        <v>41822</v>
      </c>
      <c r="C715" s="3">
        <v>41829</v>
      </c>
      <c r="D715" s="2" t="s">
        <v>55</v>
      </c>
      <c r="E715" s="2" t="s">
        <v>1657</v>
      </c>
      <c r="F715" s="2" t="s">
        <v>1658</v>
      </c>
      <c r="G715" s="2" t="s">
        <v>58</v>
      </c>
      <c r="H715" s="2" t="s">
        <v>25</v>
      </c>
      <c r="I715" s="2" t="s">
        <v>394</v>
      </c>
      <c r="J715" s="2" t="s">
        <v>289</v>
      </c>
      <c r="K715" s="2" t="s">
        <v>82</v>
      </c>
      <c r="L715" s="2" t="s">
        <v>131</v>
      </c>
      <c r="M715" s="2" t="s">
        <v>30</v>
      </c>
      <c r="N715" s="2" t="s">
        <v>31</v>
      </c>
      <c r="O715" s="2" t="s">
        <v>132</v>
      </c>
      <c r="P715" s="4">
        <v>16.866800000000001</v>
      </c>
      <c r="Q715" s="4">
        <v>1</v>
      </c>
      <c r="R715" s="4">
        <v>4.2850000000000001</v>
      </c>
      <c r="S715" s="2" t="s">
        <v>107</v>
      </c>
      <c r="T715" s="2" t="s">
        <v>86</v>
      </c>
    </row>
    <row r="716" spans="1:20" x14ac:dyDescent="0.25">
      <c r="A716" s="2" t="s">
        <v>1659</v>
      </c>
      <c r="B716" s="3">
        <v>43042</v>
      </c>
      <c r="C716" s="3">
        <v>43048</v>
      </c>
      <c r="D716" s="2" t="s">
        <v>55</v>
      </c>
      <c r="E716" s="2" t="s">
        <v>1023</v>
      </c>
      <c r="F716" s="2" t="s">
        <v>1024</v>
      </c>
      <c r="G716" s="2" t="s">
        <v>38</v>
      </c>
      <c r="H716" s="2" t="s">
        <v>25</v>
      </c>
      <c r="I716" s="2" t="s">
        <v>90</v>
      </c>
      <c r="J716" s="2" t="s">
        <v>91</v>
      </c>
      <c r="K716" s="2" t="s">
        <v>61</v>
      </c>
      <c r="L716" s="2" t="s">
        <v>45</v>
      </c>
      <c r="M716" s="2" t="s">
        <v>30</v>
      </c>
      <c r="N716" s="2" t="s">
        <v>31</v>
      </c>
      <c r="O716" s="2" t="s">
        <v>46</v>
      </c>
      <c r="P716" s="4">
        <v>467.17329999999998</v>
      </c>
      <c r="Q716" s="4">
        <v>2</v>
      </c>
      <c r="R716" s="4">
        <v>139.64920000000001</v>
      </c>
      <c r="S716" s="2" t="s">
        <v>65</v>
      </c>
      <c r="T716" s="2" t="s">
        <v>93</v>
      </c>
    </row>
    <row r="717" spans="1:20" x14ac:dyDescent="0.25">
      <c r="A717" s="2" t="s">
        <v>1660</v>
      </c>
      <c r="B717" s="3">
        <v>41824</v>
      </c>
      <c r="C717" s="3">
        <v>41829</v>
      </c>
      <c r="D717" s="2" t="s">
        <v>55</v>
      </c>
      <c r="E717" s="2" t="s">
        <v>1661</v>
      </c>
      <c r="F717" s="2" t="s">
        <v>1662</v>
      </c>
      <c r="G717" s="2" t="s">
        <v>38</v>
      </c>
      <c r="H717" s="2" t="s">
        <v>25</v>
      </c>
      <c r="I717" s="2" t="s">
        <v>699</v>
      </c>
      <c r="J717" s="2" t="s">
        <v>339</v>
      </c>
      <c r="K717" s="2" t="s">
        <v>82</v>
      </c>
      <c r="L717" s="2" t="s">
        <v>235</v>
      </c>
      <c r="M717" s="2" t="s">
        <v>30</v>
      </c>
      <c r="N717" s="2" t="s">
        <v>31</v>
      </c>
      <c r="O717" s="2" t="s">
        <v>236</v>
      </c>
      <c r="P717" s="4">
        <v>226.42150000000001</v>
      </c>
      <c r="Q717" s="4">
        <v>5</v>
      </c>
      <c r="R717" s="4">
        <v>66.099199999999996</v>
      </c>
      <c r="S717" s="2" t="s">
        <v>85</v>
      </c>
      <c r="T717" s="2" t="s">
        <v>86</v>
      </c>
    </row>
    <row r="718" spans="1:20" x14ac:dyDescent="0.25">
      <c r="A718" s="2" t="s">
        <v>1660</v>
      </c>
      <c r="B718" s="3">
        <v>41824</v>
      </c>
      <c r="C718" s="3">
        <v>41829</v>
      </c>
      <c r="D718" s="2" t="s">
        <v>55</v>
      </c>
      <c r="E718" s="2" t="s">
        <v>1661</v>
      </c>
      <c r="F718" s="2" t="s">
        <v>1662</v>
      </c>
      <c r="G718" s="2" t="s">
        <v>38</v>
      </c>
      <c r="H718" s="2" t="s">
        <v>25</v>
      </c>
      <c r="I718" s="2" t="s">
        <v>699</v>
      </c>
      <c r="J718" s="2" t="s">
        <v>339</v>
      </c>
      <c r="K718" s="2" t="s">
        <v>82</v>
      </c>
      <c r="L718" s="2" t="s">
        <v>323</v>
      </c>
      <c r="M718" s="2" t="s">
        <v>30</v>
      </c>
      <c r="N718" s="2" t="s">
        <v>31</v>
      </c>
      <c r="O718" s="2" t="s">
        <v>324</v>
      </c>
      <c r="P718" s="4">
        <v>54.676200000000001</v>
      </c>
      <c r="Q718" s="4">
        <v>4</v>
      </c>
      <c r="R718" s="4">
        <v>-10.331300000000001</v>
      </c>
      <c r="S718" s="2" t="s">
        <v>85</v>
      </c>
      <c r="T718" s="2" t="s">
        <v>86</v>
      </c>
    </row>
    <row r="719" spans="1:20" x14ac:dyDescent="0.25">
      <c r="A719" s="2" t="s">
        <v>1660</v>
      </c>
      <c r="B719" s="3">
        <v>41824</v>
      </c>
      <c r="C719" s="3">
        <v>41829</v>
      </c>
      <c r="D719" s="2" t="s">
        <v>55</v>
      </c>
      <c r="E719" s="2" t="s">
        <v>1661</v>
      </c>
      <c r="F719" s="2" t="s">
        <v>1662</v>
      </c>
      <c r="G719" s="2" t="s">
        <v>38</v>
      </c>
      <c r="H719" s="2" t="s">
        <v>25</v>
      </c>
      <c r="I719" s="2" t="s">
        <v>699</v>
      </c>
      <c r="J719" s="2" t="s">
        <v>339</v>
      </c>
      <c r="K719" s="2" t="s">
        <v>82</v>
      </c>
      <c r="L719" s="2" t="s">
        <v>113</v>
      </c>
      <c r="M719" s="2" t="s">
        <v>30</v>
      </c>
      <c r="N719" s="2" t="s">
        <v>31</v>
      </c>
      <c r="O719" s="2" t="s">
        <v>114</v>
      </c>
      <c r="P719" s="4">
        <v>36.907499999999999</v>
      </c>
      <c r="Q719" s="4">
        <v>1</v>
      </c>
      <c r="R719" s="4">
        <v>11.2066</v>
      </c>
      <c r="S719" s="2" t="s">
        <v>85</v>
      </c>
      <c r="T719" s="2" t="s">
        <v>86</v>
      </c>
    </row>
    <row r="720" spans="1:20" x14ac:dyDescent="0.25">
      <c r="A720" s="2" t="s">
        <v>1663</v>
      </c>
      <c r="B720" s="3">
        <v>42929</v>
      </c>
      <c r="C720" s="3">
        <v>42931</v>
      </c>
      <c r="D720" s="2" t="s">
        <v>55</v>
      </c>
      <c r="E720" s="2" t="s">
        <v>1569</v>
      </c>
      <c r="F720" s="2" t="s">
        <v>1570</v>
      </c>
      <c r="G720" s="2" t="s">
        <v>58</v>
      </c>
      <c r="H720" s="2" t="s">
        <v>25</v>
      </c>
      <c r="I720" s="2" t="s">
        <v>184</v>
      </c>
      <c r="J720" s="2" t="s">
        <v>185</v>
      </c>
      <c r="K720" s="2" t="s">
        <v>147</v>
      </c>
      <c r="L720" s="2" t="s">
        <v>228</v>
      </c>
      <c r="M720" s="2" t="s">
        <v>30</v>
      </c>
      <c r="N720" s="2" t="s">
        <v>42</v>
      </c>
      <c r="O720" s="2" t="s">
        <v>229</v>
      </c>
      <c r="P720" s="4">
        <v>1653.0123000000001</v>
      </c>
      <c r="Q720" s="4">
        <v>7</v>
      </c>
      <c r="R720" s="4">
        <v>-226.4752</v>
      </c>
      <c r="S720" s="2" t="s">
        <v>53</v>
      </c>
      <c r="T720" s="2" t="s">
        <v>86</v>
      </c>
    </row>
    <row r="721" spans="1:20" x14ac:dyDescent="0.25">
      <c r="A721" s="2" t="s">
        <v>1664</v>
      </c>
      <c r="B721" s="3">
        <v>42711</v>
      </c>
      <c r="C721" s="3">
        <v>42717</v>
      </c>
      <c r="D721" s="2" t="s">
        <v>55</v>
      </c>
      <c r="E721" s="2" t="s">
        <v>1497</v>
      </c>
      <c r="F721" s="2" t="s">
        <v>1498</v>
      </c>
      <c r="G721" s="2" t="s">
        <v>38</v>
      </c>
      <c r="H721" s="2" t="s">
        <v>25</v>
      </c>
      <c r="I721" s="2" t="s">
        <v>825</v>
      </c>
      <c r="J721" s="2" t="s">
        <v>753</v>
      </c>
      <c r="K721" s="2" t="s">
        <v>147</v>
      </c>
      <c r="L721" s="2" t="s">
        <v>29</v>
      </c>
      <c r="M721" s="2" t="s">
        <v>30</v>
      </c>
      <c r="N721" s="2" t="s">
        <v>31</v>
      </c>
      <c r="O721" s="2" t="s">
        <v>32</v>
      </c>
      <c r="P721" s="4">
        <v>44.2089</v>
      </c>
      <c r="Q721" s="4">
        <v>5</v>
      </c>
      <c r="R721" s="4">
        <v>9.7428000000000008</v>
      </c>
      <c r="S721" s="2" t="s">
        <v>65</v>
      </c>
      <c r="T721" s="2" t="s">
        <v>76</v>
      </c>
    </row>
    <row r="722" spans="1:20" x14ac:dyDescent="0.25">
      <c r="A722" s="2" t="s">
        <v>1665</v>
      </c>
      <c r="B722" s="3">
        <v>42158</v>
      </c>
      <c r="C722" s="3">
        <v>42159</v>
      </c>
      <c r="D722" s="2" t="s">
        <v>21</v>
      </c>
      <c r="E722" s="2" t="s">
        <v>1666</v>
      </c>
      <c r="F722" s="2" t="s">
        <v>1667</v>
      </c>
      <c r="G722" s="2" t="s">
        <v>38</v>
      </c>
      <c r="H722" s="2" t="s">
        <v>25</v>
      </c>
      <c r="I722" s="2" t="s">
        <v>527</v>
      </c>
      <c r="J722" s="2" t="s">
        <v>496</v>
      </c>
      <c r="K722" s="2" t="s">
        <v>147</v>
      </c>
      <c r="L722" s="2" t="s">
        <v>174</v>
      </c>
      <c r="M722" s="2" t="s">
        <v>30</v>
      </c>
      <c r="N722" s="2" t="s">
        <v>31</v>
      </c>
      <c r="O722" s="2" t="s">
        <v>175</v>
      </c>
      <c r="P722" s="4">
        <v>14.960800000000001</v>
      </c>
      <c r="Q722" s="4">
        <v>4</v>
      </c>
      <c r="R722" s="4">
        <v>1.3773</v>
      </c>
      <c r="S722" s="2" t="s">
        <v>33</v>
      </c>
      <c r="T722" s="2" t="s">
        <v>133</v>
      </c>
    </row>
    <row r="723" spans="1:20" x14ac:dyDescent="0.25">
      <c r="A723" s="2" t="s">
        <v>1668</v>
      </c>
      <c r="B723" s="3">
        <v>41810</v>
      </c>
      <c r="C723" s="3">
        <v>41812</v>
      </c>
      <c r="D723" s="2" t="s">
        <v>21</v>
      </c>
      <c r="E723" s="2" t="s">
        <v>1669</v>
      </c>
      <c r="F723" s="2" t="s">
        <v>1670</v>
      </c>
      <c r="G723" s="2" t="s">
        <v>58</v>
      </c>
      <c r="H723" s="2" t="s">
        <v>25</v>
      </c>
      <c r="I723" s="2" t="s">
        <v>699</v>
      </c>
      <c r="J723" s="2" t="s">
        <v>339</v>
      </c>
      <c r="K723" s="2" t="s">
        <v>82</v>
      </c>
      <c r="L723" s="2" t="s">
        <v>323</v>
      </c>
      <c r="M723" s="2" t="s">
        <v>30</v>
      </c>
      <c r="N723" s="2" t="s">
        <v>31</v>
      </c>
      <c r="O723" s="2" t="s">
        <v>324</v>
      </c>
      <c r="P723" s="4">
        <v>65.842600000000004</v>
      </c>
      <c r="Q723" s="4">
        <v>2</v>
      </c>
      <c r="R723" s="4">
        <v>29.023599999999998</v>
      </c>
      <c r="S723" s="2" t="s">
        <v>53</v>
      </c>
      <c r="T723" s="2" t="s">
        <v>133</v>
      </c>
    </row>
    <row r="724" spans="1:20" x14ac:dyDescent="0.25">
      <c r="A724" s="2" t="s">
        <v>1671</v>
      </c>
      <c r="B724" s="3">
        <v>42072</v>
      </c>
      <c r="C724" s="3">
        <v>42072</v>
      </c>
      <c r="D724" s="2" t="s">
        <v>55</v>
      </c>
      <c r="E724" s="2" t="s">
        <v>529</v>
      </c>
      <c r="F724" s="2" t="s">
        <v>530</v>
      </c>
      <c r="G724" s="2" t="s">
        <v>38</v>
      </c>
      <c r="H724" s="2" t="s">
        <v>25</v>
      </c>
      <c r="I724" s="2" t="s">
        <v>799</v>
      </c>
      <c r="J724" s="2" t="s">
        <v>160</v>
      </c>
      <c r="K724" s="2" t="s">
        <v>61</v>
      </c>
      <c r="L724" s="2" t="s">
        <v>316</v>
      </c>
      <c r="M724" s="2" t="s">
        <v>30</v>
      </c>
      <c r="N724" s="2" t="s">
        <v>42</v>
      </c>
      <c r="O724" s="2" t="s">
        <v>317</v>
      </c>
      <c r="P724" s="4">
        <v>459.32499999999999</v>
      </c>
      <c r="Q724" s="4">
        <v>5</v>
      </c>
      <c r="R724" s="4">
        <v>185.09610000000001</v>
      </c>
      <c r="S724" s="2" t="s">
        <v>121</v>
      </c>
      <c r="T724" s="2" t="s">
        <v>44</v>
      </c>
    </row>
    <row r="725" spans="1:20" x14ac:dyDescent="0.25">
      <c r="A725" s="2" t="s">
        <v>1672</v>
      </c>
      <c r="B725" s="3">
        <v>42983</v>
      </c>
      <c r="C725" s="3">
        <v>42986</v>
      </c>
      <c r="D725" s="2" t="s">
        <v>21</v>
      </c>
      <c r="E725" s="2" t="s">
        <v>1673</v>
      </c>
      <c r="F725" s="2" t="s">
        <v>1674</v>
      </c>
      <c r="G725" s="2" t="s">
        <v>38</v>
      </c>
      <c r="H725" s="2" t="s">
        <v>25</v>
      </c>
      <c r="I725" s="2" t="s">
        <v>288</v>
      </c>
      <c r="J725" s="2" t="s">
        <v>289</v>
      </c>
      <c r="K725" s="2" t="s">
        <v>82</v>
      </c>
      <c r="L725" s="2" t="s">
        <v>890</v>
      </c>
      <c r="M725" s="2" t="s">
        <v>30</v>
      </c>
      <c r="N725" s="2" t="s">
        <v>63</v>
      </c>
      <c r="O725" s="2" t="s">
        <v>891</v>
      </c>
      <c r="P725" s="4">
        <v>277.43900000000002</v>
      </c>
      <c r="Q725" s="4">
        <v>3</v>
      </c>
      <c r="R725" s="4">
        <v>-51.348700000000001</v>
      </c>
      <c r="S725" s="2" t="s">
        <v>92</v>
      </c>
      <c r="T725" s="2" t="s">
        <v>148</v>
      </c>
    </row>
    <row r="726" spans="1:20" x14ac:dyDescent="0.25">
      <c r="A726" s="2" t="s">
        <v>1675</v>
      </c>
      <c r="B726" s="3">
        <v>41668</v>
      </c>
      <c r="C726" s="3">
        <v>41670</v>
      </c>
      <c r="D726" s="2" t="s">
        <v>55</v>
      </c>
      <c r="E726" s="2" t="s">
        <v>1676</v>
      </c>
      <c r="F726" s="2" t="s">
        <v>1677</v>
      </c>
      <c r="G726" s="2" t="s">
        <v>24</v>
      </c>
      <c r="H726" s="2" t="s">
        <v>25</v>
      </c>
      <c r="I726" s="2" t="s">
        <v>26</v>
      </c>
      <c r="J726" s="2" t="s">
        <v>27</v>
      </c>
      <c r="K726" s="2" t="s">
        <v>28</v>
      </c>
      <c r="L726" s="2" t="s">
        <v>161</v>
      </c>
      <c r="M726" s="2" t="s">
        <v>30</v>
      </c>
      <c r="N726" s="2" t="s">
        <v>162</v>
      </c>
      <c r="O726" s="2" t="s">
        <v>163</v>
      </c>
      <c r="P726" s="4">
        <v>399.012</v>
      </c>
      <c r="Q726" s="4">
        <v>2</v>
      </c>
      <c r="R726" s="4">
        <v>-123.79940000000001</v>
      </c>
      <c r="S726" s="2" t="s">
        <v>53</v>
      </c>
      <c r="T726" s="2" t="s">
        <v>115</v>
      </c>
    </row>
    <row r="727" spans="1:20" x14ac:dyDescent="0.25">
      <c r="A727" s="2" t="s">
        <v>1678</v>
      </c>
      <c r="B727" s="3">
        <v>42743</v>
      </c>
      <c r="C727" s="3">
        <v>42744</v>
      </c>
      <c r="D727" s="2" t="s">
        <v>55</v>
      </c>
      <c r="E727" s="2" t="s">
        <v>1679</v>
      </c>
      <c r="F727" s="2" t="s">
        <v>1680</v>
      </c>
      <c r="G727" s="2" t="s">
        <v>58</v>
      </c>
      <c r="H727" s="2" t="s">
        <v>25</v>
      </c>
      <c r="I727" s="2" t="s">
        <v>1319</v>
      </c>
      <c r="J727" s="2" t="s">
        <v>632</v>
      </c>
      <c r="K727" s="2" t="s">
        <v>82</v>
      </c>
      <c r="L727" s="2" t="s">
        <v>154</v>
      </c>
      <c r="M727" s="2" t="s">
        <v>30</v>
      </c>
      <c r="N727" s="2" t="s">
        <v>42</v>
      </c>
      <c r="O727" s="2" t="s">
        <v>155</v>
      </c>
      <c r="P727" s="4">
        <v>202.9811</v>
      </c>
      <c r="Q727" s="4">
        <v>1</v>
      </c>
      <c r="R727" s="4">
        <v>3.7865000000000002</v>
      </c>
      <c r="S727" s="2" t="s">
        <v>33</v>
      </c>
      <c r="T727" s="2" t="s">
        <v>115</v>
      </c>
    </row>
    <row r="728" spans="1:20" x14ac:dyDescent="0.25">
      <c r="A728" s="2" t="s">
        <v>1681</v>
      </c>
      <c r="B728" s="3">
        <v>42551</v>
      </c>
      <c r="C728" s="3">
        <v>42557</v>
      </c>
      <c r="D728" s="2" t="s">
        <v>55</v>
      </c>
      <c r="E728" s="2" t="s">
        <v>823</v>
      </c>
      <c r="F728" s="2" t="s">
        <v>824</v>
      </c>
      <c r="G728" s="2" t="s">
        <v>58</v>
      </c>
      <c r="H728" s="2" t="s">
        <v>25</v>
      </c>
      <c r="I728" s="2" t="s">
        <v>1114</v>
      </c>
      <c r="J728" s="2" t="s">
        <v>138</v>
      </c>
      <c r="K728" s="2" t="s">
        <v>82</v>
      </c>
      <c r="L728" s="2" t="s">
        <v>311</v>
      </c>
      <c r="M728" s="2" t="s">
        <v>30</v>
      </c>
      <c r="N728" s="2" t="s">
        <v>63</v>
      </c>
      <c r="O728" s="2" t="s">
        <v>312</v>
      </c>
      <c r="P728" s="4">
        <v>242.8409</v>
      </c>
      <c r="Q728" s="4">
        <v>3</v>
      </c>
      <c r="R728" s="4">
        <v>-139.56270000000001</v>
      </c>
      <c r="S728" s="2" t="s">
        <v>65</v>
      </c>
      <c r="T728" s="2" t="s">
        <v>133</v>
      </c>
    </row>
    <row r="729" spans="1:20" x14ac:dyDescent="0.25">
      <c r="A729" s="2" t="s">
        <v>1682</v>
      </c>
      <c r="B729" s="3">
        <v>43100</v>
      </c>
      <c r="C729" s="3">
        <v>43107</v>
      </c>
      <c r="D729" s="2" t="s">
        <v>55</v>
      </c>
      <c r="E729" s="2" t="s">
        <v>214</v>
      </c>
      <c r="F729" s="2" t="s">
        <v>215</v>
      </c>
      <c r="G729" s="2" t="s">
        <v>24</v>
      </c>
      <c r="H729" s="2" t="s">
        <v>25</v>
      </c>
      <c r="I729" s="2" t="s">
        <v>1243</v>
      </c>
      <c r="J729" s="2" t="s">
        <v>595</v>
      </c>
      <c r="K729" s="2" t="s">
        <v>61</v>
      </c>
      <c r="L729" s="2" t="s">
        <v>839</v>
      </c>
      <c r="M729" s="2" t="s">
        <v>30</v>
      </c>
      <c r="N729" s="2" t="s">
        <v>63</v>
      </c>
      <c r="O729" s="2" t="s">
        <v>840</v>
      </c>
      <c r="P729" s="4">
        <v>198.36949999999999</v>
      </c>
      <c r="Q729" s="4">
        <v>2</v>
      </c>
      <c r="R729" s="4">
        <v>60.821399999999997</v>
      </c>
      <c r="S729" s="2" t="s">
        <v>107</v>
      </c>
      <c r="T729" s="2" t="s">
        <v>76</v>
      </c>
    </row>
    <row r="730" spans="1:20" x14ac:dyDescent="0.25">
      <c r="A730" s="2" t="s">
        <v>1683</v>
      </c>
      <c r="B730" s="3">
        <v>42504</v>
      </c>
      <c r="C730" s="3">
        <v>42509</v>
      </c>
      <c r="D730" s="2" t="s">
        <v>55</v>
      </c>
      <c r="E730" s="2" t="s">
        <v>1684</v>
      </c>
      <c r="F730" s="2" t="s">
        <v>1685</v>
      </c>
      <c r="G730" s="2" t="s">
        <v>58</v>
      </c>
      <c r="H730" s="2" t="s">
        <v>25</v>
      </c>
      <c r="I730" s="2" t="s">
        <v>97</v>
      </c>
      <c r="J730" s="2" t="s">
        <v>98</v>
      </c>
      <c r="K730" s="2" t="s">
        <v>82</v>
      </c>
      <c r="L730" s="2" t="s">
        <v>677</v>
      </c>
      <c r="M730" s="2" t="s">
        <v>30</v>
      </c>
      <c r="N730" s="2" t="s">
        <v>162</v>
      </c>
      <c r="O730" s="2" t="s">
        <v>678</v>
      </c>
      <c r="P730" s="4">
        <v>318.46640000000002</v>
      </c>
      <c r="Q730" s="4">
        <v>3</v>
      </c>
      <c r="R730" s="4">
        <v>120.8728</v>
      </c>
      <c r="S730" s="2" t="s">
        <v>85</v>
      </c>
      <c r="T730" s="2" t="s">
        <v>122</v>
      </c>
    </row>
    <row r="731" spans="1:20" x14ac:dyDescent="0.25">
      <c r="A731" s="2" t="s">
        <v>1686</v>
      </c>
      <c r="B731" s="3">
        <v>42229</v>
      </c>
      <c r="C731" s="3">
        <v>42234</v>
      </c>
      <c r="D731" s="2" t="s">
        <v>55</v>
      </c>
      <c r="E731" s="2" t="s">
        <v>241</v>
      </c>
      <c r="F731" s="2" t="s">
        <v>242</v>
      </c>
      <c r="G731" s="2" t="s">
        <v>58</v>
      </c>
      <c r="H731" s="2" t="s">
        <v>25</v>
      </c>
      <c r="I731" s="2" t="s">
        <v>1096</v>
      </c>
      <c r="J731" s="2" t="s">
        <v>806</v>
      </c>
      <c r="K731" s="2" t="s">
        <v>28</v>
      </c>
      <c r="L731" s="2" t="s">
        <v>218</v>
      </c>
      <c r="M731" s="2" t="s">
        <v>30</v>
      </c>
      <c r="N731" s="2" t="s">
        <v>31</v>
      </c>
      <c r="O731" s="2" t="s">
        <v>219</v>
      </c>
      <c r="P731" s="4">
        <v>14.83</v>
      </c>
      <c r="Q731" s="4">
        <v>2</v>
      </c>
      <c r="R731" s="4">
        <v>3.5832000000000002</v>
      </c>
      <c r="S731" s="2" t="s">
        <v>85</v>
      </c>
      <c r="T731" s="2" t="s">
        <v>34</v>
      </c>
    </row>
    <row r="732" spans="1:20" x14ac:dyDescent="0.25">
      <c r="A732" s="2" t="s">
        <v>1686</v>
      </c>
      <c r="B732" s="3">
        <v>42229</v>
      </c>
      <c r="C732" s="3">
        <v>42234</v>
      </c>
      <c r="D732" s="2" t="s">
        <v>55</v>
      </c>
      <c r="E732" s="2" t="s">
        <v>241</v>
      </c>
      <c r="F732" s="2" t="s">
        <v>242</v>
      </c>
      <c r="G732" s="2" t="s">
        <v>58</v>
      </c>
      <c r="H732" s="2" t="s">
        <v>25</v>
      </c>
      <c r="I732" s="2" t="s">
        <v>1096</v>
      </c>
      <c r="J732" s="2" t="s">
        <v>806</v>
      </c>
      <c r="K732" s="2" t="s">
        <v>28</v>
      </c>
      <c r="L732" s="2" t="s">
        <v>323</v>
      </c>
      <c r="M732" s="2" t="s">
        <v>30</v>
      </c>
      <c r="N732" s="2" t="s">
        <v>31</v>
      </c>
      <c r="O732" s="2" t="s">
        <v>324</v>
      </c>
      <c r="P732" s="4">
        <v>50.334699999999998</v>
      </c>
      <c r="Q732" s="4">
        <v>2</v>
      </c>
      <c r="R732" s="4">
        <v>27.563700000000001</v>
      </c>
      <c r="S732" s="2" t="s">
        <v>85</v>
      </c>
      <c r="T732" s="2" t="s">
        <v>34</v>
      </c>
    </row>
    <row r="733" spans="1:20" x14ac:dyDescent="0.25">
      <c r="A733" s="2" t="s">
        <v>1687</v>
      </c>
      <c r="B733" s="3">
        <v>42240</v>
      </c>
      <c r="C733" s="3">
        <v>42242</v>
      </c>
      <c r="D733" s="2" t="s">
        <v>21</v>
      </c>
      <c r="E733" s="2" t="s">
        <v>1473</v>
      </c>
      <c r="F733" s="2" t="s">
        <v>1474</v>
      </c>
      <c r="G733" s="2" t="s">
        <v>24</v>
      </c>
      <c r="H733" s="2" t="s">
        <v>25</v>
      </c>
      <c r="I733" s="2" t="s">
        <v>1688</v>
      </c>
      <c r="J733" s="2" t="s">
        <v>206</v>
      </c>
      <c r="K733" s="2" t="s">
        <v>61</v>
      </c>
      <c r="L733" s="2" t="s">
        <v>618</v>
      </c>
      <c r="M733" s="2" t="s">
        <v>30</v>
      </c>
      <c r="N733" s="2" t="s">
        <v>63</v>
      </c>
      <c r="O733" s="2" t="s">
        <v>619</v>
      </c>
      <c r="P733" s="4">
        <v>411.33659999999998</v>
      </c>
      <c r="Q733" s="4">
        <v>4</v>
      </c>
      <c r="R733" s="4">
        <v>-152.2627</v>
      </c>
      <c r="S733" s="2" t="s">
        <v>53</v>
      </c>
      <c r="T733" s="2" t="s">
        <v>34</v>
      </c>
    </row>
    <row r="734" spans="1:20" x14ac:dyDescent="0.25">
      <c r="A734" s="2" t="s">
        <v>1689</v>
      </c>
      <c r="B734" s="3">
        <v>41904</v>
      </c>
      <c r="C734" s="3">
        <v>41904</v>
      </c>
      <c r="D734" s="2" t="s">
        <v>142</v>
      </c>
      <c r="E734" s="2" t="s">
        <v>920</v>
      </c>
      <c r="F734" s="2" t="s">
        <v>921</v>
      </c>
      <c r="G734" s="2" t="s">
        <v>58</v>
      </c>
      <c r="H734" s="2" t="s">
        <v>25</v>
      </c>
      <c r="I734" s="2" t="s">
        <v>1381</v>
      </c>
      <c r="J734" s="2" t="s">
        <v>127</v>
      </c>
      <c r="K734" s="2" t="s">
        <v>82</v>
      </c>
      <c r="L734" s="2" t="s">
        <v>453</v>
      </c>
      <c r="M734" s="2" t="s">
        <v>30</v>
      </c>
      <c r="N734" s="2" t="s">
        <v>42</v>
      </c>
      <c r="O734" s="2" t="s">
        <v>454</v>
      </c>
      <c r="P734" s="4">
        <v>498.76310000000001</v>
      </c>
      <c r="Q734" s="4">
        <v>2</v>
      </c>
      <c r="R734" s="4">
        <v>-73.614699999999999</v>
      </c>
      <c r="S734" s="2" t="s">
        <v>121</v>
      </c>
      <c r="T734" s="2" t="s">
        <v>148</v>
      </c>
    </row>
    <row r="735" spans="1:20" x14ac:dyDescent="0.25">
      <c r="A735" s="2" t="s">
        <v>1690</v>
      </c>
      <c r="B735" s="3">
        <v>41736</v>
      </c>
      <c r="C735" s="3">
        <v>41736</v>
      </c>
      <c r="D735" s="2" t="s">
        <v>55</v>
      </c>
      <c r="E735" s="2" t="s">
        <v>1023</v>
      </c>
      <c r="F735" s="2" t="s">
        <v>1024</v>
      </c>
      <c r="G735" s="2" t="s">
        <v>24</v>
      </c>
      <c r="H735" s="2" t="s">
        <v>25</v>
      </c>
      <c r="I735" s="2" t="s">
        <v>799</v>
      </c>
      <c r="J735" s="2" t="s">
        <v>160</v>
      </c>
      <c r="K735" s="2" t="s">
        <v>61</v>
      </c>
      <c r="L735" s="2" t="s">
        <v>73</v>
      </c>
      <c r="M735" s="2" t="s">
        <v>30</v>
      </c>
      <c r="N735" s="2" t="s">
        <v>42</v>
      </c>
      <c r="O735" s="2" t="s">
        <v>74</v>
      </c>
      <c r="P735" s="4">
        <v>362.4683</v>
      </c>
      <c r="Q735" s="4">
        <v>1</v>
      </c>
      <c r="R735" s="4">
        <v>-9.1800999999999995</v>
      </c>
      <c r="S735" s="2" t="s">
        <v>121</v>
      </c>
      <c r="T735" s="2" t="s">
        <v>108</v>
      </c>
    </row>
    <row r="736" spans="1:20" x14ac:dyDescent="0.25">
      <c r="A736" s="2" t="s">
        <v>1691</v>
      </c>
      <c r="B736" s="3">
        <v>42904</v>
      </c>
      <c r="C736" s="3">
        <v>42904</v>
      </c>
      <c r="D736" s="2" t="s">
        <v>21</v>
      </c>
      <c r="E736" s="2" t="s">
        <v>1193</v>
      </c>
      <c r="F736" s="2" t="s">
        <v>1194</v>
      </c>
      <c r="G736" s="2" t="s">
        <v>38</v>
      </c>
      <c r="H736" s="2" t="s">
        <v>25</v>
      </c>
      <c r="I736" s="2" t="s">
        <v>288</v>
      </c>
      <c r="J736" s="2" t="s">
        <v>289</v>
      </c>
      <c r="K736" s="2" t="s">
        <v>82</v>
      </c>
      <c r="L736" s="2" t="s">
        <v>323</v>
      </c>
      <c r="M736" s="2" t="s">
        <v>30</v>
      </c>
      <c r="N736" s="2" t="s">
        <v>31</v>
      </c>
      <c r="O736" s="2" t="s">
        <v>324</v>
      </c>
      <c r="P736" s="4">
        <v>45.810400000000001</v>
      </c>
      <c r="Q736" s="4">
        <v>2</v>
      </c>
      <c r="R736" s="4">
        <v>13.951700000000001</v>
      </c>
      <c r="S736" s="2" t="s">
        <v>121</v>
      </c>
      <c r="T736" s="2" t="s">
        <v>133</v>
      </c>
    </row>
    <row r="737" spans="1:20" x14ac:dyDescent="0.25">
      <c r="A737" s="2" t="s">
        <v>1692</v>
      </c>
      <c r="B737" s="3">
        <v>43053</v>
      </c>
      <c r="C737" s="3">
        <v>43053</v>
      </c>
      <c r="D737" s="2" t="s">
        <v>142</v>
      </c>
      <c r="E737" s="2" t="s">
        <v>541</v>
      </c>
      <c r="F737" s="2" t="s">
        <v>542</v>
      </c>
      <c r="G737" s="2" t="s">
        <v>24</v>
      </c>
      <c r="H737" s="2" t="s">
        <v>25</v>
      </c>
      <c r="I737" s="2" t="s">
        <v>97</v>
      </c>
      <c r="J737" s="2" t="s">
        <v>98</v>
      </c>
      <c r="K737" s="2" t="s">
        <v>82</v>
      </c>
      <c r="L737" s="2" t="s">
        <v>252</v>
      </c>
      <c r="M737" s="2" t="s">
        <v>30</v>
      </c>
      <c r="N737" s="2" t="s">
        <v>31</v>
      </c>
      <c r="O737" s="2" t="s">
        <v>253</v>
      </c>
      <c r="P737" s="4">
        <v>318.90609999999998</v>
      </c>
      <c r="Q737" s="4">
        <v>6</v>
      </c>
      <c r="R737" s="4">
        <v>110.5033</v>
      </c>
      <c r="S737" s="2" t="s">
        <v>121</v>
      </c>
      <c r="T737" s="2" t="s">
        <v>93</v>
      </c>
    </row>
    <row r="738" spans="1:20" x14ac:dyDescent="0.25">
      <c r="A738" s="2" t="s">
        <v>1693</v>
      </c>
      <c r="B738" s="3">
        <v>42791</v>
      </c>
      <c r="C738" s="3">
        <v>42795</v>
      </c>
      <c r="D738" s="2" t="s">
        <v>55</v>
      </c>
      <c r="E738" s="2" t="s">
        <v>1112</v>
      </c>
      <c r="F738" s="2" t="s">
        <v>1113</v>
      </c>
      <c r="G738" s="2" t="s">
        <v>58</v>
      </c>
      <c r="H738" s="2" t="s">
        <v>25</v>
      </c>
      <c r="I738" s="2" t="s">
        <v>398</v>
      </c>
      <c r="J738" s="2" t="s">
        <v>251</v>
      </c>
      <c r="K738" s="2" t="s">
        <v>147</v>
      </c>
      <c r="L738" s="2" t="s">
        <v>66</v>
      </c>
      <c r="M738" s="2" t="s">
        <v>30</v>
      </c>
      <c r="N738" s="2" t="s">
        <v>31</v>
      </c>
      <c r="O738" s="2" t="s">
        <v>67</v>
      </c>
      <c r="P738" s="4">
        <v>80.484700000000004</v>
      </c>
      <c r="Q738" s="4">
        <v>1</v>
      </c>
      <c r="R738" s="4">
        <v>-17.167999999999999</v>
      </c>
      <c r="S738" s="2" t="s">
        <v>75</v>
      </c>
      <c r="T738" s="2" t="s">
        <v>101</v>
      </c>
    </row>
    <row r="739" spans="1:20" x14ac:dyDescent="0.25">
      <c r="A739" s="2" t="s">
        <v>1694</v>
      </c>
      <c r="B739" s="3">
        <v>41843</v>
      </c>
      <c r="C739" s="3">
        <v>41849</v>
      </c>
      <c r="D739" s="2" t="s">
        <v>55</v>
      </c>
      <c r="E739" s="2" t="s">
        <v>1695</v>
      </c>
      <c r="F739" s="2" t="s">
        <v>1696</v>
      </c>
      <c r="G739" s="2" t="s">
        <v>58</v>
      </c>
      <c r="H739" s="2" t="s">
        <v>25</v>
      </c>
      <c r="I739" s="2" t="s">
        <v>1697</v>
      </c>
      <c r="J739" s="2" t="s">
        <v>52</v>
      </c>
      <c r="K739" s="2" t="s">
        <v>28</v>
      </c>
      <c r="L739" s="2" t="s">
        <v>618</v>
      </c>
      <c r="M739" s="2" t="s">
        <v>30</v>
      </c>
      <c r="N739" s="2" t="s">
        <v>63</v>
      </c>
      <c r="O739" s="2" t="s">
        <v>619</v>
      </c>
      <c r="P739" s="4">
        <v>191.39410000000001</v>
      </c>
      <c r="Q739" s="4">
        <v>8</v>
      </c>
      <c r="R739" s="4">
        <v>-10.319599999999999</v>
      </c>
      <c r="S739" s="2" t="s">
        <v>65</v>
      </c>
      <c r="T739" s="2" t="s">
        <v>86</v>
      </c>
    </row>
    <row r="740" spans="1:20" x14ac:dyDescent="0.25">
      <c r="A740" s="2" t="s">
        <v>1698</v>
      </c>
      <c r="B740" s="3">
        <v>42339</v>
      </c>
      <c r="C740" s="3">
        <v>42341</v>
      </c>
      <c r="D740" s="2" t="s">
        <v>21</v>
      </c>
      <c r="E740" s="2" t="s">
        <v>854</v>
      </c>
      <c r="F740" s="2" t="s">
        <v>855</v>
      </c>
      <c r="G740" s="2" t="s">
        <v>58</v>
      </c>
      <c r="H740" s="2" t="s">
        <v>25</v>
      </c>
      <c r="I740" s="2" t="s">
        <v>243</v>
      </c>
      <c r="J740" s="2" t="s">
        <v>244</v>
      </c>
      <c r="K740" s="2" t="s">
        <v>61</v>
      </c>
      <c r="L740" s="2" t="s">
        <v>453</v>
      </c>
      <c r="M740" s="2" t="s">
        <v>30</v>
      </c>
      <c r="N740" s="2" t="s">
        <v>42</v>
      </c>
      <c r="O740" s="2" t="s">
        <v>454</v>
      </c>
      <c r="P740" s="4">
        <v>1071.5145</v>
      </c>
      <c r="Q740" s="4">
        <v>3</v>
      </c>
      <c r="R740" s="4">
        <v>7.7759</v>
      </c>
      <c r="S740" s="2" t="s">
        <v>53</v>
      </c>
      <c r="T740" s="2" t="s">
        <v>76</v>
      </c>
    </row>
    <row r="741" spans="1:20" x14ac:dyDescent="0.25">
      <c r="A741" s="2" t="s">
        <v>1699</v>
      </c>
      <c r="B741" s="3">
        <v>42503</v>
      </c>
      <c r="C741" s="3">
        <v>42503</v>
      </c>
      <c r="D741" s="2" t="s">
        <v>142</v>
      </c>
      <c r="E741" s="2" t="s">
        <v>1048</v>
      </c>
      <c r="F741" s="2" t="s">
        <v>1049</v>
      </c>
      <c r="G741" s="2" t="s">
        <v>38</v>
      </c>
      <c r="H741" s="2" t="s">
        <v>25</v>
      </c>
      <c r="I741" s="2" t="s">
        <v>829</v>
      </c>
      <c r="J741" s="2" t="s">
        <v>199</v>
      </c>
      <c r="K741" s="2" t="s">
        <v>82</v>
      </c>
      <c r="L741" s="2" t="s">
        <v>174</v>
      </c>
      <c r="M741" s="2" t="s">
        <v>30</v>
      </c>
      <c r="N741" s="2" t="s">
        <v>31</v>
      </c>
      <c r="O741" s="2" t="s">
        <v>175</v>
      </c>
      <c r="P741" s="4">
        <v>166.8793</v>
      </c>
      <c r="Q741" s="4">
        <v>2</v>
      </c>
      <c r="R741" s="4">
        <v>-74.643100000000004</v>
      </c>
      <c r="S741" s="2" t="s">
        <v>121</v>
      </c>
      <c r="T741" s="2" t="s">
        <v>122</v>
      </c>
    </row>
    <row r="742" spans="1:20" x14ac:dyDescent="0.25">
      <c r="A742" s="2" t="s">
        <v>1700</v>
      </c>
      <c r="B742" s="3">
        <v>42546</v>
      </c>
      <c r="C742" s="3">
        <v>42548</v>
      </c>
      <c r="D742" s="2" t="s">
        <v>55</v>
      </c>
      <c r="E742" s="2" t="s">
        <v>1701</v>
      </c>
      <c r="F742" s="2" t="s">
        <v>1702</v>
      </c>
      <c r="G742" s="2" t="s">
        <v>38</v>
      </c>
      <c r="H742" s="2" t="s">
        <v>25</v>
      </c>
      <c r="I742" s="2" t="s">
        <v>495</v>
      </c>
      <c r="J742" s="2" t="s">
        <v>496</v>
      </c>
      <c r="K742" s="2" t="s">
        <v>147</v>
      </c>
      <c r="L742" s="2" t="s">
        <v>41</v>
      </c>
      <c r="M742" s="2" t="s">
        <v>30</v>
      </c>
      <c r="N742" s="2" t="s">
        <v>42</v>
      </c>
      <c r="O742" s="2" t="s">
        <v>43</v>
      </c>
      <c r="P742" s="4">
        <v>300.81349999999998</v>
      </c>
      <c r="Q742" s="4">
        <v>3</v>
      </c>
      <c r="R742" s="4">
        <v>45.641399999999997</v>
      </c>
      <c r="S742" s="2" t="s">
        <v>53</v>
      </c>
      <c r="T742" s="2" t="s">
        <v>133</v>
      </c>
    </row>
    <row r="743" spans="1:20" x14ac:dyDescent="0.25">
      <c r="A743" s="2" t="s">
        <v>1703</v>
      </c>
      <c r="B743" s="3">
        <v>42992</v>
      </c>
      <c r="C743" s="3">
        <v>42994</v>
      </c>
      <c r="D743" s="2" t="s">
        <v>48</v>
      </c>
      <c r="E743" s="2" t="s">
        <v>1704</v>
      </c>
      <c r="F743" s="2" t="s">
        <v>1705</v>
      </c>
      <c r="G743" s="2" t="s">
        <v>58</v>
      </c>
      <c r="H743" s="2" t="s">
        <v>25</v>
      </c>
      <c r="I743" s="2" t="s">
        <v>105</v>
      </c>
      <c r="J743" s="2" t="s">
        <v>106</v>
      </c>
      <c r="K743" s="2" t="s">
        <v>61</v>
      </c>
      <c r="L743" s="2" t="s">
        <v>154</v>
      </c>
      <c r="M743" s="2" t="s">
        <v>30</v>
      </c>
      <c r="N743" s="2" t="s">
        <v>42</v>
      </c>
      <c r="O743" s="2" t="s">
        <v>155</v>
      </c>
      <c r="P743" s="4">
        <v>126.9862</v>
      </c>
      <c r="Q743" s="4">
        <v>3</v>
      </c>
      <c r="R743" s="4">
        <v>102.3334</v>
      </c>
      <c r="S743" s="2" t="s">
        <v>53</v>
      </c>
      <c r="T743" s="2" t="s">
        <v>148</v>
      </c>
    </row>
    <row r="744" spans="1:20" x14ac:dyDescent="0.25">
      <c r="A744" s="2" t="s">
        <v>1706</v>
      </c>
      <c r="B744" s="3">
        <v>42282</v>
      </c>
      <c r="C744" s="3">
        <v>42285</v>
      </c>
      <c r="D744" s="2" t="s">
        <v>55</v>
      </c>
      <c r="E744" s="2" t="s">
        <v>272</v>
      </c>
      <c r="F744" s="2" t="s">
        <v>273</v>
      </c>
      <c r="G744" s="2" t="s">
        <v>24</v>
      </c>
      <c r="H744" s="2" t="s">
        <v>25</v>
      </c>
      <c r="I744" s="2" t="s">
        <v>977</v>
      </c>
      <c r="J744" s="2" t="s">
        <v>475</v>
      </c>
      <c r="K744" s="2" t="s">
        <v>28</v>
      </c>
      <c r="L744" s="2" t="s">
        <v>29</v>
      </c>
      <c r="M744" s="2" t="s">
        <v>30</v>
      </c>
      <c r="N744" s="2" t="s">
        <v>31</v>
      </c>
      <c r="O744" s="2" t="s">
        <v>32</v>
      </c>
      <c r="P744" s="4">
        <v>72.219099999999997</v>
      </c>
      <c r="Q744" s="4">
        <v>1</v>
      </c>
      <c r="R744" s="4">
        <v>-9.0777999999999999</v>
      </c>
      <c r="S744" s="2" t="s">
        <v>92</v>
      </c>
      <c r="T744" s="2" t="s">
        <v>224</v>
      </c>
    </row>
    <row r="745" spans="1:20" x14ac:dyDescent="0.25">
      <c r="A745" s="2" t="s">
        <v>1706</v>
      </c>
      <c r="B745" s="3">
        <v>42282</v>
      </c>
      <c r="C745" s="3">
        <v>42285</v>
      </c>
      <c r="D745" s="2" t="s">
        <v>55</v>
      </c>
      <c r="E745" s="2" t="s">
        <v>272</v>
      </c>
      <c r="F745" s="2" t="s">
        <v>273</v>
      </c>
      <c r="G745" s="2" t="s">
        <v>24</v>
      </c>
      <c r="H745" s="2" t="s">
        <v>25</v>
      </c>
      <c r="I745" s="2" t="s">
        <v>977</v>
      </c>
      <c r="J745" s="2" t="s">
        <v>475</v>
      </c>
      <c r="K745" s="2" t="s">
        <v>28</v>
      </c>
      <c r="L745" s="2" t="s">
        <v>218</v>
      </c>
      <c r="M745" s="2" t="s">
        <v>30</v>
      </c>
      <c r="N745" s="2" t="s">
        <v>31</v>
      </c>
      <c r="O745" s="2" t="s">
        <v>219</v>
      </c>
      <c r="P745" s="4">
        <v>81.224599999999995</v>
      </c>
      <c r="Q745" s="4">
        <v>1</v>
      </c>
      <c r="R745" s="4">
        <v>18.621200000000002</v>
      </c>
      <c r="S745" s="2" t="s">
        <v>92</v>
      </c>
      <c r="T745" s="2" t="s">
        <v>224</v>
      </c>
    </row>
    <row r="746" spans="1:20" x14ac:dyDescent="0.25">
      <c r="A746" s="2" t="s">
        <v>1707</v>
      </c>
      <c r="B746" s="3">
        <v>42347</v>
      </c>
      <c r="C746" s="3">
        <v>42349</v>
      </c>
      <c r="D746" s="2" t="s">
        <v>55</v>
      </c>
      <c r="E746" s="2" t="s">
        <v>1708</v>
      </c>
      <c r="F746" s="2" t="s">
        <v>1709</v>
      </c>
      <c r="G746" s="2" t="s">
        <v>24</v>
      </c>
      <c r="H746" s="2" t="s">
        <v>25</v>
      </c>
      <c r="I746" s="2" t="s">
        <v>752</v>
      </c>
      <c r="J746" s="2" t="s">
        <v>753</v>
      </c>
      <c r="K746" s="2" t="s">
        <v>147</v>
      </c>
      <c r="L746" s="2" t="s">
        <v>333</v>
      </c>
      <c r="M746" s="2" t="s">
        <v>30</v>
      </c>
      <c r="N746" s="2" t="s">
        <v>162</v>
      </c>
      <c r="O746" s="2" t="s">
        <v>334</v>
      </c>
      <c r="P746" s="4">
        <v>289.11009999999999</v>
      </c>
      <c r="Q746" s="4">
        <v>2</v>
      </c>
      <c r="R746" s="4">
        <v>12.527100000000001</v>
      </c>
      <c r="S746" s="2" t="s">
        <v>53</v>
      </c>
      <c r="T746" s="2" t="s">
        <v>76</v>
      </c>
    </row>
    <row r="747" spans="1:20" x14ac:dyDescent="0.25">
      <c r="A747" s="2" t="s">
        <v>1710</v>
      </c>
      <c r="B747" s="3">
        <v>41830</v>
      </c>
      <c r="C747" s="3">
        <v>41832</v>
      </c>
      <c r="D747" s="2" t="s">
        <v>48</v>
      </c>
      <c r="E747" s="2" t="s">
        <v>1230</v>
      </c>
      <c r="F747" s="2" t="s">
        <v>1231</v>
      </c>
      <c r="G747" s="2" t="s">
        <v>58</v>
      </c>
      <c r="H747" s="2" t="s">
        <v>25</v>
      </c>
      <c r="I747" s="2" t="s">
        <v>423</v>
      </c>
      <c r="J747" s="2" t="s">
        <v>424</v>
      </c>
      <c r="K747" s="2" t="s">
        <v>28</v>
      </c>
      <c r="L747" s="2" t="s">
        <v>83</v>
      </c>
      <c r="M747" s="2" t="s">
        <v>30</v>
      </c>
      <c r="N747" s="2" t="s">
        <v>42</v>
      </c>
      <c r="O747" s="2" t="s">
        <v>84</v>
      </c>
      <c r="P747" s="4">
        <v>314.59269999999998</v>
      </c>
      <c r="Q747" s="4">
        <v>3</v>
      </c>
      <c r="R747" s="4">
        <v>63.287700000000001</v>
      </c>
      <c r="S747" s="2" t="s">
        <v>53</v>
      </c>
      <c r="T747" s="2" t="s">
        <v>86</v>
      </c>
    </row>
    <row r="748" spans="1:20" x14ac:dyDescent="0.25">
      <c r="A748" s="2" t="s">
        <v>1711</v>
      </c>
      <c r="B748" s="3">
        <v>42505</v>
      </c>
      <c r="C748" s="3">
        <v>42505</v>
      </c>
      <c r="D748" s="2" t="s">
        <v>55</v>
      </c>
      <c r="E748" s="2" t="s">
        <v>1712</v>
      </c>
      <c r="F748" s="2" t="s">
        <v>1713</v>
      </c>
      <c r="G748" s="2" t="s">
        <v>24</v>
      </c>
      <c r="H748" s="2" t="s">
        <v>25</v>
      </c>
      <c r="I748" s="2" t="s">
        <v>159</v>
      </c>
      <c r="J748" s="2" t="s">
        <v>160</v>
      </c>
      <c r="K748" s="2" t="s">
        <v>61</v>
      </c>
      <c r="L748" s="2" t="s">
        <v>66</v>
      </c>
      <c r="M748" s="2" t="s">
        <v>30</v>
      </c>
      <c r="N748" s="2" t="s">
        <v>31</v>
      </c>
      <c r="O748" s="2" t="s">
        <v>67</v>
      </c>
      <c r="P748" s="4">
        <v>199.89080000000001</v>
      </c>
      <c r="Q748" s="4">
        <v>2</v>
      </c>
      <c r="R748" s="4">
        <v>35.351100000000002</v>
      </c>
      <c r="S748" s="2" t="s">
        <v>121</v>
      </c>
      <c r="T748" s="2" t="s">
        <v>122</v>
      </c>
    </row>
    <row r="749" spans="1:20" x14ac:dyDescent="0.25">
      <c r="A749" s="2" t="s">
        <v>1714</v>
      </c>
      <c r="B749" s="3">
        <v>42250</v>
      </c>
      <c r="C749" s="3">
        <v>42254</v>
      </c>
      <c r="D749" s="2" t="s">
        <v>55</v>
      </c>
      <c r="E749" s="2" t="s">
        <v>347</v>
      </c>
      <c r="F749" s="2" t="s">
        <v>348</v>
      </c>
      <c r="G749" s="2" t="s">
        <v>58</v>
      </c>
      <c r="H749" s="2" t="s">
        <v>25</v>
      </c>
      <c r="I749" s="2" t="s">
        <v>617</v>
      </c>
      <c r="J749" s="2" t="s">
        <v>168</v>
      </c>
      <c r="K749" s="2" t="s">
        <v>28</v>
      </c>
      <c r="L749" s="2" t="s">
        <v>29</v>
      </c>
      <c r="M749" s="2" t="s">
        <v>30</v>
      </c>
      <c r="N749" s="2" t="s">
        <v>31</v>
      </c>
      <c r="O749" s="2" t="s">
        <v>32</v>
      </c>
      <c r="P749" s="4">
        <v>20.5078</v>
      </c>
      <c r="Q749" s="4">
        <v>4</v>
      </c>
      <c r="R749" s="4">
        <v>5.7933000000000003</v>
      </c>
      <c r="S749" s="2" t="s">
        <v>75</v>
      </c>
      <c r="T749" s="2" t="s">
        <v>148</v>
      </c>
    </row>
    <row r="750" spans="1:20" x14ac:dyDescent="0.25">
      <c r="A750" s="2" t="s">
        <v>1715</v>
      </c>
      <c r="B750" s="3">
        <v>43017</v>
      </c>
      <c r="C750" s="3">
        <v>43020</v>
      </c>
      <c r="D750" s="2" t="s">
        <v>55</v>
      </c>
      <c r="E750" s="2" t="s">
        <v>1716</v>
      </c>
      <c r="F750" s="2" t="s">
        <v>1717</v>
      </c>
      <c r="G750" s="2" t="s">
        <v>38</v>
      </c>
      <c r="H750" s="2" t="s">
        <v>25</v>
      </c>
      <c r="I750" s="2" t="s">
        <v>51</v>
      </c>
      <c r="J750" s="2" t="s">
        <v>52</v>
      </c>
      <c r="K750" s="2" t="s">
        <v>28</v>
      </c>
      <c r="L750" s="2" t="s">
        <v>73</v>
      </c>
      <c r="M750" s="2" t="s">
        <v>30</v>
      </c>
      <c r="N750" s="2" t="s">
        <v>42</v>
      </c>
      <c r="O750" s="2" t="s">
        <v>74</v>
      </c>
      <c r="P750" s="4">
        <v>144.65360000000001</v>
      </c>
      <c r="Q750" s="4">
        <v>5</v>
      </c>
      <c r="R750" s="4">
        <v>-2.3687</v>
      </c>
      <c r="S750" s="2" t="s">
        <v>92</v>
      </c>
      <c r="T750" s="2" t="s">
        <v>224</v>
      </c>
    </row>
    <row r="751" spans="1:20" x14ac:dyDescent="0.25">
      <c r="A751" s="2" t="s">
        <v>1715</v>
      </c>
      <c r="B751" s="3">
        <v>43017</v>
      </c>
      <c r="C751" s="3">
        <v>43020</v>
      </c>
      <c r="D751" s="2" t="s">
        <v>55</v>
      </c>
      <c r="E751" s="2" t="s">
        <v>1716</v>
      </c>
      <c r="F751" s="2" t="s">
        <v>1717</v>
      </c>
      <c r="G751" s="2" t="s">
        <v>38</v>
      </c>
      <c r="H751" s="2" t="s">
        <v>25</v>
      </c>
      <c r="I751" s="2" t="s">
        <v>51</v>
      </c>
      <c r="J751" s="2" t="s">
        <v>52</v>
      </c>
      <c r="K751" s="2" t="s">
        <v>28</v>
      </c>
      <c r="L751" s="2" t="s">
        <v>193</v>
      </c>
      <c r="M751" s="2" t="s">
        <v>30</v>
      </c>
      <c r="N751" s="2" t="s">
        <v>42</v>
      </c>
      <c r="O751" s="2" t="s">
        <v>194</v>
      </c>
      <c r="P751" s="4">
        <v>586.01170000000002</v>
      </c>
      <c r="Q751" s="4">
        <v>4</v>
      </c>
      <c r="R751" s="4">
        <v>106.83499999999999</v>
      </c>
      <c r="S751" s="2" t="s">
        <v>92</v>
      </c>
      <c r="T751" s="2" t="s">
        <v>224</v>
      </c>
    </row>
    <row r="752" spans="1:20" x14ac:dyDescent="0.25">
      <c r="A752" s="2" t="s">
        <v>1718</v>
      </c>
      <c r="B752" s="3">
        <v>42483</v>
      </c>
      <c r="C752" s="3">
        <v>42488</v>
      </c>
      <c r="D752" s="2" t="s">
        <v>55</v>
      </c>
      <c r="E752" s="2" t="s">
        <v>1719</v>
      </c>
      <c r="F752" s="2" t="s">
        <v>1720</v>
      </c>
      <c r="G752" s="2" t="s">
        <v>58</v>
      </c>
      <c r="H752" s="2" t="s">
        <v>25</v>
      </c>
      <c r="I752" s="2" t="s">
        <v>662</v>
      </c>
      <c r="J752" s="2" t="s">
        <v>310</v>
      </c>
      <c r="K752" s="2" t="s">
        <v>28</v>
      </c>
      <c r="L752" s="2" t="s">
        <v>820</v>
      </c>
      <c r="M752" s="2" t="s">
        <v>30</v>
      </c>
      <c r="N752" s="2" t="s">
        <v>162</v>
      </c>
      <c r="O752" s="2" t="s">
        <v>821</v>
      </c>
      <c r="P752" s="4">
        <v>282.37040000000002</v>
      </c>
      <c r="Q752" s="4">
        <v>4</v>
      </c>
      <c r="R752" s="4">
        <v>-92.884600000000006</v>
      </c>
      <c r="S752" s="2" t="s">
        <v>85</v>
      </c>
      <c r="T752" s="2" t="s">
        <v>108</v>
      </c>
    </row>
    <row r="753" spans="1:20" x14ac:dyDescent="0.25">
      <c r="A753" s="2" t="s">
        <v>1721</v>
      </c>
      <c r="B753" s="3">
        <v>42702</v>
      </c>
      <c r="C753" s="3">
        <v>42703</v>
      </c>
      <c r="D753" s="2" t="s">
        <v>48</v>
      </c>
      <c r="E753" s="2" t="s">
        <v>939</v>
      </c>
      <c r="F753" s="2" t="s">
        <v>940</v>
      </c>
      <c r="G753" s="2" t="s">
        <v>38</v>
      </c>
      <c r="H753" s="2" t="s">
        <v>25</v>
      </c>
      <c r="I753" s="2" t="s">
        <v>378</v>
      </c>
      <c r="J753" s="2" t="s">
        <v>98</v>
      </c>
      <c r="K753" s="2" t="s">
        <v>82</v>
      </c>
      <c r="L753" s="2" t="s">
        <v>677</v>
      </c>
      <c r="M753" s="2" t="s">
        <v>30</v>
      </c>
      <c r="N753" s="2" t="s">
        <v>162</v>
      </c>
      <c r="O753" s="2" t="s">
        <v>678</v>
      </c>
      <c r="P753" s="4">
        <v>381.54759999999999</v>
      </c>
      <c r="Q753" s="4">
        <v>5</v>
      </c>
      <c r="R753" s="4">
        <v>-36.358800000000002</v>
      </c>
      <c r="S753" s="2" t="s">
        <v>33</v>
      </c>
      <c r="T753" s="2" t="s">
        <v>93</v>
      </c>
    </row>
    <row r="754" spans="1:20" x14ac:dyDescent="0.25">
      <c r="A754" s="2" t="s">
        <v>1722</v>
      </c>
      <c r="B754" s="3">
        <v>41935</v>
      </c>
      <c r="C754" s="3">
        <v>41938</v>
      </c>
      <c r="D754" s="2" t="s">
        <v>21</v>
      </c>
      <c r="E754" s="2" t="s">
        <v>1302</v>
      </c>
      <c r="F754" s="2" t="s">
        <v>1303</v>
      </c>
      <c r="G754" s="2" t="s">
        <v>38</v>
      </c>
      <c r="H754" s="2" t="s">
        <v>25</v>
      </c>
      <c r="I754" s="2" t="s">
        <v>474</v>
      </c>
      <c r="J754" s="2" t="s">
        <v>475</v>
      </c>
      <c r="K754" s="2" t="s">
        <v>28</v>
      </c>
      <c r="L754" s="2" t="s">
        <v>113</v>
      </c>
      <c r="M754" s="2" t="s">
        <v>30</v>
      </c>
      <c r="N754" s="2" t="s">
        <v>31</v>
      </c>
      <c r="O754" s="2" t="s">
        <v>114</v>
      </c>
      <c r="P754" s="4">
        <v>18.535499999999999</v>
      </c>
      <c r="Q754" s="4">
        <v>2</v>
      </c>
      <c r="R754" s="4">
        <v>2.2450999999999999</v>
      </c>
      <c r="S754" s="2" t="s">
        <v>92</v>
      </c>
      <c r="T754" s="2" t="s">
        <v>224</v>
      </c>
    </row>
    <row r="755" spans="1:20" x14ac:dyDescent="0.25">
      <c r="A755" s="2" t="s">
        <v>1723</v>
      </c>
      <c r="B755" s="3">
        <v>42396</v>
      </c>
      <c r="C755" s="3">
        <v>42396</v>
      </c>
      <c r="D755" s="2" t="s">
        <v>55</v>
      </c>
      <c r="E755" s="2" t="s">
        <v>1724</v>
      </c>
      <c r="F755" s="2" t="s">
        <v>1725</v>
      </c>
      <c r="G755" s="2" t="s">
        <v>24</v>
      </c>
      <c r="H755" s="2" t="s">
        <v>25</v>
      </c>
      <c r="I755" s="2" t="s">
        <v>495</v>
      </c>
      <c r="J755" s="2" t="s">
        <v>496</v>
      </c>
      <c r="K755" s="2" t="s">
        <v>147</v>
      </c>
      <c r="L755" s="2" t="s">
        <v>83</v>
      </c>
      <c r="M755" s="2" t="s">
        <v>30</v>
      </c>
      <c r="N755" s="2" t="s">
        <v>42</v>
      </c>
      <c r="O755" s="2" t="s">
        <v>84</v>
      </c>
      <c r="P755" s="4">
        <v>790.44560000000001</v>
      </c>
      <c r="Q755" s="4">
        <v>7</v>
      </c>
      <c r="R755" s="4">
        <v>20.110900000000001</v>
      </c>
      <c r="S755" s="2" t="s">
        <v>121</v>
      </c>
      <c r="T755" s="2" t="s">
        <v>115</v>
      </c>
    </row>
    <row r="756" spans="1:20" x14ac:dyDescent="0.25">
      <c r="A756" s="2" t="s">
        <v>1726</v>
      </c>
      <c r="B756" s="3">
        <v>42406</v>
      </c>
      <c r="C756" s="3">
        <v>42410</v>
      </c>
      <c r="D756" s="2" t="s">
        <v>55</v>
      </c>
      <c r="E756" s="2" t="s">
        <v>1727</v>
      </c>
      <c r="F756" s="2" t="s">
        <v>1728</v>
      </c>
      <c r="G756" s="2" t="s">
        <v>58</v>
      </c>
      <c r="H756" s="2" t="s">
        <v>25</v>
      </c>
      <c r="I756" s="2" t="s">
        <v>138</v>
      </c>
      <c r="J756" s="2" t="s">
        <v>407</v>
      </c>
      <c r="K756" s="2" t="s">
        <v>28</v>
      </c>
      <c r="L756" s="2" t="s">
        <v>154</v>
      </c>
      <c r="M756" s="2" t="s">
        <v>30</v>
      </c>
      <c r="N756" s="2" t="s">
        <v>42</v>
      </c>
      <c r="O756" s="2" t="s">
        <v>155</v>
      </c>
      <c r="P756" s="4">
        <v>35.585299999999997</v>
      </c>
      <c r="Q756" s="4">
        <v>2</v>
      </c>
      <c r="R756" s="4">
        <v>14.139799999999999</v>
      </c>
      <c r="S756" s="2" t="s">
        <v>75</v>
      </c>
      <c r="T756" s="2" t="s">
        <v>101</v>
      </c>
    </row>
    <row r="757" spans="1:20" x14ac:dyDescent="0.25">
      <c r="A757" s="2" t="s">
        <v>1726</v>
      </c>
      <c r="B757" s="3">
        <v>42406</v>
      </c>
      <c r="C757" s="3">
        <v>42410</v>
      </c>
      <c r="D757" s="2" t="s">
        <v>55</v>
      </c>
      <c r="E757" s="2" t="s">
        <v>1727</v>
      </c>
      <c r="F757" s="2" t="s">
        <v>1728</v>
      </c>
      <c r="G757" s="2" t="s">
        <v>58</v>
      </c>
      <c r="H757" s="2" t="s">
        <v>25</v>
      </c>
      <c r="I757" s="2" t="s">
        <v>138</v>
      </c>
      <c r="J757" s="2" t="s">
        <v>407</v>
      </c>
      <c r="K757" s="2" t="s">
        <v>28</v>
      </c>
      <c r="L757" s="2" t="s">
        <v>301</v>
      </c>
      <c r="M757" s="2" t="s">
        <v>30</v>
      </c>
      <c r="N757" s="2" t="s">
        <v>162</v>
      </c>
      <c r="O757" s="2" t="s">
        <v>302</v>
      </c>
      <c r="P757" s="4">
        <v>351.1395</v>
      </c>
      <c r="Q757" s="4">
        <v>2</v>
      </c>
      <c r="R757" s="4">
        <v>-162.71850000000001</v>
      </c>
      <c r="S757" s="2" t="s">
        <v>75</v>
      </c>
      <c r="T757" s="2" t="s">
        <v>101</v>
      </c>
    </row>
    <row r="758" spans="1:20" x14ac:dyDescent="0.25">
      <c r="A758" s="2" t="s">
        <v>1729</v>
      </c>
      <c r="B758" s="3">
        <v>42761</v>
      </c>
      <c r="C758" s="3">
        <v>42768</v>
      </c>
      <c r="D758" s="2" t="s">
        <v>55</v>
      </c>
      <c r="E758" s="2" t="s">
        <v>1730</v>
      </c>
      <c r="F758" s="2" t="s">
        <v>1731</v>
      </c>
      <c r="G758" s="2" t="s">
        <v>24</v>
      </c>
      <c r="H758" s="2" t="s">
        <v>25</v>
      </c>
      <c r="I758" s="2" t="s">
        <v>378</v>
      </c>
      <c r="J758" s="2" t="s">
        <v>98</v>
      </c>
      <c r="K758" s="2" t="s">
        <v>82</v>
      </c>
      <c r="L758" s="2" t="s">
        <v>66</v>
      </c>
      <c r="M758" s="2" t="s">
        <v>30</v>
      </c>
      <c r="N758" s="2" t="s">
        <v>31</v>
      </c>
      <c r="O758" s="2" t="s">
        <v>67</v>
      </c>
      <c r="P758" s="4">
        <v>121.67310000000001</v>
      </c>
      <c r="Q758" s="4">
        <v>4</v>
      </c>
      <c r="R758" s="4">
        <v>-6.4790999999999999</v>
      </c>
      <c r="S758" s="2" t="s">
        <v>107</v>
      </c>
      <c r="T758" s="2" t="s">
        <v>115</v>
      </c>
    </row>
    <row r="759" spans="1:20" x14ac:dyDescent="0.25">
      <c r="A759" s="2" t="s">
        <v>1729</v>
      </c>
      <c r="B759" s="3">
        <v>42761</v>
      </c>
      <c r="C759" s="3">
        <v>42768</v>
      </c>
      <c r="D759" s="2" t="s">
        <v>55</v>
      </c>
      <c r="E759" s="2" t="s">
        <v>1730</v>
      </c>
      <c r="F759" s="2" t="s">
        <v>1731</v>
      </c>
      <c r="G759" s="2" t="s">
        <v>24</v>
      </c>
      <c r="H759" s="2" t="s">
        <v>25</v>
      </c>
      <c r="I759" s="2" t="s">
        <v>378</v>
      </c>
      <c r="J759" s="2" t="s">
        <v>98</v>
      </c>
      <c r="K759" s="2" t="s">
        <v>82</v>
      </c>
      <c r="L759" s="2" t="s">
        <v>29</v>
      </c>
      <c r="M759" s="2" t="s">
        <v>30</v>
      </c>
      <c r="N759" s="2" t="s">
        <v>31</v>
      </c>
      <c r="O759" s="2" t="s">
        <v>32</v>
      </c>
      <c r="P759" s="4">
        <v>52.218400000000003</v>
      </c>
      <c r="Q759" s="4">
        <v>3</v>
      </c>
      <c r="R759" s="4">
        <v>-0.60799999999999998</v>
      </c>
      <c r="S759" s="2" t="s">
        <v>107</v>
      </c>
      <c r="T759" s="2" t="s">
        <v>115</v>
      </c>
    </row>
    <row r="760" spans="1:20" x14ac:dyDescent="0.25">
      <c r="A760" s="2" t="s">
        <v>1732</v>
      </c>
      <c r="B760" s="3">
        <v>41911</v>
      </c>
      <c r="C760" s="3">
        <v>41916</v>
      </c>
      <c r="D760" s="2" t="s">
        <v>55</v>
      </c>
      <c r="E760" s="2" t="s">
        <v>1581</v>
      </c>
      <c r="F760" s="2" t="s">
        <v>1582</v>
      </c>
      <c r="G760" s="2" t="s">
        <v>38</v>
      </c>
      <c r="H760" s="2" t="s">
        <v>25</v>
      </c>
      <c r="I760" s="2" t="s">
        <v>699</v>
      </c>
      <c r="J760" s="2" t="s">
        <v>339</v>
      </c>
      <c r="K760" s="2" t="s">
        <v>82</v>
      </c>
      <c r="L760" s="2" t="s">
        <v>29</v>
      </c>
      <c r="M760" s="2" t="s">
        <v>30</v>
      </c>
      <c r="N760" s="2" t="s">
        <v>31</v>
      </c>
      <c r="O760" s="2" t="s">
        <v>32</v>
      </c>
      <c r="P760" s="4">
        <v>37.944099999999999</v>
      </c>
      <c r="Q760" s="4">
        <v>4</v>
      </c>
      <c r="R760" s="4">
        <v>-12.291600000000001</v>
      </c>
      <c r="S760" s="2" t="s">
        <v>85</v>
      </c>
      <c r="T760" s="2" t="s">
        <v>148</v>
      </c>
    </row>
    <row r="761" spans="1:20" x14ac:dyDescent="0.25">
      <c r="A761" s="2" t="s">
        <v>1733</v>
      </c>
      <c r="B761" s="3">
        <v>42478</v>
      </c>
      <c r="C761" s="3">
        <v>42478</v>
      </c>
      <c r="D761" s="2" t="s">
        <v>142</v>
      </c>
      <c r="E761" s="2" t="s">
        <v>1734</v>
      </c>
      <c r="F761" s="2" t="s">
        <v>1735</v>
      </c>
      <c r="G761" s="2" t="s">
        <v>24</v>
      </c>
      <c r="H761" s="2" t="s">
        <v>25</v>
      </c>
      <c r="I761" s="2" t="s">
        <v>90</v>
      </c>
      <c r="J761" s="2" t="s">
        <v>91</v>
      </c>
      <c r="K761" s="2" t="s">
        <v>61</v>
      </c>
      <c r="L761" s="2" t="s">
        <v>235</v>
      </c>
      <c r="M761" s="2" t="s">
        <v>30</v>
      </c>
      <c r="N761" s="2" t="s">
        <v>31</v>
      </c>
      <c r="O761" s="2" t="s">
        <v>236</v>
      </c>
      <c r="P761" s="4">
        <v>37.360199999999999</v>
      </c>
      <c r="Q761" s="4">
        <v>4</v>
      </c>
      <c r="R761" s="4">
        <v>-4.7092000000000001</v>
      </c>
      <c r="S761" s="2" t="s">
        <v>121</v>
      </c>
      <c r="T761" s="2" t="s">
        <v>108</v>
      </c>
    </row>
    <row r="762" spans="1:20" x14ac:dyDescent="0.25">
      <c r="A762" s="2" t="s">
        <v>1733</v>
      </c>
      <c r="B762" s="3">
        <v>42478</v>
      </c>
      <c r="C762" s="3">
        <v>42478</v>
      </c>
      <c r="D762" s="2" t="s">
        <v>142</v>
      </c>
      <c r="E762" s="2" t="s">
        <v>1734</v>
      </c>
      <c r="F762" s="2" t="s">
        <v>1735</v>
      </c>
      <c r="G762" s="2" t="s">
        <v>24</v>
      </c>
      <c r="H762" s="2" t="s">
        <v>25</v>
      </c>
      <c r="I762" s="2" t="s">
        <v>90</v>
      </c>
      <c r="J762" s="2" t="s">
        <v>91</v>
      </c>
      <c r="K762" s="2" t="s">
        <v>61</v>
      </c>
      <c r="L762" s="2" t="s">
        <v>890</v>
      </c>
      <c r="M762" s="2" t="s">
        <v>30</v>
      </c>
      <c r="N762" s="2" t="s">
        <v>63</v>
      </c>
      <c r="O762" s="2" t="s">
        <v>891</v>
      </c>
      <c r="P762" s="4">
        <v>207.63229999999999</v>
      </c>
      <c r="Q762" s="4">
        <v>1</v>
      </c>
      <c r="R762" s="4">
        <v>88.724900000000005</v>
      </c>
      <c r="S762" s="2" t="s">
        <v>121</v>
      </c>
      <c r="T762" s="2" t="s">
        <v>108</v>
      </c>
    </row>
    <row r="763" spans="1:20" x14ac:dyDescent="0.25">
      <c r="A763" s="2" t="s">
        <v>1736</v>
      </c>
      <c r="B763" s="3">
        <v>43088</v>
      </c>
      <c r="C763" s="3">
        <v>43089</v>
      </c>
      <c r="D763" s="2" t="s">
        <v>55</v>
      </c>
      <c r="E763" s="2" t="s">
        <v>231</v>
      </c>
      <c r="F763" s="2" t="s">
        <v>232</v>
      </c>
      <c r="G763" s="2" t="s">
        <v>38</v>
      </c>
      <c r="H763" s="2" t="s">
        <v>25</v>
      </c>
      <c r="I763" s="2" t="s">
        <v>539</v>
      </c>
      <c r="J763" s="2" t="s">
        <v>91</v>
      </c>
      <c r="K763" s="2" t="s">
        <v>61</v>
      </c>
      <c r="L763" s="2" t="s">
        <v>29</v>
      </c>
      <c r="M763" s="2" t="s">
        <v>30</v>
      </c>
      <c r="N763" s="2" t="s">
        <v>31</v>
      </c>
      <c r="O763" s="2" t="s">
        <v>32</v>
      </c>
      <c r="P763" s="4">
        <v>26.4331</v>
      </c>
      <c r="Q763" s="4">
        <v>4</v>
      </c>
      <c r="R763" s="4">
        <v>0.21479999999999999</v>
      </c>
      <c r="S763" s="2" t="s">
        <v>33</v>
      </c>
      <c r="T763" s="2" t="s">
        <v>76</v>
      </c>
    </row>
    <row r="764" spans="1:20" x14ac:dyDescent="0.25">
      <c r="A764" s="2" t="s">
        <v>1737</v>
      </c>
      <c r="B764" s="3">
        <v>41748</v>
      </c>
      <c r="C764" s="3">
        <v>41748</v>
      </c>
      <c r="D764" s="2" t="s">
        <v>48</v>
      </c>
      <c r="E764" s="2" t="s">
        <v>95</v>
      </c>
      <c r="F764" s="2" t="s">
        <v>96</v>
      </c>
      <c r="G764" s="2" t="s">
        <v>58</v>
      </c>
      <c r="H764" s="2" t="s">
        <v>25</v>
      </c>
      <c r="I764" s="2" t="s">
        <v>527</v>
      </c>
      <c r="J764" s="2" t="s">
        <v>496</v>
      </c>
      <c r="K764" s="2" t="s">
        <v>147</v>
      </c>
      <c r="L764" s="2" t="s">
        <v>228</v>
      </c>
      <c r="M764" s="2" t="s">
        <v>30</v>
      </c>
      <c r="N764" s="2" t="s">
        <v>42</v>
      </c>
      <c r="O764" s="2" t="s">
        <v>229</v>
      </c>
      <c r="P764" s="4">
        <v>664.00819999999999</v>
      </c>
      <c r="Q764" s="4">
        <v>8</v>
      </c>
      <c r="R764" s="4">
        <v>-60.954500000000003</v>
      </c>
      <c r="S764" s="2" t="s">
        <v>121</v>
      </c>
      <c r="T764" s="2" t="s">
        <v>108</v>
      </c>
    </row>
    <row r="765" spans="1:20" x14ac:dyDescent="0.25">
      <c r="A765" s="2" t="s">
        <v>1737</v>
      </c>
      <c r="B765" s="3">
        <v>41748</v>
      </c>
      <c r="C765" s="3">
        <v>41748</v>
      </c>
      <c r="D765" s="2" t="s">
        <v>48</v>
      </c>
      <c r="E765" s="2" t="s">
        <v>95</v>
      </c>
      <c r="F765" s="2" t="s">
        <v>96</v>
      </c>
      <c r="G765" s="2" t="s">
        <v>58</v>
      </c>
      <c r="H765" s="2" t="s">
        <v>25</v>
      </c>
      <c r="I765" s="2" t="s">
        <v>527</v>
      </c>
      <c r="J765" s="2" t="s">
        <v>496</v>
      </c>
      <c r="K765" s="2" t="s">
        <v>147</v>
      </c>
      <c r="L765" s="2" t="s">
        <v>154</v>
      </c>
      <c r="M765" s="2" t="s">
        <v>30</v>
      </c>
      <c r="N765" s="2" t="s">
        <v>42</v>
      </c>
      <c r="O765" s="2" t="s">
        <v>155</v>
      </c>
      <c r="P765" s="4">
        <v>321.26459999999997</v>
      </c>
      <c r="Q765" s="4">
        <v>7</v>
      </c>
      <c r="R765" s="4">
        <v>37.979300000000002</v>
      </c>
      <c r="S765" s="2" t="s">
        <v>121</v>
      </c>
      <c r="T765" s="2" t="s">
        <v>108</v>
      </c>
    </row>
    <row r="766" spans="1:20" x14ac:dyDescent="0.25">
      <c r="A766" s="2" t="s">
        <v>1737</v>
      </c>
      <c r="B766" s="3">
        <v>41748</v>
      </c>
      <c r="C766" s="3">
        <v>41748</v>
      </c>
      <c r="D766" s="2" t="s">
        <v>48</v>
      </c>
      <c r="E766" s="2" t="s">
        <v>95</v>
      </c>
      <c r="F766" s="2" t="s">
        <v>96</v>
      </c>
      <c r="G766" s="2" t="s">
        <v>58</v>
      </c>
      <c r="H766" s="2" t="s">
        <v>25</v>
      </c>
      <c r="I766" s="2" t="s">
        <v>527</v>
      </c>
      <c r="J766" s="2" t="s">
        <v>496</v>
      </c>
      <c r="K766" s="2" t="s">
        <v>147</v>
      </c>
      <c r="L766" s="2" t="s">
        <v>29</v>
      </c>
      <c r="M766" s="2" t="s">
        <v>30</v>
      </c>
      <c r="N766" s="2" t="s">
        <v>31</v>
      </c>
      <c r="O766" s="2" t="s">
        <v>32</v>
      </c>
      <c r="P766" s="4">
        <v>42.034500000000001</v>
      </c>
      <c r="Q766" s="4">
        <v>3</v>
      </c>
      <c r="R766" s="4">
        <v>12.3422</v>
      </c>
      <c r="S766" s="2" t="s">
        <v>121</v>
      </c>
      <c r="T766" s="2" t="s">
        <v>108</v>
      </c>
    </row>
    <row r="767" spans="1:20" x14ac:dyDescent="0.25">
      <c r="A767" s="2" t="s">
        <v>1738</v>
      </c>
      <c r="B767" s="3">
        <v>42549</v>
      </c>
      <c r="C767" s="3">
        <v>42549</v>
      </c>
      <c r="D767" s="2" t="s">
        <v>55</v>
      </c>
      <c r="E767" s="2" t="s">
        <v>1739</v>
      </c>
      <c r="F767" s="2" t="s">
        <v>1740</v>
      </c>
      <c r="G767" s="2" t="s">
        <v>38</v>
      </c>
      <c r="H767" s="2" t="s">
        <v>25</v>
      </c>
      <c r="I767" s="2" t="s">
        <v>1114</v>
      </c>
      <c r="J767" s="2" t="s">
        <v>138</v>
      </c>
      <c r="K767" s="2" t="s">
        <v>82</v>
      </c>
      <c r="L767" s="2" t="s">
        <v>41</v>
      </c>
      <c r="M767" s="2" t="s">
        <v>30</v>
      </c>
      <c r="N767" s="2" t="s">
        <v>42</v>
      </c>
      <c r="O767" s="2" t="s">
        <v>43</v>
      </c>
      <c r="P767" s="4">
        <v>437.42149999999998</v>
      </c>
      <c r="Q767" s="4">
        <v>5</v>
      </c>
      <c r="R767" s="4">
        <v>-137.26320000000001</v>
      </c>
      <c r="S767" s="2" t="s">
        <v>121</v>
      </c>
      <c r="T767" s="2" t="s">
        <v>133</v>
      </c>
    </row>
    <row r="768" spans="1:20" x14ac:dyDescent="0.25">
      <c r="A768" s="2" t="s">
        <v>1741</v>
      </c>
      <c r="B768" s="3">
        <v>42721</v>
      </c>
      <c r="C768" s="3">
        <v>42723</v>
      </c>
      <c r="D768" s="2" t="s">
        <v>55</v>
      </c>
      <c r="E768" s="2" t="s">
        <v>1742</v>
      </c>
      <c r="F768" s="2" t="s">
        <v>1743</v>
      </c>
      <c r="G768" s="2" t="s">
        <v>58</v>
      </c>
      <c r="H768" s="2" t="s">
        <v>25</v>
      </c>
      <c r="I768" s="2" t="s">
        <v>527</v>
      </c>
      <c r="J768" s="2" t="s">
        <v>496</v>
      </c>
      <c r="K768" s="2" t="s">
        <v>147</v>
      </c>
      <c r="L768" s="2" t="s">
        <v>323</v>
      </c>
      <c r="M768" s="2" t="s">
        <v>30</v>
      </c>
      <c r="N768" s="2" t="s">
        <v>31</v>
      </c>
      <c r="O768" s="2" t="s">
        <v>324</v>
      </c>
      <c r="P768" s="4">
        <v>136.0147</v>
      </c>
      <c r="Q768" s="4">
        <v>2</v>
      </c>
      <c r="R768" s="4">
        <v>32.834299999999999</v>
      </c>
      <c r="S768" s="2" t="s">
        <v>53</v>
      </c>
      <c r="T768" s="2" t="s">
        <v>76</v>
      </c>
    </row>
    <row r="769" spans="1:20" x14ac:dyDescent="0.25">
      <c r="A769" s="2" t="s">
        <v>1744</v>
      </c>
      <c r="B769" s="3">
        <v>42268</v>
      </c>
      <c r="C769" s="3">
        <v>42270</v>
      </c>
      <c r="D769" s="2" t="s">
        <v>21</v>
      </c>
      <c r="E769" s="2" t="s">
        <v>447</v>
      </c>
      <c r="F769" s="2" t="s">
        <v>448</v>
      </c>
      <c r="G769" s="2" t="s">
        <v>58</v>
      </c>
      <c r="H769" s="2" t="s">
        <v>25</v>
      </c>
      <c r="I769" s="2" t="s">
        <v>434</v>
      </c>
      <c r="J769" s="2" t="s">
        <v>435</v>
      </c>
      <c r="K769" s="2" t="s">
        <v>61</v>
      </c>
      <c r="L769" s="2" t="s">
        <v>193</v>
      </c>
      <c r="M769" s="2" t="s">
        <v>30</v>
      </c>
      <c r="N769" s="2" t="s">
        <v>42</v>
      </c>
      <c r="O769" s="2" t="s">
        <v>194</v>
      </c>
      <c r="P769" s="4">
        <v>583.26160000000004</v>
      </c>
      <c r="Q769" s="4">
        <v>2</v>
      </c>
      <c r="R769" s="4">
        <v>-107.2423</v>
      </c>
      <c r="S769" s="2" t="s">
        <v>53</v>
      </c>
      <c r="T769" s="2" t="s">
        <v>148</v>
      </c>
    </row>
    <row r="770" spans="1:20" x14ac:dyDescent="0.25">
      <c r="A770" s="2" t="s">
        <v>1745</v>
      </c>
      <c r="B770" s="3">
        <v>42303</v>
      </c>
      <c r="C770" s="3">
        <v>42306</v>
      </c>
      <c r="D770" s="2" t="s">
        <v>55</v>
      </c>
      <c r="E770" s="2" t="s">
        <v>1746</v>
      </c>
      <c r="F770" s="2" t="s">
        <v>1747</v>
      </c>
      <c r="G770" s="2" t="s">
        <v>24</v>
      </c>
      <c r="H770" s="2" t="s">
        <v>25</v>
      </c>
      <c r="I770" s="2" t="s">
        <v>902</v>
      </c>
      <c r="J770" s="2" t="s">
        <v>753</v>
      </c>
      <c r="K770" s="2" t="s">
        <v>147</v>
      </c>
      <c r="L770" s="2" t="s">
        <v>45</v>
      </c>
      <c r="M770" s="2" t="s">
        <v>30</v>
      </c>
      <c r="N770" s="2" t="s">
        <v>31</v>
      </c>
      <c r="O770" s="2" t="s">
        <v>46</v>
      </c>
      <c r="P770" s="4">
        <v>137.05340000000001</v>
      </c>
      <c r="Q770" s="4">
        <v>2</v>
      </c>
      <c r="R770" s="4">
        <v>-33.140999999999998</v>
      </c>
      <c r="S770" s="2" t="s">
        <v>92</v>
      </c>
      <c r="T770" s="2" t="s">
        <v>224</v>
      </c>
    </row>
    <row r="771" spans="1:20" x14ac:dyDescent="0.25">
      <c r="A771" s="2" t="s">
        <v>1748</v>
      </c>
      <c r="B771" s="3">
        <v>41875</v>
      </c>
      <c r="C771" s="3">
        <v>41878</v>
      </c>
      <c r="D771" s="2" t="s">
        <v>55</v>
      </c>
      <c r="E771" s="2" t="s">
        <v>1749</v>
      </c>
      <c r="F771" s="2" t="s">
        <v>1750</v>
      </c>
      <c r="G771" s="2" t="s">
        <v>58</v>
      </c>
      <c r="H771" s="2" t="s">
        <v>25</v>
      </c>
      <c r="I771" s="2" t="s">
        <v>1381</v>
      </c>
      <c r="J771" s="2" t="s">
        <v>127</v>
      </c>
      <c r="K771" s="2" t="s">
        <v>82</v>
      </c>
      <c r="L771" s="2" t="s">
        <v>513</v>
      </c>
      <c r="M771" s="2" t="s">
        <v>30</v>
      </c>
      <c r="N771" s="2" t="s">
        <v>63</v>
      </c>
      <c r="O771" s="2" t="s">
        <v>514</v>
      </c>
      <c r="P771" s="4">
        <v>62.695900000000002</v>
      </c>
      <c r="Q771" s="4">
        <v>2</v>
      </c>
      <c r="R771" s="4">
        <v>-11.2789</v>
      </c>
      <c r="S771" s="2" t="s">
        <v>92</v>
      </c>
      <c r="T771" s="2" t="s">
        <v>34</v>
      </c>
    </row>
    <row r="772" spans="1:20" x14ac:dyDescent="0.25">
      <c r="A772" s="2" t="s">
        <v>1748</v>
      </c>
      <c r="B772" s="3">
        <v>41875</v>
      </c>
      <c r="C772" s="3">
        <v>41878</v>
      </c>
      <c r="D772" s="2" t="s">
        <v>55</v>
      </c>
      <c r="E772" s="2" t="s">
        <v>1749</v>
      </c>
      <c r="F772" s="2" t="s">
        <v>1750</v>
      </c>
      <c r="G772" s="2" t="s">
        <v>58</v>
      </c>
      <c r="H772" s="2" t="s">
        <v>25</v>
      </c>
      <c r="I772" s="2" t="s">
        <v>1381</v>
      </c>
      <c r="J772" s="2" t="s">
        <v>127</v>
      </c>
      <c r="K772" s="2" t="s">
        <v>82</v>
      </c>
      <c r="L772" s="2" t="s">
        <v>235</v>
      </c>
      <c r="M772" s="2" t="s">
        <v>30</v>
      </c>
      <c r="N772" s="2" t="s">
        <v>31</v>
      </c>
      <c r="O772" s="2" t="s">
        <v>236</v>
      </c>
      <c r="P772" s="4">
        <v>14.5684</v>
      </c>
      <c r="Q772" s="4">
        <v>2</v>
      </c>
      <c r="R772" s="4">
        <v>3.3727999999999998</v>
      </c>
      <c r="S772" s="2" t="s">
        <v>92</v>
      </c>
      <c r="T772" s="2" t="s">
        <v>34</v>
      </c>
    </row>
    <row r="773" spans="1:20" x14ac:dyDescent="0.25">
      <c r="A773" s="2" t="s">
        <v>1751</v>
      </c>
      <c r="B773" s="3">
        <v>41847</v>
      </c>
      <c r="C773" s="3">
        <v>41848</v>
      </c>
      <c r="D773" s="2" t="s">
        <v>55</v>
      </c>
      <c r="E773" s="2" t="s">
        <v>1752</v>
      </c>
      <c r="F773" s="2" t="s">
        <v>1753</v>
      </c>
      <c r="G773" s="2" t="s">
        <v>38</v>
      </c>
      <c r="H773" s="2" t="s">
        <v>25</v>
      </c>
      <c r="I773" s="2" t="s">
        <v>576</v>
      </c>
      <c r="J773" s="2" t="s">
        <v>470</v>
      </c>
      <c r="K773" s="2" t="s">
        <v>28</v>
      </c>
      <c r="L773" s="2" t="s">
        <v>677</v>
      </c>
      <c r="M773" s="2" t="s">
        <v>30</v>
      </c>
      <c r="N773" s="2" t="s">
        <v>162</v>
      </c>
      <c r="O773" s="2" t="s">
        <v>678</v>
      </c>
      <c r="P773" s="4">
        <v>503.84070000000003</v>
      </c>
      <c r="Q773" s="4">
        <v>1</v>
      </c>
      <c r="R773" s="4">
        <v>312.23849999999999</v>
      </c>
      <c r="S773" s="2" t="s">
        <v>33</v>
      </c>
      <c r="T773" s="2" t="s">
        <v>86</v>
      </c>
    </row>
    <row r="774" spans="1:20" x14ac:dyDescent="0.25">
      <c r="A774" s="2" t="s">
        <v>1751</v>
      </c>
      <c r="B774" s="3">
        <v>41847</v>
      </c>
      <c r="C774" s="3">
        <v>41848</v>
      </c>
      <c r="D774" s="2" t="s">
        <v>55</v>
      </c>
      <c r="E774" s="2" t="s">
        <v>1752</v>
      </c>
      <c r="F774" s="2" t="s">
        <v>1753</v>
      </c>
      <c r="G774" s="2" t="s">
        <v>38</v>
      </c>
      <c r="H774" s="2" t="s">
        <v>25</v>
      </c>
      <c r="I774" s="2" t="s">
        <v>576</v>
      </c>
      <c r="J774" s="2" t="s">
        <v>470</v>
      </c>
      <c r="K774" s="2" t="s">
        <v>28</v>
      </c>
      <c r="L774" s="2" t="s">
        <v>316</v>
      </c>
      <c r="M774" s="2" t="s">
        <v>30</v>
      </c>
      <c r="N774" s="2" t="s">
        <v>42</v>
      </c>
      <c r="O774" s="2" t="s">
        <v>317</v>
      </c>
      <c r="P774" s="4">
        <v>269.51490000000001</v>
      </c>
      <c r="Q774" s="4">
        <v>5</v>
      </c>
      <c r="R774" s="4">
        <v>81.210700000000003</v>
      </c>
      <c r="S774" s="2" t="s">
        <v>33</v>
      </c>
      <c r="T774" s="2" t="s">
        <v>86</v>
      </c>
    </row>
    <row r="775" spans="1:20" x14ac:dyDescent="0.25">
      <c r="A775" s="2" t="s">
        <v>1754</v>
      </c>
      <c r="B775" s="3">
        <v>42142</v>
      </c>
      <c r="C775" s="3">
        <v>42143</v>
      </c>
      <c r="D775" s="2" t="s">
        <v>21</v>
      </c>
      <c r="E775" s="2" t="s">
        <v>1752</v>
      </c>
      <c r="F775" s="2" t="s">
        <v>1753</v>
      </c>
      <c r="G775" s="2" t="s">
        <v>58</v>
      </c>
      <c r="H775" s="2" t="s">
        <v>25</v>
      </c>
      <c r="I775" s="2" t="s">
        <v>184</v>
      </c>
      <c r="J775" s="2" t="s">
        <v>185</v>
      </c>
      <c r="K775" s="2" t="s">
        <v>147</v>
      </c>
      <c r="L775" s="2" t="s">
        <v>66</v>
      </c>
      <c r="M775" s="2" t="s">
        <v>30</v>
      </c>
      <c r="N775" s="2" t="s">
        <v>31</v>
      </c>
      <c r="O775" s="2" t="s">
        <v>67</v>
      </c>
      <c r="P775" s="4">
        <v>18.283300000000001</v>
      </c>
      <c r="Q775" s="4">
        <v>8</v>
      </c>
      <c r="R775" s="4">
        <v>1.1144000000000001</v>
      </c>
      <c r="S775" s="2" t="s">
        <v>33</v>
      </c>
      <c r="T775" s="2" t="s">
        <v>122</v>
      </c>
    </row>
    <row r="776" spans="1:20" x14ac:dyDescent="0.25">
      <c r="A776" s="2" t="s">
        <v>1755</v>
      </c>
      <c r="B776" s="3">
        <v>42199</v>
      </c>
      <c r="C776" s="3">
        <v>42203</v>
      </c>
      <c r="D776" s="2" t="s">
        <v>55</v>
      </c>
      <c r="E776" s="2" t="s">
        <v>1756</v>
      </c>
      <c r="F776" s="2" t="s">
        <v>1757</v>
      </c>
      <c r="G776" s="2" t="s">
        <v>58</v>
      </c>
      <c r="H776" s="2" t="s">
        <v>25</v>
      </c>
      <c r="I776" s="2" t="s">
        <v>799</v>
      </c>
      <c r="J776" s="2" t="s">
        <v>160</v>
      </c>
      <c r="K776" s="2" t="s">
        <v>61</v>
      </c>
      <c r="L776" s="2" t="s">
        <v>29</v>
      </c>
      <c r="M776" s="2" t="s">
        <v>30</v>
      </c>
      <c r="N776" s="2" t="s">
        <v>31</v>
      </c>
      <c r="O776" s="2" t="s">
        <v>32</v>
      </c>
      <c r="P776" s="4">
        <v>100.3806</v>
      </c>
      <c r="Q776" s="4">
        <v>2</v>
      </c>
      <c r="R776" s="4">
        <v>42.078699999999998</v>
      </c>
      <c r="S776" s="2" t="s">
        <v>75</v>
      </c>
      <c r="T776" s="2" t="s">
        <v>86</v>
      </c>
    </row>
    <row r="777" spans="1:20" x14ac:dyDescent="0.25">
      <c r="A777" s="2" t="s">
        <v>1758</v>
      </c>
      <c r="B777" s="3">
        <v>41783</v>
      </c>
      <c r="C777" s="3">
        <v>41783</v>
      </c>
      <c r="D777" s="2" t="s">
        <v>48</v>
      </c>
      <c r="E777" s="2" t="s">
        <v>1628</v>
      </c>
      <c r="F777" s="2" t="s">
        <v>1629</v>
      </c>
      <c r="G777" s="2" t="s">
        <v>58</v>
      </c>
      <c r="H777" s="2" t="s">
        <v>25</v>
      </c>
      <c r="I777" s="2" t="s">
        <v>343</v>
      </c>
      <c r="J777" s="2" t="s">
        <v>153</v>
      </c>
      <c r="K777" s="2" t="s">
        <v>147</v>
      </c>
      <c r="L777" s="2" t="s">
        <v>186</v>
      </c>
      <c r="M777" s="2" t="s">
        <v>30</v>
      </c>
      <c r="N777" s="2" t="s">
        <v>31</v>
      </c>
      <c r="O777" s="2" t="s">
        <v>187</v>
      </c>
      <c r="P777" s="4">
        <v>29.064399999999999</v>
      </c>
      <c r="Q777" s="4">
        <v>2</v>
      </c>
      <c r="R777" s="4">
        <v>6.1265999999999998</v>
      </c>
      <c r="S777" s="2" t="s">
        <v>121</v>
      </c>
      <c r="T777" s="2" t="s">
        <v>122</v>
      </c>
    </row>
    <row r="778" spans="1:20" x14ac:dyDescent="0.25">
      <c r="A778" s="2" t="s">
        <v>1759</v>
      </c>
      <c r="B778" s="3">
        <v>43036</v>
      </c>
      <c r="C778" s="3">
        <v>43038</v>
      </c>
      <c r="D778" s="2" t="s">
        <v>21</v>
      </c>
      <c r="E778" s="2" t="s">
        <v>182</v>
      </c>
      <c r="F778" s="2" t="s">
        <v>183</v>
      </c>
      <c r="G778" s="2" t="s">
        <v>58</v>
      </c>
      <c r="H778" s="2" t="s">
        <v>25</v>
      </c>
      <c r="I778" s="2" t="s">
        <v>394</v>
      </c>
      <c r="J778" s="2" t="s">
        <v>289</v>
      </c>
      <c r="K778" s="2" t="s">
        <v>82</v>
      </c>
      <c r="L778" s="2" t="s">
        <v>612</v>
      </c>
      <c r="M778" s="2" t="s">
        <v>30</v>
      </c>
      <c r="N778" s="2" t="s">
        <v>162</v>
      </c>
      <c r="O778" s="2" t="s">
        <v>613</v>
      </c>
      <c r="P778" s="4">
        <v>1856.6683</v>
      </c>
      <c r="Q778" s="4">
        <v>3</v>
      </c>
      <c r="R778" s="4">
        <v>-1327.9166</v>
      </c>
      <c r="S778" s="2" t="s">
        <v>53</v>
      </c>
      <c r="T778" s="2" t="s">
        <v>224</v>
      </c>
    </row>
    <row r="779" spans="1:20" x14ac:dyDescent="0.25">
      <c r="A779" s="2" t="s">
        <v>1760</v>
      </c>
      <c r="B779" s="3">
        <v>42312</v>
      </c>
      <c r="C779" s="3">
        <v>42312</v>
      </c>
      <c r="D779" s="2" t="s">
        <v>55</v>
      </c>
      <c r="E779" s="2" t="s">
        <v>1761</v>
      </c>
      <c r="F779" s="2" t="s">
        <v>1762</v>
      </c>
      <c r="G779" s="2" t="s">
        <v>38</v>
      </c>
      <c r="H779" s="2" t="s">
        <v>25</v>
      </c>
      <c r="I779" s="2" t="s">
        <v>274</v>
      </c>
      <c r="J779" s="2" t="s">
        <v>146</v>
      </c>
      <c r="K779" s="2" t="s">
        <v>147</v>
      </c>
      <c r="L779" s="2" t="s">
        <v>254</v>
      </c>
      <c r="M779" s="2" t="s">
        <v>30</v>
      </c>
      <c r="N779" s="2" t="s">
        <v>162</v>
      </c>
      <c r="O779" s="2" t="s">
        <v>255</v>
      </c>
      <c r="P779" s="4">
        <v>157.17740000000001</v>
      </c>
      <c r="Q779" s="4">
        <v>8</v>
      </c>
      <c r="R779" s="4">
        <v>-6.9524999999999997</v>
      </c>
      <c r="S779" s="2" t="s">
        <v>121</v>
      </c>
      <c r="T779" s="2" t="s">
        <v>93</v>
      </c>
    </row>
    <row r="780" spans="1:20" x14ac:dyDescent="0.25">
      <c r="A780" s="2" t="s">
        <v>1763</v>
      </c>
      <c r="B780" s="3">
        <v>43080</v>
      </c>
      <c r="C780" s="3">
        <v>43082</v>
      </c>
      <c r="D780" s="2" t="s">
        <v>48</v>
      </c>
      <c r="E780" s="2" t="s">
        <v>731</v>
      </c>
      <c r="F780" s="2" t="s">
        <v>732</v>
      </c>
      <c r="G780" s="2" t="s">
        <v>38</v>
      </c>
      <c r="H780" s="2" t="s">
        <v>25</v>
      </c>
      <c r="I780" s="2" t="s">
        <v>402</v>
      </c>
      <c r="J780" s="2" t="s">
        <v>403</v>
      </c>
      <c r="K780" s="2" t="s">
        <v>147</v>
      </c>
      <c r="L780" s="2" t="s">
        <v>193</v>
      </c>
      <c r="M780" s="2" t="s">
        <v>30</v>
      </c>
      <c r="N780" s="2" t="s">
        <v>42</v>
      </c>
      <c r="O780" s="2" t="s">
        <v>194</v>
      </c>
      <c r="P780" s="4">
        <v>156.67160000000001</v>
      </c>
      <c r="Q780" s="4">
        <v>3</v>
      </c>
      <c r="R780" s="4">
        <v>42.942700000000002</v>
      </c>
      <c r="S780" s="2" t="s">
        <v>53</v>
      </c>
      <c r="T780" s="2" t="s">
        <v>76</v>
      </c>
    </row>
    <row r="781" spans="1:20" x14ac:dyDescent="0.25">
      <c r="A781" s="2" t="s">
        <v>1764</v>
      </c>
      <c r="B781" s="3">
        <v>42871</v>
      </c>
      <c r="C781" s="3">
        <v>42874</v>
      </c>
      <c r="D781" s="2" t="s">
        <v>55</v>
      </c>
      <c r="E781" s="2" t="s">
        <v>426</v>
      </c>
      <c r="F781" s="2" t="s">
        <v>427</v>
      </c>
      <c r="G781" s="2" t="s">
        <v>58</v>
      </c>
      <c r="H781" s="2" t="s">
        <v>25</v>
      </c>
      <c r="I781" s="2" t="s">
        <v>495</v>
      </c>
      <c r="J781" s="2" t="s">
        <v>496</v>
      </c>
      <c r="K781" s="2" t="s">
        <v>147</v>
      </c>
      <c r="L781" s="2" t="s">
        <v>41</v>
      </c>
      <c r="M781" s="2" t="s">
        <v>30</v>
      </c>
      <c r="N781" s="2" t="s">
        <v>42</v>
      </c>
      <c r="O781" s="2" t="s">
        <v>43</v>
      </c>
      <c r="P781" s="4">
        <v>588.29409999999996</v>
      </c>
      <c r="Q781" s="4">
        <v>4</v>
      </c>
      <c r="R781" s="4">
        <v>350.9427</v>
      </c>
      <c r="S781" s="2" t="s">
        <v>92</v>
      </c>
      <c r="T781" s="2" t="s">
        <v>122</v>
      </c>
    </row>
    <row r="782" spans="1:20" x14ac:dyDescent="0.25">
      <c r="A782" s="2" t="s">
        <v>1765</v>
      </c>
      <c r="B782" s="3">
        <v>42215</v>
      </c>
      <c r="C782" s="3">
        <v>42215</v>
      </c>
      <c r="D782" s="2" t="s">
        <v>142</v>
      </c>
      <c r="E782" s="2" t="s">
        <v>1766</v>
      </c>
      <c r="F782" s="2" t="s">
        <v>1767</v>
      </c>
      <c r="G782" s="2" t="s">
        <v>58</v>
      </c>
      <c r="H782" s="2" t="s">
        <v>25</v>
      </c>
      <c r="I782" s="2" t="s">
        <v>917</v>
      </c>
      <c r="J782" s="2" t="s">
        <v>120</v>
      </c>
      <c r="K782" s="2" t="s">
        <v>61</v>
      </c>
      <c r="L782" s="2" t="s">
        <v>618</v>
      </c>
      <c r="M782" s="2" t="s">
        <v>30</v>
      </c>
      <c r="N782" s="2" t="s">
        <v>63</v>
      </c>
      <c r="O782" s="2" t="s">
        <v>619</v>
      </c>
      <c r="P782" s="4">
        <v>689.50720000000001</v>
      </c>
      <c r="Q782" s="4">
        <v>3</v>
      </c>
      <c r="R782" s="4">
        <v>168.91579999999999</v>
      </c>
      <c r="S782" s="2" t="s">
        <v>121</v>
      </c>
      <c r="T782" s="2" t="s">
        <v>86</v>
      </c>
    </row>
    <row r="783" spans="1:20" x14ac:dyDescent="0.25">
      <c r="A783" s="2" t="s">
        <v>1765</v>
      </c>
      <c r="B783" s="3">
        <v>42215</v>
      </c>
      <c r="C783" s="3">
        <v>42215</v>
      </c>
      <c r="D783" s="2" t="s">
        <v>142</v>
      </c>
      <c r="E783" s="2" t="s">
        <v>1766</v>
      </c>
      <c r="F783" s="2" t="s">
        <v>1767</v>
      </c>
      <c r="G783" s="2" t="s">
        <v>58</v>
      </c>
      <c r="H783" s="2" t="s">
        <v>25</v>
      </c>
      <c r="I783" s="2" t="s">
        <v>917</v>
      </c>
      <c r="J783" s="2" t="s">
        <v>120</v>
      </c>
      <c r="K783" s="2" t="s">
        <v>61</v>
      </c>
      <c r="L783" s="2" t="s">
        <v>218</v>
      </c>
      <c r="M783" s="2" t="s">
        <v>30</v>
      </c>
      <c r="N783" s="2" t="s">
        <v>31</v>
      </c>
      <c r="O783" s="2" t="s">
        <v>219</v>
      </c>
      <c r="P783" s="4">
        <v>45.510899999999999</v>
      </c>
      <c r="Q783" s="4">
        <v>3</v>
      </c>
      <c r="R783" s="4">
        <v>-7.5743</v>
      </c>
      <c r="S783" s="2" t="s">
        <v>121</v>
      </c>
      <c r="T783" s="2" t="s">
        <v>86</v>
      </c>
    </row>
    <row r="784" spans="1:20" x14ac:dyDescent="0.25">
      <c r="A784" s="2" t="s">
        <v>1765</v>
      </c>
      <c r="B784" s="3">
        <v>42215</v>
      </c>
      <c r="C784" s="3">
        <v>42215</v>
      </c>
      <c r="D784" s="2" t="s">
        <v>142</v>
      </c>
      <c r="E784" s="2" t="s">
        <v>1766</v>
      </c>
      <c r="F784" s="2" t="s">
        <v>1767</v>
      </c>
      <c r="G784" s="2" t="s">
        <v>58</v>
      </c>
      <c r="H784" s="2" t="s">
        <v>25</v>
      </c>
      <c r="I784" s="2" t="s">
        <v>917</v>
      </c>
      <c r="J784" s="2" t="s">
        <v>120</v>
      </c>
      <c r="K784" s="2" t="s">
        <v>61</v>
      </c>
      <c r="L784" s="2" t="s">
        <v>174</v>
      </c>
      <c r="M784" s="2" t="s">
        <v>30</v>
      </c>
      <c r="N784" s="2" t="s">
        <v>31</v>
      </c>
      <c r="O784" s="2" t="s">
        <v>175</v>
      </c>
      <c r="P784" s="4">
        <v>46.814700000000002</v>
      </c>
      <c r="Q784" s="4">
        <v>3</v>
      </c>
      <c r="R784" s="4">
        <v>-2.8946999999999998</v>
      </c>
      <c r="S784" s="2" t="s">
        <v>121</v>
      </c>
      <c r="T784" s="2" t="s">
        <v>86</v>
      </c>
    </row>
    <row r="785" spans="1:20" x14ac:dyDescent="0.25">
      <c r="A785" s="2" t="s">
        <v>1768</v>
      </c>
      <c r="B785" s="3">
        <v>42041</v>
      </c>
      <c r="C785" s="3">
        <v>42045</v>
      </c>
      <c r="D785" s="2" t="s">
        <v>21</v>
      </c>
      <c r="E785" s="2" t="s">
        <v>467</v>
      </c>
      <c r="F785" s="2" t="s">
        <v>468</v>
      </c>
      <c r="G785" s="2" t="s">
        <v>24</v>
      </c>
      <c r="H785" s="2" t="s">
        <v>25</v>
      </c>
      <c r="I785" s="2" t="s">
        <v>631</v>
      </c>
      <c r="J785" s="2" t="s">
        <v>632</v>
      </c>
      <c r="K785" s="2" t="s">
        <v>82</v>
      </c>
      <c r="L785" s="2" t="s">
        <v>323</v>
      </c>
      <c r="M785" s="2" t="s">
        <v>30</v>
      </c>
      <c r="N785" s="2" t="s">
        <v>31</v>
      </c>
      <c r="O785" s="2" t="s">
        <v>324</v>
      </c>
      <c r="P785" s="4">
        <v>56.424900000000001</v>
      </c>
      <c r="Q785" s="4">
        <v>3</v>
      </c>
      <c r="R785" s="4">
        <v>-21.514800000000001</v>
      </c>
      <c r="S785" s="2" t="s">
        <v>75</v>
      </c>
      <c r="T785" s="2" t="s">
        <v>101</v>
      </c>
    </row>
    <row r="786" spans="1:20" x14ac:dyDescent="0.25">
      <c r="A786" s="2" t="s">
        <v>1769</v>
      </c>
      <c r="B786" s="3">
        <v>41773</v>
      </c>
      <c r="C786" s="3">
        <v>41773</v>
      </c>
      <c r="D786" s="2" t="s">
        <v>55</v>
      </c>
      <c r="E786" s="2" t="s">
        <v>1770</v>
      </c>
      <c r="F786" s="2" t="s">
        <v>1771</v>
      </c>
      <c r="G786" s="2" t="s">
        <v>58</v>
      </c>
      <c r="H786" s="2" t="s">
        <v>25</v>
      </c>
      <c r="I786" s="2" t="s">
        <v>1053</v>
      </c>
      <c r="J786" s="2" t="s">
        <v>806</v>
      </c>
      <c r="K786" s="2" t="s">
        <v>28</v>
      </c>
      <c r="L786" s="2" t="s">
        <v>113</v>
      </c>
      <c r="M786" s="2" t="s">
        <v>30</v>
      </c>
      <c r="N786" s="2" t="s">
        <v>31</v>
      </c>
      <c r="O786" s="2" t="s">
        <v>114</v>
      </c>
      <c r="P786" s="4">
        <v>99.094499999999996</v>
      </c>
      <c r="Q786" s="4">
        <v>3</v>
      </c>
      <c r="R786" s="4">
        <v>27.468699999999998</v>
      </c>
      <c r="S786" s="2" t="s">
        <v>121</v>
      </c>
      <c r="T786" s="2" t="s">
        <v>122</v>
      </c>
    </row>
    <row r="787" spans="1:20" x14ac:dyDescent="0.25">
      <c r="A787" s="2" t="s">
        <v>1769</v>
      </c>
      <c r="B787" s="3">
        <v>41773</v>
      </c>
      <c r="C787" s="3">
        <v>41773</v>
      </c>
      <c r="D787" s="2" t="s">
        <v>55</v>
      </c>
      <c r="E787" s="2" t="s">
        <v>1770</v>
      </c>
      <c r="F787" s="2" t="s">
        <v>1771</v>
      </c>
      <c r="G787" s="2" t="s">
        <v>58</v>
      </c>
      <c r="H787" s="2" t="s">
        <v>25</v>
      </c>
      <c r="I787" s="2" t="s">
        <v>1053</v>
      </c>
      <c r="J787" s="2" t="s">
        <v>806</v>
      </c>
      <c r="K787" s="2" t="s">
        <v>28</v>
      </c>
      <c r="L787" s="2" t="s">
        <v>235</v>
      </c>
      <c r="M787" s="2" t="s">
        <v>30</v>
      </c>
      <c r="N787" s="2" t="s">
        <v>31</v>
      </c>
      <c r="O787" s="2" t="s">
        <v>236</v>
      </c>
      <c r="P787" s="4">
        <v>33.011699999999998</v>
      </c>
      <c r="Q787" s="4">
        <v>8</v>
      </c>
      <c r="R787" s="4">
        <v>-9.34</v>
      </c>
      <c r="S787" s="2" t="s">
        <v>121</v>
      </c>
      <c r="T787" s="2" t="s">
        <v>122</v>
      </c>
    </row>
    <row r="788" spans="1:20" x14ac:dyDescent="0.25">
      <c r="A788" s="2" t="s">
        <v>1769</v>
      </c>
      <c r="B788" s="3">
        <v>41773</v>
      </c>
      <c r="C788" s="3">
        <v>41773</v>
      </c>
      <c r="D788" s="2" t="s">
        <v>55</v>
      </c>
      <c r="E788" s="2" t="s">
        <v>1770</v>
      </c>
      <c r="F788" s="2" t="s">
        <v>1771</v>
      </c>
      <c r="G788" s="2" t="s">
        <v>58</v>
      </c>
      <c r="H788" s="2" t="s">
        <v>25</v>
      </c>
      <c r="I788" s="2" t="s">
        <v>1053</v>
      </c>
      <c r="J788" s="2" t="s">
        <v>806</v>
      </c>
      <c r="K788" s="2" t="s">
        <v>28</v>
      </c>
      <c r="L788" s="2" t="s">
        <v>66</v>
      </c>
      <c r="M788" s="2" t="s">
        <v>30</v>
      </c>
      <c r="N788" s="2" t="s">
        <v>31</v>
      </c>
      <c r="O788" s="2" t="s">
        <v>67</v>
      </c>
      <c r="P788" s="4">
        <v>107.16679999999999</v>
      </c>
      <c r="Q788" s="4">
        <v>1</v>
      </c>
      <c r="R788" s="4">
        <v>48.289000000000001</v>
      </c>
      <c r="S788" s="2" t="s">
        <v>121</v>
      </c>
      <c r="T788" s="2" t="s">
        <v>122</v>
      </c>
    </row>
    <row r="789" spans="1:20" x14ac:dyDescent="0.25">
      <c r="A789" s="2" t="s">
        <v>1769</v>
      </c>
      <c r="B789" s="3">
        <v>41773</v>
      </c>
      <c r="C789" s="3">
        <v>41773</v>
      </c>
      <c r="D789" s="2" t="s">
        <v>55</v>
      </c>
      <c r="E789" s="2" t="s">
        <v>1770</v>
      </c>
      <c r="F789" s="2" t="s">
        <v>1771</v>
      </c>
      <c r="G789" s="2" t="s">
        <v>58</v>
      </c>
      <c r="H789" s="2" t="s">
        <v>25</v>
      </c>
      <c r="I789" s="2" t="s">
        <v>1053</v>
      </c>
      <c r="J789" s="2" t="s">
        <v>806</v>
      </c>
      <c r="K789" s="2" t="s">
        <v>28</v>
      </c>
      <c r="L789" s="2" t="s">
        <v>719</v>
      </c>
      <c r="M789" s="2" t="s">
        <v>30</v>
      </c>
      <c r="N789" s="2" t="s">
        <v>63</v>
      </c>
      <c r="O789" s="2" t="s">
        <v>720</v>
      </c>
      <c r="P789" s="4">
        <v>284.72379999999998</v>
      </c>
      <c r="Q789" s="4">
        <v>6</v>
      </c>
      <c r="R789" s="4">
        <v>96.561300000000003</v>
      </c>
      <c r="S789" s="2" t="s">
        <v>121</v>
      </c>
      <c r="T789" s="2" t="s">
        <v>122</v>
      </c>
    </row>
    <row r="790" spans="1:20" x14ac:dyDescent="0.25">
      <c r="A790" s="2" t="s">
        <v>1772</v>
      </c>
      <c r="B790" s="3">
        <v>42952</v>
      </c>
      <c r="C790" s="3">
        <v>42955</v>
      </c>
      <c r="D790" s="2" t="s">
        <v>21</v>
      </c>
      <c r="E790" s="2" t="s">
        <v>1773</v>
      </c>
      <c r="F790" s="2" t="s">
        <v>1774</v>
      </c>
      <c r="G790" s="2" t="s">
        <v>58</v>
      </c>
      <c r="H790" s="2" t="s">
        <v>25</v>
      </c>
      <c r="I790" s="2" t="s">
        <v>394</v>
      </c>
      <c r="J790" s="2" t="s">
        <v>289</v>
      </c>
      <c r="K790" s="2" t="s">
        <v>82</v>
      </c>
      <c r="L790" s="2" t="s">
        <v>933</v>
      </c>
      <c r="M790" s="2" t="s">
        <v>30</v>
      </c>
      <c r="N790" s="2" t="s">
        <v>162</v>
      </c>
      <c r="O790" s="2" t="s">
        <v>934</v>
      </c>
      <c r="P790" s="4">
        <v>310.55099999999999</v>
      </c>
      <c r="Q790" s="4">
        <v>2</v>
      </c>
      <c r="R790" s="4">
        <v>-93.931700000000006</v>
      </c>
      <c r="S790" s="2" t="s">
        <v>92</v>
      </c>
      <c r="T790" s="2" t="s">
        <v>34</v>
      </c>
    </row>
    <row r="791" spans="1:20" x14ac:dyDescent="0.25">
      <c r="A791" s="2" t="s">
        <v>1775</v>
      </c>
      <c r="B791" s="3">
        <v>42099</v>
      </c>
      <c r="C791" s="3">
        <v>42104</v>
      </c>
      <c r="D791" s="2" t="s">
        <v>55</v>
      </c>
      <c r="E791" s="2" t="s">
        <v>1028</v>
      </c>
      <c r="F791" s="2" t="s">
        <v>1029</v>
      </c>
      <c r="G791" s="2" t="s">
        <v>24</v>
      </c>
      <c r="H791" s="2" t="s">
        <v>25</v>
      </c>
      <c r="I791" s="2" t="s">
        <v>80</v>
      </c>
      <c r="J791" s="2" t="s">
        <v>81</v>
      </c>
      <c r="K791" s="2" t="s">
        <v>82</v>
      </c>
      <c r="L791" s="2" t="s">
        <v>174</v>
      </c>
      <c r="M791" s="2" t="s">
        <v>30</v>
      </c>
      <c r="N791" s="2" t="s">
        <v>31</v>
      </c>
      <c r="O791" s="2" t="s">
        <v>175</v>
      </c>
      <c r="P791" s="4">
        <v>9.7410999999999994</v>
      </c>
      <c r="Q791" s="4">
        <v>2</v>
      </c>
      <c r="R791" s="4">
        <v>-2.4197000000000002</v>
      </c>
      <c r="S791" s="2" t="s">
        <v>85</v>
      </c>
      <c r="T791" s="2" t="s">
        <v>108</v>
      </c>
    </row>
    <row r="792" spans="1:20" x14ac:dyDescent="0.25">
      <c r="A792" s="2" t="s">
        <v>1776</v>
      </c>
      <c r="B792" s="3">
        <v>42102</v>
      </c>
      <c r="C792" s="3">
        <v>42103</v>
      </c>
      <c r="D792" s="2" t="s">
        <v>55</v>
      </c>
      <c r="E792" s="2" t="s">
        <v>872</v>
      </c>
      <c r="F792" s="2" t="s">
        <v>873</v>
      </c>
      <c r="G792" s="2" t="s">
        <v>24</v>
      </c>
      <c r="H792" s="2" t="s">
        <v>25</v>
      </c>
      <c r="I792" s="2" t="s">
        <v>138</v>
      </c>
      <c r="J792" s="2" t="s">
        <v>407</v>
      </c>
      <c r="K792" s="2" t="s">
        <v>28</v>
      </c>
      <c r="L792" s="2" t="s">
        <v>933</v>
      </c>
      <c r="M792" s="2" t="s">
        <v>30</v>
      </c>
      <c r="N792" s="2" t="s">
        <v>162</v>
      </c>
      <c r="O792" s="2" t="s">
        <v>934</v>
      </c>
      <c r="P792" s="4">
        <v>338.4058</v>
      </c>
      <c r="Q792" s="4">
        <v>6</v>
      </c>
      <c r="R792" s="4">
        <v>18.1586</v>
      </c>
      <c r="S792" s="2" t="s">
        <v>33</v>
      </c>
      <c r="T792" s="2" t="s">
        <v>108</v>
      </c>
    </row>
    <row r="793" spans="1:20" x14ac:dyDescent="0.25">
      <c r="A793" s="2" t="s">
        <v>1777</v>
      </c>
      <c r="B793" s="3">
        <v>42853</v>
      </c>
      <c r="C793" s="3">
        <v>42854</v>
      </c>
      <c r="D793" s="2" t="s">
        <v>48</v>
      </c>
      <c r="E793" s="2" t="s">
        <v>451</v>
      </c>
      <c r="F793" s="2" t="s">
        <v>452</v>
      </c>
      <c r="G793" s="2" t="s">
        <v>58</v>
      </c>
      <c r="H793" s="2" t="s">
        <v>25</v>
      </c>
      <c r="I793" s="2" t="s">
        <v>216</v>
      </c>
      <c r="J793" s="2" t="s">
        <v>217</v>
      </c>
      <c r="K793" s="2" t="s">
        <v>82</v>
      </c>
      <c r="L793" s="2" t="s">
        <v>73</v>
      </c>
      <c r="M793" s="2" t="s">
        <v>30</v>
      </c>
      <c r="N793" s="2" t="s">
        <v>42</v>
      </c>
      <c r="O793" s="2" t="s">
        <v>74</v>
      </c>
      <c r="P793" s="4">
        <v>315.67739999999998</v>
      </c>
      <c r="Q793" s="4">
        <v>4</v>
      </c>
      <c r="R793" s="4">
        <v>192.38550000000001</v>
      </c>
      <c r="S793" s="2" t="s">
        <v>33</v>
      </c>
      <c r="T793" s="2" t="s">
        <v>108</v>
      </c>
    </row>
    <row r="794" spans="1:20" x14ac:dyDescent="0.25">
      <c r="A794" s="2" t="s">
        <v>1778</v>
      </c>
      <c r="B794" s="3">
        <v>42868</v>
      </c>
      <c r="C794" s="3">
        <v>42869</v>
      </c>
      <c r="D794" s="2" t="s">
        <v>48</v>
      </c>
      <c r="E794" s="2" t="s">
        <v>1779</v>
      </c>
      <c r="F794" s="2" t="s">
        <v>1780</v>
      </c>
      <c r="G794" s="2" t="s">
        <v>38</v>
      </c>
      <c r="H794" s="2" t="s">
        <v>25</v>
      </c>
      <c r="I794" s="2" t="s">
        <v>1212</v>
      </c>
      <c r="J794" s="2" t="s">
        <v>496</v>
      </c>
      <c r="K794" s="2" t="s">
        <v>147</v>
      </c>
      <c r="L794" s="2" t="s">
        <v>252</v>
      </c>
      <c r="M794" s="2" t="s">
        <v>30</v>
      </c>
      <c r="N794" s="2" t="s">
        <v>31</v>
      </c>
      <c r="O794" s="2" t="s">
        <v>253</v>
      </c>
      <c r="P794" s="4">
        <v>3.3428</v>
      </c>
      <c r="Q794" s="4">
        <v>2</v>
      </c>
      <c r="R794" s="4">
        <v>0.63570000000000004</v>
      </c>
      <c r="S794" s="2" t="s">
        <v>33</v>
      </c>
      <c r="T794" s="2" t="s">
        <v>122</v>
      </c>
    </row>
    <row r="795" spans="1:20" x14ac:dyDescent="0.25">
      <c r="A795" s="2" t="s">
        <v>1781</v>
      </c>
      <c r="B795" s="3">
        <v>41901</v>
      </c>
      <c r="C795" s="3">
        <v>41905</v>
      </c>
      <c r="D795" s="2" t="s">
        <v>21</v>
      </c>
      <c r="E795" s="2" t="s">
        <v>1648</v>
      </c>
      <c r="F795" s="2" t="s">
        <v>1649</v>
      </c>
      <c r="G795" s="2" t="s">
        <v>58</v>
      </c>
      <c r="H795" s="2" t="s">
        <v>25</v>
      </c>
      <c r="I795" s="2" t="s">
        <v>126</v>
      </c>
      <c r="J795" s="2" t="s">
        <v>127</v>
      </c>
      <c r="K795" s="2" t="s">
        <v>82</v>
      </c>
      <c r="L795" s="2" t="s">
        <v>45</v>
      </c>
      <c r="M795" s="2" t="s">
        <v>30</v>
      </c>
      <c r="N795" s="2" t="s">
        <v>31</v>
      </c>
      <c r="O795" s="2" t="s">
        <v>46</v>
      </c>
      <c r="P795" s="4">
        <v>55.270400000000002</v>
      </c>
      <c r="Q795" s="4">
        <v>8</v>
      </c>
      <c r="R795" s="4">
        <v>16.123799999999999</v>
      </c>
      <c r="S795" s="2" t="s">
        <v>75</v>
      </c>
      <c r="T795" s="2" t="s">
        <v>148</v>
      </c>
    </row>
    <row r="796" spans="1:20" x14ac:dyDescent="0.25">
      <c r="A796" s="2" t="s">
        <v>1782</v>
      </c>
      <c r="B796" s="3">
        <v>41836</v>
      </c>
      <c r="C796" s="3">
        <v>41842</v>
      </c>
      <c r="D796" s="2" t="s">
        <v>55</v>
      </c>
      <c r="E796" s="2" t="s">
        <v>1734</v>
      </c>
      <c r="F796" s="2" t="s">
        <v>1735</v>
      </c>
      <c r="G796" s="2" t="s">
        <v>24</v>
      </c>
      <c r="H796" s="2" t="s">
        <v>25</v>
      </c>
      <c r="I796" s="2" t="s">
        <v>184</v>
      </c>
      <c r="J796" s="2" t="s">
        <v>185</v>
      </c>
      <c r="K796" s="2" t="s">
        <v>147</v>
      </c>
      <c r="L796" s="2" t="s">
        <v>186</v>
      </c>
      <c r="M796" s="2" t="s">
        <v>30</v>
      </c>
      <c r="N796" s="2" t="s">
        <v>31</v>
      </c>
      <c r="O796" s="2" t="s">
        <v>187</v>
      </c>
      <c r="P796" s="4">
        <v>18.006599999999999</v>
      </c>
      <c r="Q796" s="4">
        <v>3</v>
      </c>
      <c r="R796" s="4">
        <v>3.5284</v>
      </c>
      <c r="S796" s="2" t="s">
        <v>65</v>
      </c>
      <c r="T796" s="2" t="s">
        <v>86</v>
      </c>
    </row>
    <row r="797" spans="1:20" x14ac:dyDescent="0.25">
      <c r="A797" s="2" t="s">
        <v>1782</v>
      </c>
      <c r="B797" s="3">
        <v>41836</v>
      </c>
      <c r="C797" s="3">
        <v>41842</v>
      </c>
      <c r="D797" s="2" t="s">
        <v>55</v>
      </c>
      <c r="E797" s="2" t="s">
        <v>1734</v>
      </c>
      <c r="F797" s="2" t="s">
        <v>1735</v>
      </c>
      <c r="G797" s="2" t="s">
        <v>24</v>
      </c>
      <c r="H797" s="2" t="s">
        <v>25</v>
      </c>
      <c r="I797" s="2" t="s">
        <v>184</v>
      </c>
      <c r="J797" s="2" t="s">
        <v>185</v>
      </c>
      <c r="K797" s="2" t="s">
        <v>147</v>
      </c>
      <c r="L797" s="2" t="s">
        <v>235</v>
      </c>
      <c r="M797" s="2" t="s">
        <v>30</v>
      </c>
      <c r="N797" s="2" t="s">
        <v>31</v>
      </c>
      <c r="O797" s="2" t="s">
        <v>236</v>
      </c>
      <c r="P797" s="4">
        <v>89.246399999999994</v>
      </c>
      <c r="Q797" s="4">
        <v>3</v>
      </c>
      <c r="R797" s="4">
        <v>-4.2023000000000001</v>
      </c>
      <c r="S797" s="2" t="s">
        <v>65</v>
      </c>
      <c r="T797" s="2" t="s">
        <v>86</v>
      </c>
    </row>
    <row r="798" spans="1:20" x14ac:dyDescent="0.25">
      <c r="A798" s="2" t="s">
        <v>1783</v>
      </c>
      <c r="B798" s="3">
        <v>41693</v>
      </c>
      <c r="C798" s="3">
        <v>41694</v>
      </c>
      <c r="D798" s="2" t="s">
        <v>55</v>
      </c>
      <c r="E798" s="2" t="s">
        <v>1784</v>
      </c>
      <c r="F798" s="2" t="s">
        <v>1785</v>
      </c>
      <c r="G798" s="2" t="s">
        <v>58</v>
      </c>
      <c r="H798" s="2" t="s">
        <v>25</v>
      </c>
      <c r="I798" s="2" t="s">
        <v>1697</v>
      </c>
      <c r="J798" s="2" t="s">
        <v>52</v>
      </c>
      <c r="K798" s="2" t="s">
        <v>28</v>
      </c>
      <c r="L798" s="2" t="s">
        <v>29</v>
      </c>
      <c r="M798" s="2" t="s">
        <v>30</v>
      </c>
      <c r="N798" s="2" t="s">
        <v>31</v>
      </c>
      <c r="O798" s="2" t="s">
        <v>32</v>
      </c>
      <c r="P798" s="4">
        <v>187.3117</v>
      </c>
      <c r="Q798" s="4">
        <v>3</v>
      </c>
      <c r="R798" s="4">
        <v>-61.139600000000002</v>
      </c>
      <c r="S798" s="2" t="s">
        <v>33</v>
      </c>
      <c r="T798" s="2" t="s">
        <v>101</v>
      </c>
    </row>
    <row r="799" spans="1:20" x14ac:dyDescent="0.25">
      <c r="A799" s="2" t="s">
        <v>1786</v>
      </c>
      <c r="B799" s="3">
        <v>41898</v>
      </c>
      <c r="C799" s="3">
        <v>41898</v>
      </c>
      <c r="D799" s="2" t="s">
        <v>55</v>
      </c>
      <c r="E799" s="2" t="s">
        <v>884</v>
      </c>
      <c r="F799" s="2" t="s">
        <v>885</v>
      </c>
      <c r="G799" s="2" t="s">
        <v>58</v>
      </c>
      <c r="H799" s="2" t="s">
        <v>25</v>
      </c>
      <c r="I799" s="2" t="s">
        <v>631</v>
      </c>
      <c r="J799" s="2" t="s">
        <v>632</v>
      </c>
      <c r="K799" s="2" t="s">
        <v>82</v>
      </c>
      <c r="L799" s="2" t="s">
        <v>193</v>
      </c>
      <c r="M799" s="2" t="s">
        <v>30</v>
      </c>
      <c r="N799" s="2" t="s">
        <v>42</v>
      </c>
      <c r="O799" s="2" t="s">
        <v>194</v>
      </c>
      <c r="P799" s="4">
        <v>1200.0934999999999</v>
      </c>
      <c r="Q799" s="4">
        <v>2</v>
      </c>
      <c r="R799" s="4">
        <v>3.6305999999999998</v>
      </c>
      <c r="S799" s="2" t="s">
        <v>121</v>
      </c>
      <c r="T799" s="2" t="s">
        <v>148</v>
      </c>
    </row>
    <row r="800" spans="1:20" x14ac:dyDescent="0.25">
      <c r="A800" s="2" t="s">
        <v>1787</v>
      </c>
      <c r="B800" s="3">
        <v>42690</v>
      </c>
      <c r="C800" s="3">
        <v>42695</v>
      </c>
      <c r="D800" s="2" t="s">
        <v>55</v>
      </c>
      <c r="E800" s="2" t="s">
        <v>1788</v>
      </c>
      <c r="F800" s="2" t="s">
        <v>1789</v>
      </c>
      <c r="G800" s="2" t="s">
        <v>38</v>
      </c>
      <c r="H800" s="2" t="s">
        <v>25</v>
      </c>
      <c r="I800" s="2" t="s">
        <v>138</v>
      </c>
      <c r="J800" s="2" t="s">
        <v>407</v>
      </c>
      <c r="K800" s="2" t="s">
        <v>28</v>
      </c>
      <c r="L800" s="2" t="s">
        <v>113</v>
      </c>
      <c r="M800" s="2" t="s">
        <v>30</v>
      </c>
      <c r="N800" s="2" t="s">
        <v>31</v>
      </c>
      <c r="O800" s="2" t="s">
        <v>114</v>
      </c>
      <c r="P800" s="4">
        <v>353.68509999999998</v>
      </c>
      <c r="Q800" s="4">
        <v>2</v>
      </c>
      <c r="R800" s="4">
        <v>32.659799999999997</v>
      </c>
      <c r="S800" s="2" t="s">
        <v>85</v>
      </c>
      <c r="T800" s="2" t="s">
        <v>93</v>
      </c>
    </row>
    <row r="801" spans="1:20" x14ac:dyDescent="0.25">
      <c r="A801" s="2" t="s">
        <v>1790</v>
      </c>
      <c r="B801" s="3">
        <v>42841</v>
      </c>
      <c r="C801" s="3">
        <v>42844</v>
      </c>
      <c r="D801" s="2" t="s">
        <v>55</v>
      </c>
      <c r="E801" s="2" t="s">
        <v>1791</v>
      </c>
      <c r="F801" s="2" t="s">
        <v>1792</v>
      </c>
      <c r="G801" s="2" t="s">
        <v>58</v>
      </c>
      <c r="H801" s="2" t="s">
        <v>25</v>
      </c>
      <c r="I801" s="2" t="s">
        <v>727</v>
      </c>
      <c r="J801" s="2" t="s">
        <v>728</v>
      </c>
      <c r="K801" s="2" t="s">
        <v>147</v>
      </c>
      <c r="L801" s="2" t="s">
        <v>73</v>
      </c>
      <c r="M801" s="2" t="s">
        <v>30</v>
      </c>
      <c r="N801" s="2" t="s">
        <v>42</v>
      </c>
      <c r="O801" s="2" t="s">
        <v>74</v>
      </c>
      <c r="P801" s="4">
        <v>207.43870000000001</v>
      </c>
      <c r="Q801" s="4">
        <v>3</v>
      </c>
      <c r="R801" s="4">
        <v>-2.7789000000000001</v>
      </c>
      <c r="S801" s="2" t="s">
        <v>92</v>
      </c>
      <c r="T801" s="2" t="s">
        <v>108</v>
      </c>
    </row>
    <row r="802" spans="1:20" x14ac:dyDescent="0.25">
      <c r="A802" s="2" t="s">
        <v>1793</v>
      </c>
      <c r="B802" s="3">
        <v>42339</v>
      </c>
      <c r="C802" s="3">
        <v>42344</v>
      </c>
      <c r="D802" s="2" t="s">
        <v>55</v>
      </c>
      <c r="E802" s="2" t="s">
        <v>1794</v>
      </c>
      <c r="F802" s="2" t="s">
        <v>1795</v>
      </c>
      <c r="G802" s="2" t="s">
        <v>58</v>
      </c>
      <c r="H802" s="2" t="s">
        <v>25</v>
      </c>
      <c r="I802" s="2" t="s">
        <v>137</v>
      </c>
      <c r="J802" s="2" t="s">
        <v>138</v>
      </c>
      <c r="K802" s="2" t="s">
        <v>82</v>
      </c>
      <c r="L802" s="2" t="s">
        <v>677</v>
      </c>
      <c r="M802" s="2" t="s">
        <v>30</v>
      </c>
      <c r="N802" s="2" t="s">
        <v>162</v>
      </c>
      <c r="O802" s="2" t="s">
        <v>678</v>
      </c>
      <c r="P802" s="4">
        <v>436.64879999999999</v>
      </c>
      <c r="Q802" s="4">
        <v>2</v>
      </c>
      <c r="R802" s="4">
        <v>-14.8222</v>
      </c>
      <c r="S802" s="2" t="s">
        <v>85</v>
      </c>
      <c r="T802" s="2" t="s">
        <v>76</v>
      </c>
    </row>
    <row r="803" spans="1:20" x14ac:dyDescent="0.25">
      <c r="A803" s="2" t="s">
        <v>1796</v>
      </c>
      <c r="B803" s="3">
        <v>41854</v>
      </c>
      <c r="C803" s="3">
        <v>41857</v>
      </c>
      <c r="D803" s="2" t="s">
        <v>21</v>
      </c>
      <c r="E803" s="2" t="s">
        <v>1123</v>
      </c>
      <c r="F803" s="2" t="s">
        <v>1124</v>
      </c>
      <c r="G803" s="2" t="s">
        <v>58</v>
      </c>
      <c r="H803" s="2" t="s">
        <v>25</v>
      </c>
      <c r="I803" s="2" t="s">
        <v>1797</v>
      </c>
      <c r="J803" s="2" t="s">
        <v>180</v>
      </c>
      <c r="K803" s="2" t="s">
        <v>147</v>
      </c>
      <c r="L803" s="2" t="s">
        <v>154</v>
      </c>
      <c r="M803" s="2" t="s">
        <v>30</v>
      </c>
      <c r="N803" s="2" t="s">
        <v>42</v>
      </c>
      <c r="O803" s="2" t="s">
        <v>155</v>
      </c>
      <c r="P803" s="4">
        <v>881.69920000000002</v>
      </c>
      <c r="Q803" s="4">
        <v>3</v>
      </c>
      <c r="R803" s="4">
        <v>-303.8467</v>
      </c>
      <c r="S803" s="2" t="s">
        <v>92</v>
      </c>
      <c r="T803" s="2" t="s">
        <v>34</v>
      </c>
    </row>
    <row r="804" spans="1:20" x14ac:dyDescent="0.25">
      <c r="A804" s="2" t="s">
        <v>1798</v>
      </c>
      <c r="B804" s="3">
        <v>42318</v>
      </c>
      <c r="C804" s="3">
        <v>42318</v>
      </c>
      <c r="D804" s="2" t="s">
        <v>55</v>
      </c>
      <c r="E804" s="2" t="s">
        <v>1799</v>
      </c>
      <c r="F804" s="2" t="s">
        <v>1800</v>
      </c>
      <c r="G804" s="2" t="s">
        <v>58</v>
      </c>
      <c r="H804" s="2" t="s">
        <v>25</v>
      </c>
      <c r="I804" s="2" t="s">
        <v>462</v>
      </c>
      <c r="J804" s="2" t="s">
        <v>351</v>
      </c>
      <c r="K804" s="2" t="s">
        <v>147</v>
      </c>
      <c r="L804" s="2" t="s">
        <v>139</v>
      </c>
      <c r="M804" s="2" t="s">
        <v>30</v>
      </c>
      <c r="N804" s="2" t="s">
        <v>42</v>
      </c>
      <c r="O804" s="2" t="s">
        <v>140</v>
      </c>
      <c r="P804" s="4">
        <v>448.52949999999998</v>
      </c>
      <c r="Q804" s="4">
        <v>5</v>
      </c>
      <c r="R804" s="4">
        <v>213.6806</v>
      </c>
      <c r="S804" s="2" t="s">
        <v>121</v>
      </c>
      <c r="T804" s="2" t="s">
        <v>93</v>
      </c>
    </row>
    <row r="805" spans="1:20" x14ac:dyDescent="0.25">
      <c r="A805" s="2" t="s">
        <v>1801</v>
      </c>
      <c r="B805" s="3">
        <v>42038</v>
      </c>
      <c r="C805" s="3">
        <v>42042</v>
      </c>
      <c r="D805" s="2" t="s">
        <v>55</v>
      </c>
      <c r="E805" s="2" t="s">
        <v>1252</v>
      </c>
      <c r="F805" s="2" t="s">
        <v>1253</v>
      </c>
      <c r="G805" s="2" t="s">
        <v>24</v>
      </c>
      <c r="H805" s="2" t="s">
        <v>25</v>
      </c>
      <c r="I805" s="2" t="s">
        <v>760</v>
      </c>
      <c r="J805" s="2" t="s">
        <v>112</v>
      </c>
      <c r="K805" s="2" t="s">
        <v>28</v>
      </c>
      <c r="L805" s="2" t="s">
        <v>453</v>
      </c>
      <c r="M805" s="2" t="s">
        <v>30</v>
      </c>
      <c r="N805" s="2" t="s">
        <v>42</v>
      </c>
      <c r="O805" s="2" t="s">
        <v>454</v>
      </c>
      <c r="P805" s="4">
        <v>229.34960000000001</v>
      </c>
      <c r="Q805" s="4">
        <v>9</v>
      </c>
      <c r="R805" s="4">
        <v>40.309199999999997</v>
      </c>
      <c r="S805" s="2" t="s">
        <v>75</v>
      </c>
      <c r="T805" s="2" t="s">
        <v>101</v>
      </c>
    </row>
    <row r="806" spans="1:20" x14ac:dyDescent="0.25">
      <c r="A806" s="2" t="s">
        <v>1802</v>
      </c>
      <c r="B806" s="3">
        <v>42143</v>
      </c>
      <c r="C806" s="3">
        <v>42143</v>
      </c>
      <c r="D806" s="2" t="s">
        <v>48</v>
      </c>
      <c r="E806" s="2" t="s">
        <v>1803</v>
      </c>
      <c r="F806" s="2" t="s">
        <v>1804</v>
      </c>
      <c r="G806" s="2" t="s">
        <v>58</v>
      </c>
      <c r="H806" s="2" t="s">
        <v>25</v>
      </c>
      <c r="I806" s="2" t="s">
        <v>1300</v>
      </c>
      <c r="J806" s="2" t="s">
        <v>60</v>
      </c>
      <c r="K806" s="2" t="s">
        <v>61</v>
      </c>
      <c r="L806" s="2" t="s">
        <v>252</v>
      </c>
      <c r="M806" s="2" t="s">
        <v>30</v>
      </c>
      <c r="N806" s="2" t="s">
        <v>31</v>
      </c>
      <c r="O806" s="2" t="s">
        <v>253</v>
      </c>
      <c r="P806" s="4">
        <v>122.6099</v>
      </c>
      <c r="Q806" s="4">
        <v>4</v>
      </c>
      <c r="R806" s="4">
        <v>22.9971</v>
      </c>
      <c r="S806" s="2" t="s">
        <v>121</v>
      </c>
      <c r="T806" s="2" t="s">
        <v>122</v>
      </c>
    </row>
    <row r="807" spans="1:20" x14ac:dyDescent="0.25">
      <c r="A807" s="2" t="s">
        <v>1805</v>
      </c>
      <c r="B807" s="3">
        <v>42333</v>
      </c>
      <c r="C807" s="3">
        <v>42339</v>
      </c>
      <c r="D807" s="2" t="s">
        <v>55</v>
      </c>
      <c r="E807" s="2" t="s">
        <v>143</v>
      </c>
      <c r="F807" s="2" t="s">
        <v>144</v>
      </c>
      <c r="G807" s="2" t="s">
        <v>58</v>
      </c>
      <c r="H807" s="2" t="s">
        <v>25</v>
      </c>
      <c r="I807" s="2" t="s">
        <v>243</v>
      </c>
      <c r="J807" s="2" t="s">
        <v>244</v>
      </c>
      <c r="K807" s="2" t="s">
        <v>61</v>
      </c>
      <c r="L807" s="2" t="s">
        <v>890</v>
      </c>
      <c r="M807" s="2" t="s">
        <v>30</v>
      </c>
      <c r="N807" s="2" t="s">
        <v>63</v>
      </c>
      <c r="O807" s="2" t="s">
        <v>891</v>
      </c>
      <c r="P807" s="4">
        <v>1065.8311000000001</v>
      </c>
      <c r="Q807" s="4">
        <v>3</v>
      </c>
      <c r="R807" s="4">
        <v>365.23559999999998</v>
      </c>
      <c r="S807" s="2" t="s">
        <v>65</v>
      </c>
      <c r="T807" s="2" t="s">
        <v>93</v>
      </c>
    </row>
    <row r="808" spans="1:20" x14ac:dyDescent="0.25">
      <c r="A808" s="2" t="s">
        <v>1805</v>
      </c>
      <c r="B808" s="3">
        <v>42333</v>
      </c>
      <c r="C808" s="3">
        <v>42339</v>
      </c>
      <c r="D808" s="2" t="s">
        <v>55</v>
      </c>
      <c r="E808" s="2" t="s">
        <v>143</v>
      </c>
      <c r="F808" s="2" t="s">
        <v>144</v>
      </c>
      <c r="G808" s="2" t="s">
        <v>58</v>
      </c>
      <c r="H808" s="2" t="s">
        <v>25</v>
      </c>
      <c r="I808" s="2" t="s">
        <v>243</v>
      </c>
      <c r="J808" s="2" t="s">
        <v>244</v>
      </c>
      <c r="K808" s="2" t="s">
        <v>61</v>
      </c>
      <c r="L808" s="2" t="s">
        <v>323</v>
      </c>
      <c r="M808" s="2" t="s">
        <v>30</v>
      </c>
      <c r="N808" s="2" t="s">
        <v>31</v>
      </c>
      <c r="O808" s="2" t="s">
        <v>324</v>
      </c>
      <c r="P808" s="4">
        <v>42.447200000000002</v>
      </c>
      <c r="Q808" s="4">
        <v>4</v>
      </c>
      <c r="R808" s="4">
        <v>35.955399999999997</v>
      </c>
      <c r="S808" s="2" t="s">
        <v>65</v>
      </c>
      <c r="T808" s="2" t="s">
        <v>93</v>
      </c>
    </row>
    <row r="809" spans="1:20" x14ac:dyDescent="0.25">
      <c r="A809" s="2" t="s">
        <v>1806</v>
      </c>
      <c r="B809" s="3">
        <v>42028</v>
      </c>
      <c r="C809" s="3">
        <v>42031</v>
      </c>
      <c r="D809" s="2" t="s">
        <v>55</v>
      </c>
      <c r="E809" s="2" t="s">
        <v>56</v>
      </c>
      <c r="F809" s="2" t="s">
        <v>57</v>
      </c>
      <c r="G809" s="2" t="s">
        <v>58</v>
      </c>
      <c r="H809" s="2" t="s">
        <v>25</v>
      </c>
      <c r="I809" s="2" t="s">
        <v>243</v>
      </c>
      <c r="J809" s="2" t="s">
        <v>244</v>
      </c>
      <c r="K809" s="2" t="s">
        <v>61</v>
      </c>
      <c r="L809" s="2" t="s">
        <v>29</v>
      </c>
      <c r="M809" s="2" t="s">
        <v>30</v>
      </c>
      <c r="N809" s="2" t="s">
        <v>31</v>
      </c>
      <c r="O809" s="2" t="s">
        <v>32</v>
      </c>
      <c r="P809" s="4">
        <v>2.7524999999999999</v>
      </c>
      <c r="Q809" s="4">
        <v>5</v>
      </c>
      <c r="R809" s="4">
        <v>-1.0663</v>
      </c>
      <c r="S809" s="2" t="s">
        <v>92</v>
      </c>
      <c r="T809" s="2" t="s">
        <v>115</v>
      </c>
    </row>
    <row r="810" spans="1:20" x14ac:dyDescent="0.25">
      <c r="A810" s="2" t="s">
        <v>1806</v>
      </c>
      <c r="B810" s="3">
        <v>42028</v>
      </c>
      <c r="C810" s="3">
        <v>42031</v>
      </c>
      <c r="D810" s="2" t="s">
        <v>55</v>
      </c>
      <c r="E810" s="2" t="s">
        <v>56</v>
      </c>
      <c r="F810" s="2" t="s">
        <v>57</v>
      </c>
      <c r="G810" s="2" t="s">
        <v>58</v>
      </c>
      <c r="H810" s="2" t="s">
        <v>25</v>
      </c>
      <c r="I810" s="2" t="s">
        <v>243</v>
      </c>
      <c r="J810" s="2" t="s">
        <v>244</v>
      </c>
      <c r="K810" s="2" t="s">
        <v>61</v>
      </c>
      <c r="L810" s="2" t="s">
        <v>453</v>
      </c>
      <c r="M810" s="2" t="s">
        <v>30</v>
      </c>
      <c r="N810" s="2" t="s">
        <v>42</v>
      </c>
      <c r="O810" s="2" t="s">
        <v>454</v>
      </c>
      <c r="P810" s="4">
        <v>341.53050000000002</v>
      </c>
      <c r="Q810" s="4">
        <v>4</v>
      </c>
      <c r="R810" s="4">
        <v>148.28</v>
      </c>
      <c r="S810" s="2" t="s">
        <v>92</v>
      </c>
      <c r="T810" s="2" t="s">
        <v>115</v>
      </c>
    </row>
    <row r="811" spans="1:20" x14ac:dyDescent="0.25">
      <c r="A811" s="2" t="s">
        <v>1807</v>
      </c>
      <c r="B811" s="3">
        <v>42242</v>
      </c>
      <c r="C811" s="3">
        <v>42243</v>
      </c>
      <c r="D811" s="2" t="s">
        <v>55</v>
      </c>
      <c r="E811" s="2" t="s">
        <v>1808</v>
      </c>
      <c r="F811" s="2" t="s">
        <v>1809</v>
      </c>
      <c r="G811" s="2" t="s">
        <v>58</v>
      </c>
      <c r="H811" s="2" t="s">
        <v>25</v>
      </c>
      <c r="I811" s="2" t="s">
        <v>1118</v>
      </c>
      <c r="J811" s="2" t="s">
        <v>435</v>
      </c>
      <c r="K811" s="2" t="s">
        <v>61</v>
      </c>
      <c r="L811" s="2" t="s">
        <v>29</v>
      </c>
      <c r="M811" s="2" t="s">
        <v>30</v>
      </c>
      <c r="N811" s="2" t="s">
        <v>31</v>
      </c>
      <c r="O811" s="2" t="s">
        <v>32</v>
      </c>
      <c r="P811" s="4">
        <v>14.185600000000001</v>
      </c>
      <c r="Q811" s="4">
        <v>6</v>
      </c>
      <c r="R811" s="4">
        <v>-4.3E-3</v>
      </c>
      <c r="S811" s="2" t="s">
        <v>33</v>
      </c>
      <c r="T811" s="2" t="s">
        <v>34</v>
      </c>
    </row>
    <row r="812" spans="1:20" x14ac:dyDescent="0.25">
      <c r="A812" s="2" t="s">
        <v>1810</v>
      </c>
      <c r="B812" s="3">
        <v>41772</v>
      </c>
      <c r="C812" s="3">
        <v>41777</v>
      </c>
      <c r="D812" s="2" t="s">
        <v>55</v>
      </c>
      <c r="E812" s="2" t="s">
        <v>1034</v>
      </c>
      <c r="F812" s="2" t="s">
        <v>1035</v>
      </c>
      <c r="G812" s="2" t="s">
        <v>58</v>
      </c>
      <c r="H812" s="2" t="s">
        <v>25</v>
      </c>
      <c r="I812" s="2" t="s">
        <v>205</v>
      </c>
      <c r="J812" s="2" t="s">
        <v>206</v>
      </c>
      <c r="K812" s="2" t="s">
        <v>61</v>
      </c>
      <c r="L812" s="2" t="s">
        <v>200</v>
      </c>
      <c r="M812" s="2" t="s">
        <v>30</v>
      </c>
      <c r="N812" s="2" t="s">
        <v>162</v>
      </c>
      <c r="O812" s="2" t="s">
        <v>201</v>
      </c>
      <c r="P812" s="4">
        <v>1764.989</v>
      </c>
      <c r="Q812" s="4">
        <v>6</v>
      </c>
      <c r="R812" s="4">
        <v>114.35469999999999</v>
      </c>
      <c r="S812" s="2" t="s">
        <v>85</v>
      </c>
      <c r="T812" s="2" t="s">
        <v>122</v>
      </c>
    </row>
    <row r="813" spans="1:20" x14ac:dyDescent="0.25">
      <c r="A813" s="2" t="s">
        <v>1811</v>
      </c>
      <c r="B813" s="3">
        <v>42653</v>
      </c>
      <c r="C813" s="3">
        <v>42654</v>
      </c>
      <c r="D813" s="2" t="s">
        <v>48</v>
      </c>
      <c r="E813" s="2" t="s">
        <v>1812</v>
      </c>
      <c r="F813" s="2" t="s">
        <v>1813</v>
      </c>
      <c r="G813" s="2" t="s">
        <v>38</v>
      </c>
      <c r="H813" s="2" t="s">
        <v>25</v>
      </c>
      <c r="I813" s="2" t="s">
        <v>485</v>
      </c>
      <c r="J813" s="2" t="s">
        <v>251</v>
      </c>
      <c r="K813" s="2" t="s">
        <v>147</v>
      </c>
      <c r="L813" s="2" t="s">
        <v>83</v>
      </c>
      <c r="M813" s="2" t="s">
        <v>30</v>
      </c>
      <c r="N813" s="2" t="s">
        <v>42</v>
      </c>
      <c r="O813" s="2" t="s">
        <v>84</v>
      </c>
      <c r="P813" s="4">
        <v>138.6679</v>
      </c>
      <c r="Q813" s="4">
        <v>2</v>
      </c>
      <c r="R813" s="4">
        <v>-27.278099999999998</v>
      </c>
      <c r="S813" s="2" t="s">
        <v>33</v>
      </c>
      <c r="T813" s="2" t="s">
        <v>224</v>
      </c>
    </row>
    <row r="814" spans="1:20" x14ac:dyDescent="0.25">
      <c r="A814" s="2" t="s">
        <v>1811</v>
      </c>
      <c r="B814" s="3">
        <v>42653</v>
      </c>
      <c r="C814" s="3">
        <v>42654</v>
      </c>
      <c r="D814" s="2" t="s">
        <v>48</v>
      </c>
      <c r="E814" s="2" t="s">
        <v>1812</v>
      </c>
      <c r="F814" s="2" t="s">
        <v>1813</v>
      </c>
      <c r="G814" s="2" t="s">
        <v>38</v>
      </c>
      <c r="H814" s="2" t="s">
        <v>25</v>
      </c>
      <c r="I814" s="2" t="s">
        <v>485</v>
      </c>
      <c r="J814" s="2" t="s">
        <v>251</v>
      </c>
      <c r="K814" s="2" t="s">
        <v>147</v>
      </c>
      <c r="L814" s="2" t="s">
        <v>372</v>
      </c>
      <c r="M814" s="2" t="s">
        <v>30</v>
      </c>
      <c r="N814" s="2" t="s">
        <v>162</v>
      </c>
      <c r="O814" s="2" t="s">
        <v>373</v>
      </c>
      <c r="P814" s="4">
        <v>185.4701</v>
      </c>
      <c r="Q814" s="4">
        <v>3</v>
      </c>
      <c r="R814" s="4">
        <v>78.393500000000003</v>
      </c>
      <c r="S814" s="2" t="s">
        <v>33</v>
      </c>
      <c r="T814" s="2" t="s">
        <v>224</v>
      </c>
    </row>
    <row r="815" spans="1:20" x14ac:dyDescent="0.25">
      <c r="A815" s="2" t="s">
        <v>1814</v>
      </c>
      <c r="B815" s="3">
        <v>42810</v>
      </c>
      <c r="C815" s="3">
        <v>42815</v>
      </c>
      <c r="D815" s="2" t="s">
        <v>55</v>
      </c>
      <c r="E815" s="2" t="s">
        <v>1815</v>
      </c>
      <c r="F815" s="2" t="s">
        <v>1816</v>
      </c>
      <c r="G815" s="2" t="s">
        <v>58</v>
      </c>
      <c r="H815" s="2" t="s">
        <v>25</v>
      </c>
      <c r="I815" s="2" t="s">
        <v>152</v>
      </c>
      <c r="J815" s="2" t="s">
        <v>153</v>
      </c>
      <c r="K815" s="2" t="s">
        <v>147</v>
      </c>
      <c r="L815" s="2" t="s">
        <v>513</v>
      </c>
      <c r="M815" s="2" t="s">
        <v>30</v>
      </c>
      <c r="N815" s="2" t="s">
        <v>63</v>
      </c>
      <c r="O815" s="2" t="s">
        <v>514</v>
      </c>
      <c r="P815" s="4">
        <v>195.828</v>
      </c>
      <c r="Q815" s="4">
        <v>2</v>
      </c>
      <c r="R815" s="4">
        <v>-19.958500000000001</v>
      </c>
      <c r="S815" s="2" t="s">
        <v>85</v>
      </c>
      <c r="T815" s="2" t="s">
        <v>44</v>
      </c>
    </row>
    <row r="816" spans="1:20" x14ac:dyDescent="0.25">
      <c r="A816" s="2" t="s">
        <v>1817</v>
      </c>
      <c r="B816" s="3">
        <v>42912</v>
      </c>
      <c r="C816" s="3">
        <v>42913</v>
      </c>
      <c r="D816" s="2" t="s">
        <v>48</v>
      </c>
      <c r="E816" s="2" t="s">
        <v>1818</v>
      </c>
      <c r="F816" s="2" t="s">
        <v>1819</v>
      </c>
      <c r="G816" s="2" t="s">
        <v>58</v>
      </c>
      <c r="H816" s="2" t="s">
        <v>25</v>
      </c>
      <c r="I816" s="2" t="s">
        <v>829</v>
      </c>
      <c r="J816" s="2" t="s">
        <v>199</v>
      </c>
      <c r="K816" s="2" t="s">
        <v>82</v>
      </c>
      <c r="L816" s="2" t="s">
        <v>618</v>
      </c>
      <c r="M816" s="2" t="s">
        <v>30</v>
      </c>
      <c r="N816" s="2" t="s">
        <v>63</v>
      </c>
      <c r="O816" s="2" t="s">
        <v>619</v>
      </c>
      <c r="P816" s="4">
        <v>871.09839999999997</v>
      </c>
      <c r="Q816" s="4">
        <v>7</v>
      </c>
      <c r="R816" s="4">
        <v>-130.29179999999999</v>
      </c>
      <c r="S816" s="2" t="s">
        <v>33</v>
      </c>
      <c r="T816" s="2" t="s">
        <v>133</v>
      </c>
    </row>
    <row r="817" spans="1:20" x14ac:dyDescent="0.25">
      <c r="A817" s="2" t="s">
        <v>1820</v>
      </c>
      <c r="B817" s="3">
        <v>42118</v>
      </c>
      <c r="C817" s="3">
        <v>42119</v>
      </c>
      <c r="D817" s="2" t="s">
        <v>55</v>
      </c>
      <c r="E817" s="2" t="s">
        <v>1821</v>
      </c>
      <c r="F817" s="2" t="s">
        <v>1822</v>
      </c>
      <c r="G817" s="2" t="s">
        <v>58</v>
      </c>
      <c r="H817" s="2" t="s">
        <v>25</v>
      </c>
      <c r="I817" s="2" t="s">
        <v>293</v>
      </c>
      <c r="J817" s="2" t="s">
        <v>260</v>
      </c>
      <c r="K817" s="2" t="s">
        <v>147</v>
      </c>
      <c r="L817" s="2" t="s">
        <v>252</v>
      </c>
      <c r="M817" s="2" t="s">
        <v>30</v>
      </c>
      <c r="N817" s="2" t="s">
        <v>31</v>
      </c>
      <c r="O817" s="2" t="s">
        <v>253</v>
      </c>
      <c r="P817" s="4">
        <v>29.769200000000001</v>
      </c>
      <c r="Q817" s="4">
        <v>2</v>
      </c>
      <c r="R817" s="4">
        <v>3.2786</v>
      </c>
      <c r="S817" s="2" t="s">
        <v>33</v>
      </c>
      <c r="T817" s="2" t="s">
        <v>108</v>
      </c>
    </row>
    <row r="818" spans="1:20" x14ac:dyDescent="0.25">
      <c r="A818" s="2" t="s">
        <v>1823</v>
      </c>
      <c r="B818" s="3">
        <v>41882</v>
      </c>
      <c r="C818" s="3">
        <v>41884</v>
      </c>
      <c r="D818" s="2" t="s">
        <v>21</v>
      </c>
      <c r="E818" s="2" t="s">
        <v>669</v>
      </c>
      <c r="F818" s="2" t="s">
        <v>670</v>
      </c>
      <c r="G818" s="2" t="s">
        <v>58</v>
      </c>
      <c r="H818" s="2" t="s">
        <v>25</v>
      </c>
      <c r="I818" s="2" t="s">
        <v>321</v>
      </c>
      <c r="J818" s="2" t="s">
        <v>322</v>
      </c>
      <c r="K818" s="2" t="s">
        <v>28</v>
      </c>
      <c r="L818" s="2" t="s">
        <v>235</v>
      </c>
      <c r="M818" s="2" t="s">
        <v>30</v>
      </c>
      <c r="N818" s="2" t="s">
        <v>31</v>
      </c>
      <c r="O818" s="2" t="s">
        <v>236</v>
      </c>
      <c r="P818" s="4">
        <v>6.3335999999999997</v>
      </c>
      <c r="Q818" s="4">
        <v>6</v>
      </c>
      <c r="R818" s="4">
        <v>0.55279999999999996</v>
      </c>
      <c r="S818" s="2" t="s">
        <v>53</v>
      </c>
      <c r="T818" s="2" t="s">
        <v>34</v>
      </c>
    </row>
    <row r="819" spans="1:20" x14ac:dyDescent="0.25">
      <c r="A819" s="2" t="s">
        <v>1824</v>
      </c>
      <c r="B819" s="3">
        <v>42202</v>
      </c>
      <c r="C819" s="3">
        <v>42207</v>
      </c>
      <c r="D819" s="2" t="s">
        <v>55</v>
      </c>
      <c r="E819" s="2" t="s">
        <v>1825</v>
      </c>
      <c r="F819" s="2" t="s">
        <v>1826</v>
      </c>
      <c r="G819" s="2" t="s">
        <v>24</v>
      </c>
      <c r="H819" s="2" t="s">
        <v>25</v>
      </c>
      <c r="I819" s="2" t="s">
        <v>1243</v>
      </c>
      <c r="J819" s="2" t="s">
        <v>595</v>
      </c>
      <c r="K819" s="2" t="s">
        <v>61</v>
      </c>
      <c r="L819" s="2" t="s">
        <v>372</v>
      </c>
      <c r="M819" s="2" t="s">
        <v>30</v>
      </c>
      <c r="N819" s="2" t="s">
        <v>162</v>
      </c>
      <c r="O819" s="2" t="s">
        <v>373</v>
      </c>
      <c r="P819" s="4">
        <v>482.44959999999998</v>
      </c>
      <c r="Q819" s="4">
        <v>2</v>
      </c>
      <c r="R819" s="4">
        <v>123.29559999999999</v>
      </c>
      <c r="S819" s="2" t="s">
        <v>85</v>
      </c>
      <c r="T819" s="2" t="s">
        <v>86</v>
      </c>
    </row>
    <row r="820" spans="1:20" x14ac:dyDescent="0.25">
      <c r="A820" s="2" t="s">
        <v>1827</v>
      </c>
      <c r="B820" s="3">
        <v>42827</v>
      </c>
      <c r="C820" s="3">
        <v>42830</v>
      </c>
      <c r="D820" s="2" t="s">
        <v>55</v>
      </c>
      <c r="E820" s="2" t="s">
        <v>588</v>
      </c>
      <c r="F820" s="2" t="s">
        <v>589</v>
      </c>
      <c r="G820" s="2" t="s">
        <v>38</v>
      </c>
      <c r="H820" s="2" t="s">
        <v>25</v>
      </c>
      <c r="I820" s="2" t="s">
        <v>458</v>
      </c>
      <c r="J820" s="2" t="s">
        <v>27</v>
      </c>
      <c r="K820" s="2" t="s">
        <v>28</v>
      </c>
      <c r="L820" s="2" t="s">
        <v>820</v>
      </c>
      <c r="M820" s="2" t="s">
        <v>30</v>
      </c>
      <c r="N820" s="2" t="s">
        <v>162</v>
      </c>
      <c r="O820" s="2" t="s">
        <v>821</v>
      </c>
      <c r="P820" s="4">
        <v>117.5132</v>
      </c>
      <c r="Q820" s="4">
        <v>7</v>
      </c>
      <c r="R820" s="4">
        <v>-79.380300000000005</v>
      </c>
      <c r="S820" s="2" t="s">
        <v>92</v>
      </c>
      <c r="T820" s="2" t="s">
        <v>108</v>
      </c>
    </row>
    <row r="821" spans="1:20" x14ac:dyDescent="0.25">
      <c r="A821" s="2" t="s">
        <v>1828</v>
      </c>
      <c r="B821" s="3">
        <v>42599</v>
      </c>
      <c r="C821" s="3">
        <v>42602</v>
      </c>
      <c r="D821" s="2" t="s">
        <v>21</v>
      </c>
      <c r="E821" s="2" t="s">
        <v>1364</v>
      </c>
      <c r="F821" s="2" t="s">
        <v>1365</v>
      </c>
      <c r="G821" s="2" t="s">
        <v>38</v>
      </c>
      <c r="H821" s="2" t="s">
        <v>25</v>
      </c>
      <c r="I821" s="2" t="s">
        <v>119</v>
      </c>
      <c r="J821" s="2" t="s">
        <v>120</v>
      </c>
      <c r="K821" s="2" t="s">
        <v>61</v>
      </c>
      <c r="L821" s="2" t="s">
        <v>820</v>
      </c>
      <c r="M821" s="2" t="s">
        <v>30</v>
      </c>
      <c r="N821" s="2" t="s">
        <v>162</v>
      </c>
      <c r="O821" s="2" t="s">
        <v>821</v>
      </c>
      <c r="P821" s="4">
        <v>618.45100000000002</v>
      </c>
      <c r="Q821" s="4">
        <v>2</v>
      </c>
      <c r="R821" s="4">
        <v>143.29849999999999</v>
      </c>
      <c r="S821" s="2" t="s">
        <v>92</v>
      </c>
      <c r="T821" s="2" t="s">
        <v>34</v>
      </c>
    </row>
    <row r="822" spans="1:20" x14ac:dyDescent="0.25">
      <c r="A822" s="2" t="s">
        <v>1829</v>
      </c>
      <c r="B822" s="3">
        <v>41701</v>
      </c>
      <c r="C822" s="3">
        <v>41706</v>
      </c>
      <c r="D822" s="2" t="s">
        <v>55</v>
      </c>
      <c r="E822" s="2" t="s">
        <v>464</v>
      </c>
      <c r="F822" s="2" t="s">
        <v>465</v>
      </c>
      <c r="G822" s="2" t="s">
        <v>38</v>
      </c>
      <c r="H822" s="2" t="s">
        <v>25</v>
      </c>
      <c r="I822" s="2" t="s">
        <v>576</v>
      </c>
      <c r="J822" s="2" t="s">
        <v>470</v>
      </c>
      <c r="K822" s="2" t="s">
        <v>28</v>
      </c>
      <c r="L822" s="2" t="s">
        <v>161</v>
      </c>
      <c r="M822" s="2" t="s">
        <v>30</v>
      </c>
      <c r="N822" s="2" t="s">
        <v>162</v>
      </c>
      <c r="O822" s="2" t="s">
        <v>163</v>
      </c>
      <c r="P822" s="4">
        <v>927.59119999999996</v>
      </c>
      <c r="Q822" s="4">
        <v>1</v>
      </c>
      <c r="R822" s="4">
        <v>301.91500000000002</v>
      </c>
      <c r="S822" s="2" t="s">
        <v>85</v>
      </c>
      <c r="T822" s="2" t="s">
        <v>44</v>
      </c>
    </row>
    <row r="823" spans="1:20" x14ac:dyDescent="0.25">
      <c r="A823" s="2" t="s">
        <v>1830</v>
      </c>
      <c r="B823" s="3">
        <v>42466</v>
      </c>
      <c r="C823" s="3">
        <v>42466</v>
      </c>
      <c r="D823" s="2" t="s">
        <v>142</v>
      </c>
      <c r="E823" s="2" t="s">
        <v>762</v>
      </c>
      <c r="F823" s="2" t="s">
        <v>763</v>
      </c>
      <c r="G823" s="2" t="s">
        <v>38</v>
      </c>
      <c r="H823" s="2" t="s">
        <v>25</v>
      </c>
      <c r="I823" s="2" t="s">
        <v>152</v>
      </c>
      <c r="J823" s="2" t="s">
        <v>153</v>
      </c>
      <c r="K823" s="2" t="s">
        <v>147</v>
      </c>
      <c r="L823" s="2" t="s">
        <v>29</v>
      </c>
      <c r="M823" s="2" t="s">
        <v>30</v>
      </c>
      <c r="N823" s="2" t="s">
        <v>31</v>
      </c>
      <c r="O823" s="2" t="s">
        <v>32</v>
      </c>
      <c r="P823" s="4">
        <v>38.7239</v>
      </c>
      <c r="Q823" s="4">
        <v>2</v>
      </c>
      <c r="R823" s="4">
        <v>13.108499999999999</v>
      </c>
      <c r="S823" s="2" t="s">
        <v>121</v>
      </c>
      <c r="T823" s="2" t="s">
        <v>108</v>
      </c>
    </row>
    <row r="824" spans="1:20" x14ac:dyDescent="0.25">
      <c r="A824" s="2" t="s">
        <v>1830</v>
      </c>
      <c r="B824" s="3">
        <v>42466</v>
      </c>
      <c r="C824" s="3">
        <v>42466</v>
      </c>
      <c r="D824" s="2" t="s">
        <v>142</v>
      </c>
      <c r="E824" s="2" t="s">
        <v>762</v>
      </c>
      <c r="F824" s="2" t="s">
        <v>763</v>
      </c>
      <c r="G824" s="2" t="s">
        <v>38</v>
      </c>
      <c r="H824" s="2" t="s">
        <v>25</v>
      </c>
      <c r="I824" s="2" t="s">
        <v>152</v>
      </c>
      <c r="J824" s="2" t="s">
        <v>153</v>
      </c>
      <c r="K824" s="2" t="s">
        <v>147</v>
      </c>
      <c r="L824" s="2" t="s">
        <v>29</v>
      </c>
      <c r="M824" s="2" t="s">
        <v>30</v>
      </c>
      <c r="N824" s="2" t="s">
        <v>31</v>
      </c>
      <c r="O824" s="2" t="s">
        <v>32</v>
      </c>
      <c r="P824" s="4">
        <v>46.119900000000001</v>
      </c>
      <c r="Q824" s="4">
        <v>2</v>
      </c>
      <c r="R824" s="4">
        <v>15.920999999999999</v>
      </c>
      <c r="S824" s="2" t="s">
        <v>121</v>
      </c>
      <c r="T824" s="2" t="s">
        <v>108</v>
      </c>
    </row>
    <row r="825" spans="1:20" x14ac:dyDescent="0.25">
      <c r="A825" s="2" t="s">
        <v>1830</v>
      </c>
      <c r="B825" s="3">
        <v>42466</v>
      </c>
      <c r="C825" s="3">
        <v>42466</v>
      </c>
      <c r="D825" s="2" t="s">
        <v>142</v>
      </c>
      <c r="E825" s="2" t="s">
        <v>762</v>
      </c>
      <c r="F825" s="2" t="s">
        <v>763</v>
      </c>
      <c r="G825" s="2" t="s">
        <v>38</v>
      </c>
      <c r="H825" s="2" t="s">
        <v>25</v>
      </c>
      <c r="I825" s="2" t="s">
        <v>152</v>
      </c>
      <c r="J825" s="2" t="s">
        <v>153</v>
      </c>
      <c r="K825" s="2" t="s">
        <v>147</v>
      </c>
      <c r="L825" s="2" t="s">
        <v>45</v>
      </c>
      <c r="M825" s="2" t="s">
        <v>30</v>
      </c>
      <c r="N825" s="2" t="s">
        <v>31</v>
      </c>
      <c r="O825" s="2" t="s">
        <v>46</v>
      </c>
      <c r="P825" s="4">
        <v>22.151800000000001</v>
      </c>
      <c r="Q825" s="4">
        <v>3</v>
      </c>
      <c r="R825" s="4">
        <v>-1.2238</v>
      </c>
      <c r="S825" s="2" t="s">
        <v>121</v>
      </c>
      <c r="T825" s="2" t="s">
        <v>108</v>
      </c>
    </row>
    <row r="826" spans="1:20" x14ac:dyDescent="0.25">
      <c r="A826" s="2" t="s">
        <v>1830</v>
      </c>
      <c r="B826" s="3">
        <v>42466</v>
      </c>
      <c r="C826" s="3">
        <v>42466</v>
      </c>
      <c r="D826" s="2" t="s">
        <v>142</v>
      </c>
      <c r="E826" s="2" t="s">
        <v>762</v>
      </c>
      <c r="F826" s="2" t="s">
        <v>763</v>
      </c>
      <c r="G826" s="2" t="s">
        <v>38</v>
      </c>
      <c r="H826" s="2" t="s">
        <v>25</v>
      </c>
      <c r="I826" s="2" t="s">
        <v>152</v>
      </c>
      <c r="J826" s="2" t="s">
        <v>153</v>
      </c>
      <c r="K826" s="2" t="s">
        <v>147</v>
      </c>
      <c r="L826" s="2" t="s">
        <v>193</v>
      </c>
      <c r="M826" s="2" t="s">
        <v>30</v>
      </c>
      <c r="N826" s="2" t="s">
        <v>42</v>
      </c>
      <c r="O826" s="2" t="s">
        <v>194</v>
      </c>
      <c r="P826" s="4">
        <v>152.73150000000001</v>
      </c>
      <c r="Q826" s="4">
        <v>1</v>
      </c>
      <c r="R826" s="4">
        <v>22.77</v>
      </c>
      <c r="S826" s="2" t="s">
        <v>121</v>
      </c>
      <c r="T826" s="2" t="s">
        <v>108</v>
      </c>
    </row>
    <row r="827" spans="1:20" x14ac:dyDescent="0.25">
      <c r="A827" s="2" t="s">
        <v>1831</v>
      </c>
      <c r="B827" s="3">
        <v>41770</v>
      </c>
      <c r="C827" s="3">
        <v>41772</v>
      </c>
      <c r="D827" s="2" t="s">
        <v>21</v>
      </c>
      <c r="E827" s="2" t="s">
        <v>1832</v>
      </c>
      <c r="F827" s="2" t="s">
        <v>1833</v>
      </c>
      <c r="G827" s="2" t="s">
        <v>58</v>
      </c>
      <c r="H827" s="2" t="s">
        <v>25</v>
      </c>
      <c r="I827" s="2" t="s">
        <v>71</v>
      </c>
      <c r="J827" s="2" t="s">
        <v>72</v>
      </c>
      <c r="K827" s="2" t="s">
        <v>61</v>
      </c>
      <c r="L827" s="2" t="s">
        <v>513</v>
      </c>
      <c r="M827" s="2" t="s">
        <v>30</v>
      </c>
      <c r="N827" s="2" t="s">
        <v>63</v>
      </c>
      <c r="O827" s="2" t="s">
        <v>514</v>
      </c>
      <c r="P827" s="4">
        <v>97.723399999999998</v>
      </c>
      <c r="Q827" s="4">
        <v>4</v>
      </c>
      <c r="R827" s="4">
        <v>19.406099999999999</v>
      </c>
      <c r="S827" s="2" t="s">
        <v>53</v>
      </c>
      <c r="T827" s="2" t="s">
        <v>122</v>
      </c>
    </row>
    <row r="828" spans="1:20" x14ac:dyDescent="0.25">
      <c r="A828" s="2" t="s">
        <v>1834</v>
      </c>
      <c r="B828" s="3">
        <v>42003</v>
      </c>
      <c r="C828" s="3">
        <v>42009</v>
      </c>
      <c r="D828" s="2" t="s">
        <v>55</v>
      </c>
      <c r="E828" s="2" t="s">
        <v>897</v>
      </c>
      <c r="F828" s="2" t="s">
        <v>898</v>
      </c>
      <c r="G828" s="2" t="s">
        <v>38</v>
      </c>
      <c r="H828" s="2" t="s">
        <v>25</v>
      </c>
      <c r="I828" s="2" t="s">
        <v>152</v>
      </c>
      <c r="J828" s="2" t="s">
        <v>153</v>
      </c>
      <c r="K828" s="2" t="s">
        <v>147</v>
      </c>
      <c r="L828" s="2" t="s">
        <v>99</v>
      </c>
      <c r="M828" s="2" t="s">
        <v>30</v>
      </c>
      <c r="N828" s="2" t="s">
        <v>42</v>
      </c>
      <c r="O828" s="2" t="s">
        <v>100</v>
      </c>
      <c r="P828" s="4">
        <v>250.2895</v>
      </c>
      <c r="Q828" s="4">
        <v>2</v>
      </c>
      <c r="R828" s="4">
        <v>135.0275</v>
      </c>
      <c r="S828" s="2" t="s">
        <v>65</v>
      </c>
      <c r="T828" s="2" t="s">
        <v>76</v>
      </c>
    </row>
    <row r="829" spans="1:20" x14ac:dyDescent="0.25">
      <c r="A829" s="2" t="s">
        <v>1835</v>
      </c>
      <c r="B829" s="3">
        <v>42713</v>
      </c>
      <c r="C829" s="3">
        <v>42714</v>
      </c>
      <c r="D829" s="2" t="s">
        <v>48</v>
      </c>
      <c r="E829" s="2" t="s">
        <v>1500</v>
      </c>
      <c r="F829" s="2" t="s">
        <v>1501</v>
      </c>
      <c r="G829" s="2" t="s">
        <v>58</v>
      </c>
      <c r="H829" s="2" t="s">
        <v>25</v>
      </c>
      <c r="I829" s="2" t="s">
        <v>343</v>
      </c>
      <c r="J829" s="2" t="s">
        <v>153</v>
      </c>
      <c r="K829" s="2" t="s">
        <v>147</v>
      </c>
      <c r="L829" s="2" t="s">
        <v>323</v>
      </c>
      <c r="M829" s="2" t="s">
        <v>30</v>
      </c>
      <c r="N829" s="2" t="s">
        <v>31</v>
      </c>
      <c r="O829" s="2" t="s">
        <v>324</v>
      </c>
      <c r="P829" s="4">
        <v>20.0562</v>
      </c>
      <c r="Q829" s="4">
        <v>7</v>
      </c>
      <c r="R829" s="4">
        <v>-2.3235000000000001</v>
      </c>
      <c r="S829" s="2" t="s">
        <v>33</v>
      </c>
      <c r="T829" s="2" t="s">
        <v>76</v>
      </c>
    </row>
    <row r="830" spans="1:20" x14ac:dyDescent="0.25">
      <c r="A830" s="2" t="s">
        <v>1836</v>
      </c>
      <c r="B830" s="3">
        <v>42738</v>
      </c>
      <c r="C830" s="3">
        <v>42739</v>
      </c>
      <c r="D830" s="2" t="s">
        <v>48</v>
      </c>
      <c r="E830" s="2" t="s">
        <v>808</v>
      </c>
      <c r="F830" s="2" t="s">
        <v>809</v>
      </c>
      <c r="G830" s="2" t="s">
        <v>38</v>
      </c>
      <c r="H830" s="2" t="s">
        <v>25</v>
      </c>
      <c r="I830" s="2" t="s">
        <v>437</v>
      </c>
      <c r="J830" s="2" t="s">
        <v>217</v>
      </c>
      <c r="K830" s="2" t="s">
        <v>82</v>
      </c>
      <c r="L830" s="2" t="s">
        <v>66</v>
      </c>
      <c r="M830" s="2" t="s">
        <v>30</v>
      </c>
      <c r="N830" s="2" t="s">
        <v>31</v>
      </c>
      <c r="O830" s="2" t="s">
        <v>67</v>
      </c>
      <c r="P830" s="4">
        <v>12.177099999999999</v>
      </c>
      <c r="Q830" s="4">
        <v>5</v>
      </c>
      <c r="R830" s="4">
        <v>0.58750000000000002</v>
      </c>
      <c r="S830" s="2" t="s">
        <v>33</v>
      </c>
      <c r="T830" s="2" t="s">
        <v>115</v>
      </c>
    </row>
    <row r="831" spans="1:20" x14ac:dyDescent="0.25">
      <c r="A831" s="2" t="s">
        <v>1837</v>
      </c>
      <c r="B831" s="3">
        <v>41965</v>
      </c>
      <c r="C831" s="3">
        <v>41967</v>
      </c>
      <c r="D831" s="2" t="s">
        <v>55</v>
      </c>
      <c r="E831" s="2" t="s">
        <v>704</v>
      </c>
      <c r="F831" s="2" t="s">
        <v>705</v>
      </c>
      <c r="G831" s="2" t="s">
        <v>58</v>
      </c>
      <c r="H831" s="2" t="s">
        <v>25</v>
      </c>
      <c r="I831" s="2" t="s">
        <v>394</v>
      </c>
      <c r="J831" s="2" t="s">
        <v>289</v>
      </c>
      <c r="K831" s="2" t="s">
        <v>82</v>
      </c>
      <c r="L831" s="2" t="s">
        <v>29</v>
      </c>
      <c r="M831" s="2" t="s">
        <v>30</v>
      </c>
      <c r="N831" s="2" t="s">
        <v>31</v>
      </c>
      <c r="O831" s="2" t="s">
        <v>32</v>
      </c>
      <c r="P831" s="4">
        <v>102.18</v>
      </c>
      <c r="Q831" s="4">
        <v>2</v>
      </c>
      <c r="R831" s="4">
        <v>-29.268899999999999</v>
      </c>
      <c r="S831" s="2" t="s">
        <v>53</v>
      </c>
      <c r="T831" s="2" t="s">
        <v>93</v>
      </c>
    </row>
    <row r="832" spans="1:20" x14ac:dyDescent="0.25">
      <c r="A832" s="2" t="s">
        <v>1838</v>
      </c>
      <c r="B832" s="3">
        <v>42145</v>
      </c>
      <c r="C832" s="3">
        <v>42146</v>
      </c>
      <c r="D832" s="2" t="s">
        <v>55</v>
      </c>
      <c r="E832" s="2" t="s">
        <v>1275</v>
      </c>
      <c r="F832" s="2" t="s">
        <v>1276</v>
      </c>
      <c r="G832" s="2" t="s">
        <v>24</v>
      </c>
      <c r="H832" s="2" t="s">
        <v>25</v>
      </c>
      <c r="I832" s="2" t="s">
        <v>378</v>
      </c>
      <c r="J832" s="2" t="s">
        <v>98</v>
      </c>
      <c r="K832" s="2" t="s">
        <v>82</v>
      </c>
      <c r="L832" s="2" t="s">
        <v>66</v>
      </c>
      <c r="M832" s="2" t="s">
        <v>30</v>
      </c>
      <c r="N832" s="2" t="s">
        <v>31</v>
      </c>
      <c r="O832" s="2" t="s">
        <v>67</v>
      </c>
      <c r="P832" s="4">
        <v>152.9237</v>
      </c>
      <c r="Q832" s="4">
        <v>4</v>
      </c>
      <c r="R832" s="4">
        <v>4.4885999999999999</v>
      </c>
      <c r="S832" s="2" t="s">
        <v>33</v>
      </c>
      <c r="T832" s="2" t="s">
        <v>122</v>
      </c>
    </row>
    <row r="833" spans="1:20" x14ac:dyDescent="0.25">
      <c r="A833" s="2" t="s">
        <v>1839</v>
      </c>
      <c r="B833" s="3">
        <v>42350</v>
      </c>
      <c r="C833" s="3">
        <v>42356</v>
      </c>
      <c r="D833" s="2" t="s">
        <v>55</v>
      </c>
      <c r="E833" s="2" t="s">
        <v>1840</v>
      </c>
      <c r="F833" s="2" t="s">
        <v>1841</v>
      </c>
      <c r="G833" s="2" t="s">
        <v>38</v>
      </c>
      <c r="H833" s="2" t="s">
        <v>25</v>
      </c>
      <c r="I833" s="2" t="s">
        <v>666</v>
      </c>
      <c r="J833" s="2" t="s">
        <v>667</v>
      </c>
      <c r="K833" s="2" t="s">
        <v>28</v>
      </c>
      <c r="L833" s="2" t="s">
        <v>323</v>
      </c>
      <c r="M833" s="2" t="s">
        <v>30</v>
      </c>
      <c r="N833" s="2" t="s">
        <v>31</v>
      </c>
      <c r="O833" s="2" t="s">
        <v>324</v>
      </c>
      <c r="P833" s="4">
        <v>192.18700000000001</v>
      </c>
      <c r="Q833" s="4">
        <v>4</v>
      </c>
      <c r="R833" s="4">
        <v>-12.8301</v>
      </c>
      <c r="S833" s="2" t="s">
        <v>65</v>
      </c>
      <c r="T833" s="2" t="s">
        <v>76</v>
      </c>
    </row>
    <row r="834" spans="1:20" x14ac:dyDescent="0.25">
      <c r="A834" s="2" t="s">
        <v>1842</v>
      </c>
      <c r="B834" s="3">
        <v>43070</v>
      </c>
      <c r="C834" s="3">
        <v>43074</v>
      </c>
      <c r="D834" s="2" t="s">
        <v>55</v>
      </c>
      <c r="E834" s="2" t="s">
        <v>731</v>
      </c>
      <c r="F834" s="2" t="s">
        <v>732</v>
      </c>
      <c r="G834" s="2" t="s">
        <v>38</v>
      </c>
      <c r="H834" s="2" t="s">
        <v>25</v>
      </c>
      <c r="I834" s="2" t="s">
        <v>485</v>
      </c>
      <c r="J834" s="2" t="s">
        <v>251</v>
      </c>
      <c r="K834" s="2" t="s">
        <v>147</v>
      </c>
      <c r="L834" s="2" t="s">
        <v>793</v>
      </c>
      <c r="M834" s="2" t="s">
        <v>30</v>
      </c>
      <c r="N834" s="2" t="s">
        <v>63</v>
      </c>
      <c r="O834" s="2" t="s">
        <v>794</v>
      </c>
      <c r="P834" s="4">
        <v>96.703400000000002</v>
      </c>
      <c r="Q834" s="4">
        <v>5</v>
      </c>
      <c r="R834" s="4">
        <v>15.8276</v>
      </c>
      <c r="S834" s="2" t="s">
        <v>75</v>
      </c>
      <c r="T834" s="2" t="s">
        <v>76</v>
      </c>
    </row>
    <row r="835" spans="1:20" x14ac:dyDescent="0.25">
      <c r="A835" s="2" t="s">
        <v>1843</v>
      </c>
      <c r="B835" s="3">
        <v>42084</v>
      </c>
      <c r="C835" s="3">
        <v>42088</v>
      </c>
      <c r="D835" s="2" t="s">
        <v>21</v>
      </c>
      <c r="E835" s="2" t="s">
        <v>1514</v>
      </c>
      <c r="F835" s="2" t="s">
        <v>1515</v>
      </c>
      <c r="G835" s="2" t="s">
        <v>24</v>
      </c>
      <c r="H835" s="2" t="s">
        <v>25</v>
      </c>
      <c r="I835" s="2" t="s">
        <v>462</v>
      </c>
      <c r="J835" s="2" t="s">
        <v>351</v>
      </c>
      <c r="K835" s="2" t="s">
        <v>147</v>
      </c>
      <c r="L835" s="2" t="s">
        <v>139</v>
      </c>
      <c r="M835" s="2" t="s">
        <v>30</v>
      </c>
      <c r="N835" s="2" t="s">
        <v>42</v>
      </c>
      <c r="O835" s="2" t="s">
        <v>140</v>
      </c>
      <c r="P835" s="4">
        <v>957.92629999999997</v>
      </c>
      <c r="Q835" s="4">
        <v>6</v>
      </c>
      <c r="R835" s="4">
        <v>135.4623</v>
      </c>
      <c r="S835" s="2" t="s">
        <v>75</v>
      </c>
      <c r="T835" s="2" t="s">
        <v>44</v>
      </c>
    </row>
    <row r="836" spans="1:20" x14ac:dyDescent="0.25">
      <c r="A836" s="2" t="s">
        <v>1844</v>
      </c>
      <c r="B836" s="3">
        <v>41977</v>
      </c>
      <c r="C836" s="3">
        <v>41980</v>
      </c>
      <c r="D836" s="2" t="s">
        <v>21</v>
      </c>
      <c r="E836" s="2" t="s">
        <v>1845</v>
      </c>
      <c r="F836" s="2" t="s">
        <v>1846</v>
      </c>
      <c r="G836" s="2" t="s">
        <v>58</v>
      </c>
      <c r="H836" s="2" t="s">
        <v>25</v>
      </c>
      <c r="I836" s="2" t="s">
        <v>501</v>
      </c>
      <c r="J836" s="2" t="s">
        <v>234</v>
      </c>
      <c r="K836" s="2" t="s">
        <v>82</v>
      </c>
      <c r="L836" s="2" t="s">
        <v>207</v>
      </c>
      <c r="M836" s="2" t="s">
        <v>30</v>
      </c>
      <c r="N836" s="2" t="s">
        <v>31</v>
      </c>
      <c r="O836" s="2" t="s">
        <v>208</v>
      </c>
      <c r="P836" s="4">
        <v>646.6902</v>
      </c>
      <c r="Q836" s="4">
        <v>2</v>
      </c>
      <c r="R836" s="4">
        <v>-264.3809</v>
      </c>
      <c r="S836" s="2" t="s">
        <v>92</v>
      </c>
      <c r="T836" s="2" t="s">
        <v>76</v>
      </c>
    </row>
    <row r="837" spans="1:20" x14ac:dyDescent="0.25">
      <c r="A837" s="2" t="s">
        <v>1847</v>
      </c>
      <c r="B837" s="3">
        <v>42452</v>
      </c>
      <c r="C837" s="3">
        <v>42455</v>
      </c>
      <c r="D837" s="2" t="s">
        <v>21</v>
      </c>
      <c r="E837" s="2" t="s">
        <v>1701</v>
      </c>
      <c r="F837" s="2" t="s">
        <v>1702</v>
      </c>
      <c r="G837" s="2" t="s">
        <v>58</v>
      </c>
      <c r="H837" s="2" t="s">
        <v>25</v>
      </c>
      <c r="I837" s="2" t="s">
        <v>552</v>
      </c>
      <c r="J837" s="2" t="s">
        <v>322</v>
      </c>
      <c r="K837" s="2" t="s">
        <v>28</v>
      </c>
      <c r="L837" s="2" t="s">
        <v>311</v>
      </c>
      <c r="M837" s="2" t="s">
        <v>30</v>
      </c>
      <c r="N837" s="2" t="s">
        <v>63</v>
      </c>
      <c r="O837" s="2" t="s">
        <v>312</v>
      </c>
      <c r="P837" s="4">
        <v>144.7843</v>
      </c>
      <c r="Q837" s="4">
        <v>6</v>
      </c>
      <c r="R837" s="4">
        <v>5.3727</v>
      </c>
      <c r="S837" s="2" t="s">
        <v>92</v>
      </c>
      <c r="T837" s="2" t="s">
        <v>44</v>
      </c>
    </row>
    <row r="838" spans="1:20" x14ac:dyDescent="0.25">
      <c r="A838" s="2" t="s">
        <v>1848</v>
      </c>
      <c r="B838" s="3">
        <v>42136</v>
      </c>
      <c r="C838" s="3">
        <v>42138</v>
      </c>
      <c r="D838" s="2" t="s">
        <v>48</v>
      </c>
      <c r="E838" s="2" t="s">
        <v>680</v>
      </c>
      <c r="F838" s="2" t="s">
        <v>681</v>
      </c>
      <c r="G838" s="2" t="s">
        <v>58</v>
      </c>
      <c r="H838" s="2" t="s">
        <v>25</v>
      </c>
      <c r="I838" s="2" t="s">
        <v>1184</v>
      </c>
      <c r="J838" s="2" t="s">
        <v>435</v>
      </c>
      <c r="K838" s="2" t="s">
        <v>61</v>
      </c>
      <c r="L838" s="2" t="s">
        <v>453</v>
      </c>
      <c r="M838" s="2" t="s">
        <v>30</v>
      </c>
      <c r="N838" s="2" t="s">
        <v>42</v>
      </c>
      <c r="O838" s="2" t="s">
        <v>454</v>
      </c>
      <c r="P838" s="4">
        <v>433.46120000000002</v>
      </c>
      <c r="Q838" s="4">
        <v>4</v>
      </c>
      <c r="R838" s="4">
        <v>207.10220000000001</v>
      </c>
      <c r="S838" s="2" t="s">
        <v>53</v>
      </c>
      <c r="T838" s="2" t="s">
        <v>122</v>
      </c>
    </row>
    <row r="839" spans="1:20" x14ac:dyDescent="0.25">
      <c r="A839" s="2" t="s">
        <v>1849</v>
      </c>
      <c r="B839" s="3">
        <v>42440</v>
      </c>
      <c r="C839" s="3">
        <v>42445</v>
      </c>
      <c r="D839" s="2" t="s">
        <v>55</v>
      </c>
      <c r="E839" s="2" t="s">
        <v>1850</v>
      </c>
      <c r="F839" s="2" t="s">
        <v>1851</v>
      </c>
      <c r="G839" s="2" t="s">
        <v>38</v>
      </c>
      <c r="H839" s="2" t="s">
        <v>25</v>
      </c>
      <c r="I839" s="2" t="s">
        <v>179</v>
      </c>
      <c r="J839" s="2" t="s">
        <v>180</v>
      </c>
      <c r="K839" s="2" t="s">
        <v>147</v>
      </c>
      <c r="L839" s="2" t="s">
        <v>235</v>
      </c>
      <c r="M839" s="2" t="s">
        <v>30</v>
      </c>
      <c r="N839" s="2" t="s">
        <v>31</v>
      </c>
      <c r="O839" s="2" t="s">
        <v>236</v>
      </c>
      <c r="P839" s="4">
        <v>72.203400000000002</v>
      </c>
      <c r="Q839" s="4">
        <v>5</v>
      </c>
      <c r="R839" s="4">
        <v>-5.4349999999999996</v>
      </c>
      <c r="S839" s="2" t="s">
        <v>85</v>
      </c>
      <c r="T839" s="2" t="s">
        <v>44</v>
      </c>
    </row>
    <row r="840" spans="1:20" x14ac:dyDescent="0.25">
      <c r="A840" s="2" t="s">
        <v>1852</v>
      </c>
      <c r="B840" s="3">
        <v>42730</v>
      </c>
      <c r="C840" s="3">
        <v>42730</v>
      </c>
      <c r="D840" s="2" t="s">
        <v>55</v>
      </c>
      <c r="E840" s="2" t="s">
        <v>1648</v>
      </c>
      <c r="F840" s="2" t="s">
        <v>1649</v>
      </c>
      <c r="G840" s="2" t="s">
        <v>38</v>
      </c>
      <c r="H840" s="2" t="s">
        <v>25</v>
      </c>
      <c r="I840" s="2" t="s">
        <v>736</v>
      </c>
      <c r="J840" s="2" t="s">
        <v>728</v>
      </c>
      <c r="K840" s="2" t="s">
        <v>147</v>
      </c>
      <c r="L840" s="2" t="s">
        <v>719</v>
      </c>
      <c r="M840" s="2" t="s">
        <v>30</v>
      </c>
      <c r="N840" s="2" t="s">
        <v>63</v>
      </c>
      <c r="O840" s="2" t="s">
        <v>720</v>
      </c>
      <c r="P840" s="4">
        <v>753.38499999999999</v>
      </c>
      <c r="Q840" s="4">
        <v>4</v>
      </c>
      <c r="R840" s="4">
        <v>194.7647</v>
      </c>
      <c r="S840" s="2" t="s">
        <v>121</v>
      </c>
      <c r="T840" s="2" t="s">
        <v>76</v>
      </c>
    </row>
    <row r="841" spans="1:20" x14ac:dyDescent="0.25">
      <c r="A841" s="2" t="s">
        <v>1853</v>
      </c>
      <c r="B841" s="3">
        <v>42053</v>
      </c>
      <c r="C841" s="3">
        <v>42053</v>
      </c>
      <c r="D841" s="2" t="s">
        <v>55</v>
      </c>
      <c r="E841" s="2" t="s">
        <v>1815</v>
      </c>
      <c r="F841" s="2" t="s">
        <v>1816</v>
      </c>
      <c r="G841" s="2" t="s">
        <v>24</v>
      </c>
      <c r="H841" s="2" t="s">
        <v>25</v>
      </c>
      <c r="I841" s="2" t="s">
        <v>1697</v>
      </c>
      <c r="J841" s="2" t="s">
        <v>52</v>
      </c>
      <c r="K841" s="2" t="s">
        <v>28</v>
      </c>
      <c r="L841" s="2" t="s">
        <v>99</v>
      </c>
      <c r="M841" s="2" t="s">
        <v>30</v>
      </c>
      <c r="N841" s="2" t="s">
        <v>42</v>
      </c>
      <c r="O841" s="2" t="s">
        <v>100</v>
      </c>
      <c r="P841" s="4">
        <v>1561.2061000000001</v>
      </c>
      <c r="Q841" s="4">
        <v>7</v>
      </c>
      <c r="R841" s="4">
        <v>513.12959999999998</v>
      </c>
      <c r="S841" s="2" t="s">
        <v>121</v>
      </c>
      <c r="T841" s="2" t="s">
        <v>101</v>
      </c>
    </row>
    <row r="842" spans="1:20" x14ac:dyDescent="0.25">
      <c r="A842" s="2" t="s">
        <v>1854</v>
      </c>
      <c r="B842" s="3">
        <v>41769</v>
      </c>
      <c r="C842" s="3">
        <v>41770</v>
      </c>
      <c r="D842" s="2" t="s">
        <v>55</v>
      </c>
      <c r="E842" s="2" t="s">
        <v>1855</v>
      </c>
      <c r="F842" s="2" t="s">
        <v>1856</v>
      </c>
      <c r="G842" s="2" t="s">
        <v>38</v>
      </c>
      <c r="H842" s="2" t="s">
        <v>25</v>
      </c>
      <c r="I842" s="2" t="s">
        <v>474</v>
      </c>
      <c r="J842" s="2" t="s">
        <v>475</v>
      </c>
      <c r="K842" s="2" t="s">
        <v>28</v>
      </c>
      <c r="L842" s="2" t="s">
        <v>99</v>
      </c>
      <c r="M842" s="2" t="s">
        <v>30</v>
      </c>
      <c r="N842" s="2" t="s">
        <v>42</v>
      </c>
      <c r="O842" s="2" t="s">
        <v>100</v>
      </c>
      <c r="P842" s="4">
        <v>90.181100000000001</v>
      </c>
      <c r="Q842" s="4">
        <v>2</v>
      </c>
      <c r="R842" s="4">
        <v>25.052800000000001</v>
      </c>
      <c r="S842" s="2" t="s">
        <v>33</v>
      </c>
      <c r="T842" s="2" t="s">
        <v>122</v>
      </c>
    </row>
    <row r="843" spans="1:20" x14ac:dyDescent="0.25">
      <c r="A843" s="2" t="s">
        <v>1857</v>
      </c>
      <c r="B843" s="3">
        <v>42028</v>
      </c>
      <c r="C843" s="3">
        <v>42033</v>
      </c>
      <c r="D843" s="2" t="s">
        <v>55</v>
      </c>
      <c r="E843" s="2" t="s">
        <v>248</v>
      </c>
      <c r="F843" s="2" t="s">
        <v>249</v>
      </c>
      <c r="G843" s="2" t="s">
        <v>58</v>
      </c>
      <c r="H843" s="2" t="s">
        <v>25</v>
      </c>
      <c r="I843" s="2" t="s">
        <v>371</v>
      </c>
      <c r="J843" s="2" t="s">
        <v>127</v>
      </c>
      <c r="K843" s="2" t="s">
        <v>82</v>
      </c>
      <c r="L843" s="2" t="s">
        <v>311</v>
      </c>
      <c r="M843" s="2" t="s">
        <v>30</v>
      </c>
      <c r="N843" s="2" t="s">
        <v>63</v>
      </c>
      <c r="O843" s="2" t="s">
        <v>312</v>
      </c>
      <c r="P843" s="4">
        <v>113.0471</v>
      </c>
      <c r="Q843" s="4">
        <v>4</v>
      </c>
      <c r="R843" s="4">
        <v>-51.007599999999996</v>
      </c>
      <c r="S843" s="2" t="s">
        <v>85</v>
      </c>
      <c r="T843" s="2" t="s">
        <v>115</v>
      </c>
    </row>
    <row r="844" spans="1:20" x14ac:dyDescent="0.25">
      <c r="A844" s="2" t="s">
        <v>1858</v>
      </c>
      <c r="B844" s="3">
        <v>42287</v>
      </c>
      <c r="C844" s="3">
        <v>42289</v>
      </c>
      <c r="D844" s="2" t="s">
        <v>21</v>
      </c>
      <c r="E844" s="2" t="s">
        <v>758</v>
      </c>
      <c r="F844" s="2" t="s">
        <v>759</v>
      </c>
      <c r="G844" s="2" t="s">
        <v>58</v>
      </c>
      <c r="H844" s="2" t="s">
        <v>25</v>
      </c>
      <c r="I844" s="2" t="s">
        <v>51</v>
      </c>
      <c r="J844" s="2" t="s">
        <v>52</v>
      </c>
      <c r="K844" s="2" t="s">
        <v>28</v>
      </c>
      <c r="L844" s="2" t="s">
        <v>45</v>
      </c>
      <c r="M844" s="2" t="s">
        <v>30</v>
      </c>
      <c r="N844" s="2" t="s">
        <v>31</v>
      </c>
      <c r="O844" s="2" t="s">
        <v>46</v>
      </c>
      <c r="P844" s="4">
        <v>71.278800000000004</v>
      </c>
      <c r="Q844" s="4">
        <v>2</v>
      </c>
      <c r="R844" s="4">
        <v>4.0023</v>
      </c>
      <c r="S844" s="2" t="s">
        <v>53</v>
      </c>
      <c r="T844" s="2" t="s">
        <v>224</v>
      </c>
    </row>
    <row r="845" spans="1:20" x14ac:dyDescent="0.25">
      <c r="A845" s="2" t="s">
        <v>1859</v>
      </c>
      <c r="B845" s="3">
        <v>42257</v>
      </c>
      <c r="C845" s="3">
        <v>42263</v>
      </c>
      <c r="D845" s="2" t="s">
        <v>55</v>
      </c>
      <c r="E845" s="2" t="s">
        <v>1860</v>
      </c>
      <c r="F845" s="2" t="s">
        <v>1861</v>
      </c>
      <c r="G845" s="2" t="s">
        <v>38</v>
      </c>
      <c r="H845" s="2" t="s">
        <v>25</v>
      </c>
      <c r="I845" s="2" t="s">
        <v>469</v>
      </c>
      <c r="J845" s="2" t="s">
        <v>470</v>
      </c>
      <c r="K845" s="2" t="s">
        <v>28</v>
      </c>
      <c r="L845" s="2" t="s">
        <v>218</v>
      </c>
      <c r="M845" s="2" t="s">
        <v>30</v>
      </c>
      <c r="N845" s="2" t="s">
        <v>31</v>
      </c>
      <c r="O845" s="2" t="s">
        <v>219</v>
      </c>
      <c r="P845" s="4">
        <v>5.0481999999999996</v>
      </c>
      <c r="Q845" s="4">
        <v>3</v>
      </c>
      <c r="R845" s="4">
        <v>1.5247999999999999</v>
      </c>
      <c r="S845" s="2" t="s">
        <v>65</v>
      </c>
      <c r="T845" s="2" t="s">
        <v>148</v>
      </c>
    </row>
    <row r="846" spans="1:20" x14ac:dyDescent="0.25">
      <c r="A846" s="2" t="s">
        <v>1862</v>
      </c>
      <c r="B846" s="3">
        <v>41912</v>
      </c>
      <c r="C846" s="3">
        <v>41912</v>
      </c>
      <c r="D846" s="2" t="s">
        <v>55</v>
      </c>
      <c r="E846" s="2" t="s">
        <v>262</v>
      </c>
      <c r="F846" s="2" t="s">
        <v>263</v>
      </c>
      <c r="G846" s="2" t="s">
        <v>38</v>
      </c>
      <c r="H846" s="2" t="s">
        <v>25</v>
      </c>
      <c r="I846" s="2" t="s">
        <v>360</v>
      </c>
      <c r="J846" s="2" t="s">
        <v>160</v>
      </c>
      <c r="K846" s="2" t="s">
        <v>61</v>
      </c>
      <c r="L846" s="2" t="s">
        <v>45</v>
      </c>
      <c r="M846" s="2" t="s">
        <v>30</v>
      </c>
      <c r="N846" s="2" t="s">
        <v>31</v>
      </c>
      <c r="O846" s="2" t="s">
        <v>46</v>
      </c>
      <c r="P846" s="4">
        <v>15.981</v>
      </c>
      <c r="Q846" s="4">
        <v>8</v>
      </c>
      <c r="R846" s="4">
        <v>-0.34760000000000002</v>
      </c>
      <c r="S846" s="2" t="s">
        <v>121</v>
      </c>
      <c r="T846" s="2" t="s">
        <v>148</v>
      </c>
    </row>
    <row r="847" spans="1:20" x14ac:dyDescent="0.25">
      <c r="A847" s="2" t="s">
        <v>1863</v>
      </c>
      <c r="B847" s="3">
        <v>42686</v>
      </c>
      <c r="C847" s="3">
        <v>42686</v>
      </c>
      <c r="D847" s="2" t="s">
        <v>21</v>
      </c>
      <c r="E847" s="2" t="s">
        <v>1864</v>
      </c>
      <c r="F847" s="2" t="s">
        <v>1865</v>
      </c>
      <c r="G847" s="2" t="s">
        <v>38</v>
      </c>
      <c r="H847" s="2" t="s">
        <v>25</v>
      </c>
      <c r="I847" s="2" t="s">
        <v>485</v>
      </c>
      <c r="J847" s="2" t="s">
        <v>251</v>
      </c>
      <c r="K847" s="2" t="s">
        <v>147</v>
      </c>
      <c r="L847" s="2" t="s">
        <v>207</v>
      </c>
      <c r="M847" s="2" t="s">
        <v>30</v>
      </c>
      <c r="N847" s="2" t="s">
        <v>31</v>
      </c>
      <c r="O847" s="2" t="s">
        <v>208</v>
      </c>
      <c r="P847" s="4">
        <v>19.941700000000001</v>
      </c>
      <c r="Q847" s="4">
        <v>4</v>
      </c>
      <c r="R847" s="4">
        <v>3.2932000000000001</v>
      </c>
      <c r="S847" s="2" t="s">
        <v>121</v>
      </c>
      <c r="T847" s="2" t="s">
        <v>93</v>
      </c>
    </row>
    <row r="848" spans="1:20" x14ac:dyDescent="0.25">
      <c r="A848" s="2" t="s">
        <v>1866</v>
      </c>
      <c r="B848" s="3">
        <v>42909</v>
      </c>
      <c r="C848" s="3">
        <v>42912</v>
      </c>
      <c r="D848" s="2" t="s">
        <v>55</v>
      </c>
      <c r="E848" s="2" t="s">
        <v>1712</v>
      </c>
      <c r="F848" s="2" t="s">
        <v>1713</v>
      </c>
      <c r="G848" s="2" t="s">
        <v>58</v>
      </c>
      <c r="H848" s="2" t="s">
        <v>25</v>
      </c>
      <c r="I848" s="2" t="s">
        <v>394</v>
      </c>
      <c r="J848" s="2" t="s">
        <v>289</v>
      </c>
      <c r="K848" s="2" t="s">
        <v>82</v>
      </c>
      <c r="L848" s="2" t="s">
        <v>154</v>
      </c>
      <c r="M848" s="2" t="s">
        <v>30</v>
      </c>
      <c r="N848" s="2" t="s">
        <v>42</v>
      </c>
      <c r="O848" s="2" t="s">
        <v>155</v>
      </c>
      <c r="P848" s="4">
        <v>433.2894</v>
      </c>
      <c r="Q848" s="4">
        <v>5</v>
      </c>
      <c r="R848" s="4">
        <v>-55.345199999999998</v>
      </c>
      <c r="S848" s="2" t="s">
        <v>92</v>
      </c>
      <c r="T848" s="2" t="s">
        <v>133</v>
      </c>
    </row>
    <row r="849" spans="1:20" x14ac:dyDescent="0.25">
      <c r="A849" s="2" t="s">
        <v>1867</v>
      </c>
      <c r="B849" s="3">
        <v>42864</v>
      </c>
      <c r="C849" s="3">
        <v>42870</v>
      </c>
      <c r="D849" s="2" t="s">
        <v>55</v>
      </c>
      <c r="E849" s="2" t="s">
        <v>1652</v>
      </c>
      <c r="F849" s="2" t="s">
        <v>1653</v>
      </c>
      <c r="G849" s="2" t="s">
        <v>58</v>
      </c>
      <c r="H849" s="2" t="s">
        <v>25</v>
      </c>
      <c r="I849" s="2" t="s">
        <v>799</v>
      </c>
      <c r="J849" s="2" t="s">
        <v>160</v>
      </c>
      <c r="K849" s="2" t="s">
        <v>61</v>
      </c>
      <c r="L849" s="2" t="s">
        <v>41</v>
      </c>
      <c r="M849" s="2" t="s">
        <v>30</v>
      </c>
      <c r="N849" s="2" t="s">
        <v>42</v>
      </c>
      <c r="O849" s="2" t="s">
        <v>43</v>
      </c>
      <c r="P849" s="4">
        <v>370.3252</v>
      </c>
      <c r="Q849" s="4">
        <v>4</v>
      </c>
      <c r="R849" s="4">
        <v>-49.775300000000001</v>
      </c>
      <c r="S849" s="2" t="s">
        <v>65</v>
      </c>
      <c r="T849" s="2" t="s">
        <v>122</v>
      </c>
    </row>
    <row r="850" spans="1:20" x14ac:dyDescent="0.25">
      <c r="A850" s="2" t="s">
        <v>1868</v>
      </c>
      <c r="B850" s="3">
        <v>42109</v>
      </c>
      <c r="C850" s="3">
        <v>42111</v>
      </c>
      <c r="D850" s="2" t="s">
        <v>48</v>
      </c>
      <c r="E850" s="2" t="s">
        <v>1869</v>
      </c>
      <c r="F850" s="2" t="s">
        <v>1870</v>
      </c>
      <c r="G850" s="2" t="s">
        <v>58</v>
      </c>
      <c r="H850" s="2" t="s">
        <v>25</v>
      </c>
      <c r="I850" s="2" t="s">
        <v>1797</v>
      </c>
      <c r="J850" s="2" t="s">
        <v>180</v>
      </c>
      <c r="K850" s="2" t="s">
        <v>147</v>
      </c>
      <c r="L850" s="2" t="s">
        <v>45</v>
      </c>
      <c r="M850" s="2" t="s">
        <v>30</v>
      </c>
      <c r="N850" s="2" t="s">
        <v>31</v>
      </c>
      <c r="O850" s="2" t="s">
        <v>46</v>
      </c>
      <c r="P850" s="4">
        <v>43.062800000000003</v>
      </c>
      <c r="Q850" s="4">
        <v>5</v>
      </c>
      <c r="R850" s="4">
        <v>-6.7739000000000003</v>
      </c>
      <c r="S850" s="2" t="s">
        <v>53</v>
      </c>
      <c r="T850" s="2" t="s">
        <v>108</v>
      </c>
    </row>
    <row r="851" spans="1:20" x14ac:dyDescent="0.25">
      <c r="A851" s="2" t="s">
        <v>1871</v>
      </c>
      <c r="B851" s="3">
        <v>42707</v>
      </c>
      <c r="C851" s="3">
        <v>42710</v>
      </c>
      <c r="D851" s="2" t="s">
        <v>55</v>
      </c>
      <c r="E851" s="2" t="s">
        <v>1017</v>
      </c>
      <c r="F851" s="2" t="s">
        <v>1018</v>
      </c>
      <c r="G851" s="2" t="s">
        <v>58</v>
      </c>
      <c r="H851" s="2" t="s">
        <v>25</v>
      </c>
      <c r="I851" s="2" t="s">
        <v>495</v>
      </c>
      <c r="J851" s="2" t="s">
        <v>496</v>
      </c>
      <c r="K851" s="2" t="s">
        <v>147</v>
      </c>
      <c r="L851" s="2" t="s">
        <v>207</v>
      </c>
      <c r="M851" s="2" t="s">
        <v>30</v>
      </c>
      <c r="N851" s="2" t="s">
        <v>31</v>
      </c>
      <c r="O851" s="2" t="s">
        <v>208</v>
      </c>
      <c r="P851" s="4">
        <v>163.6352</v>
      </c>
      <c r="Q851" s="4">
        <v>8</v>
      </c>
      <c r="R851" s="4">
        <v>35.2545</v>
      </c>
      <c r="S851" s="2" t="s">
        <v>92</v>
      </c>
      <c r="T851" s="2" t="s">
        <v>76</v>
      </c>
    </row>
    <row r="852" spans="1:20" x14ac:dyDescent="0.25">
      <c r="A852" s="2" t="s">
        <v>1872</v>
      </c>
      <c r="B852" s="3">
        <v>41897</v>
      </c>
      <c r="C852" s="3">
        <v>41904</v>
      </c>
      <c r="D852" s="2" t="s">
        <v>55</v>
      </c>
      <c r="E852" s="2" t="s">
        <v>1873</v>
      </c>
      <c r="F852" s="2" t="s">
        <v>1874</v>
      </c>
      <c r="G852" s="2" t="s">
        <v>38</v>
      </c>
      <c r="H852" s="2" t="s">
        <v>25</v>
      </c>
      <c r="I852" s="2" t="s">
        <v>97</v>
      </c>
      <c r="J852" s="2" t="s">
        <v>112</v>
      </c>
      <c r="K852" s="2" t="s">
        <v>28</v>
      </c>
      <c r="L852" s="2" t="s">
        <v>207</v>
      </c>
      <c r="M852" s="2" t="s">
        <v>30</v>
      </c>
      <c r="N852" s="2" t="s">
        <v>31</v>
      </c>
      <c r="O852" s="2" t="s">
        <v>208</v>
      </c>
      <c r="P852" s="4">
        <v>105.4614</v>
      </c>
      <c r="Q852" s="4">
        <v>6</v>
      </c>
      <c r="R852" s="4">
        <v>11.3164</v>
      </c>
      <c r="S852" s="2" t="s">
        <v>107</v>
      </c>
      <c r="T852" s="2" t="s">
        <v>148</v>
      </c>
    </row>
    <row r="853" spans="1:20" x14ac:dyDescent="0.25">
      <c r="A853" s="2" t="s">
        <v>1875</v>
      </c>
      <c r="B853" s="3">
        <v>42508</v>
      </c>
      <c r="C853" s="3">
        <v>42508</v>
      </c>
      <c r="D853" s="2" t="s">
        <v>142</v>
      </c>
      <c r="E853" s="2" t="s">
        <v>1876</v>
      </c>
      <c r="F853" s="2" t="s">
        <v>1877</v>
      </c>
      <c r="G853" s="2" t="s">
        <v>58</v>
      </c>
      <c r="H853" s="2" t="s">
        <v>25</v>
      </c>
      <c r="I853" s="2" t="s">
        <v>71</v>
      </c>
      <c r="J853" s="2" t="s">
        <v>72</v>
      </c>
      <c r="K853" s="2" t="s">
        <v>61</v>
      </c>
      <c r="L853" s="2" t="s">
        <v>66</v>
      </c>
      <c r="M853" s="2" t="s">
        <v>30</v>
      </c>
      <c r="N853" s="2" t="s">
        <v>31</v>
      </c>
      <c r="O853" s="2" t="s">
        <v>67</v>
      </c>
      <c r="P853" s="4">
        <v>68.868799999999993</v>
      </c>
      <c r="Q853" s="4">
        <v>5</v>
      </c>
      <c r="R853" s="4">
        <v>-13.726000000000001</v>
      </c>
      <c r="S853" s="2" t="s">
        <v>121</v>
      </c>
      <c r="T853" s="2" t="s">
        <v>122</v>
      </c>
    </row>
    <row r="854" spans="1:20" x14ac:dyDescent="0.25">
      <c r="A854" s="2" t="s">
        <v>1878</v>
      </c>
      <c r="B854" s="3">
        <v>41803</v>
      </c>
      <c r="C854" s="3">
        <v>41809</v>
      </c>
      <c r="D854" s="2" t="s">
        <v>55</v>
      </c>
      <c r="E854" s="2" t="s">
        <v>314</v>
      </c>
      <c r="F854" s="2" t="s">
        <v>315</v>
      </c>
      <c r="G854" s="2" t="s">
        <v>58</v>
      </c>
      <c r="H854" s="2" t="s">
        <v>25</v>
      </c>
      <c r="I854" s="2" t="s">
        <v>449</v>
      </c>
      <c r="J854" s="2" t="s">
        <v>98</v>
      </c>
      <c r="K854" s="2" t="s">
        <v>82</v>
      </c>
      <c r="L854" s="2" t="s">
        <v>66</v>
      </c>
      <c r="M854" s="2" t="s">
        <v>30</v>
      </c>
      <c r="N854" s="2" t="s">
        <v>31</v>
      </c>
      <c r="O854" s="2" t="s">
        <v>67</v>
      </c>
      <c r="P854" s="4">
        <v>40.067799999999998</v>
      </c>
      <c r="Q854" s="4">
        <v>3</v>
      </c>
      <c r="R854" s="4">
        <v>19.6937</v>
      </c>
      <c r="S854" s="2" t="s">
        <v>65</v>
      </c>
      <c r="T854" s="2" t="s">
        <v>133</v>
      </c>
    </row>
    <row r="855" spans="1:20" x14ac:dyDescent="0.25">
      <c r="A855" s="2" t="s">
        <v>1879</v>
      </c>
      <c r="B855" s="3">
        <v>41680</v>
      </c>
      <c r="C855" s="3">
        <v>41682</v>
      </c>
      <c r="D855" s="2" t="s">
        <v>55</v>
      </c>
      <c r="E855" s="2" t="s">
        <v>1880</v>
      </c>
      <c r="F855" s="2" t="s">
        <v>1881</v>
      </c>
      <c r="G855" s="2" t="s">
        <v>24</v>
      </c>
      <c r="H855" s="2" t="s">
        <v>25</v>
      </c>
      <c r="I855" s="2" t="s">
        <v>1375</v>
      </c>
      <c r="J855" s="2" t="s">
        <v>72</v>
      </c>
      <c r="K855" s="2" t="s">
        <v>61</v>
      </c>
      <c r="L855" s="2" t="s">
        <v>200</v>
      </c>
      <c r="M855" s="2" t="s">
        <v>30</v>
      </c>
      <c r="N855" s="2" t="s">
        <v>162</v>
      </c>
      <c r="O855" s="2" t="s">
        <v>201</v>
      </c>
      <c r="P855" s="4">
        <v>173.42179999999999</v>
      </c>
      <c r="Q855" s="4">
        <v>1</v>
      </c>
      <c r="R855" s="4">
        <v>26.874199999999998</v>
      </c>
      <c r="S855" s="2" t="s">
        <v>53</v>
      </c>
      <c r="T855" s="2" t="s">
        <v>101</v>
      </c>
    </row>
    <row r="856" spans="1:20" x14ac:dyDescent="0.25">
      <c r="A856" s="2" t="s">
        <v>1882</v>
      </c>
      <c r="B856" s="3">
        <v>42220</v>
      </c>
      <c r="C856" s="3">
        <v>42221</v>
      </c>
      <c r="D856" s="2" t="s">
        <v>21</v>
      </c>
      <c r="E856" s="2" t="s">
        <v>1883</v>
      </c>
      <c r="F856" s="2" t="s">
        <v>1884</v>
      </c>
      <c r="G856" s="2" t="s">
        <v>38</v>
      </c>
      <c r="H856" s="2" t="s">
        <v>25</v>
      </c>
      <c r="I856" s="2" t="s">
        <v>462</v>
      </c>
      <c r="J856" s="2" t="s">
        <v>351</v>
      </c>
      <c r="K856" s="2" t="s">
        <v>147</v>
      </c>
      <c r="L856" s="2" t="s">
        <v>41</v>
      </c>
      <c r="M856" s="2" t="s">
        <v>30</v>
      </c>
      <c r="N856" s="2" t="s">
        <v>42</v>
      </c>
      <c r="O856" s="2" t="s">
        <v>43</v>
      </c>
      <c r="P856" s="4">
        <v>450.89929999999998</v>
      </c>
      <c r="Q856" s="4">
        <v>5</v>
      </c>
      <c r="R856" s="4">
        <v>223.4162</v>
      </c>
      <c r="S856" s="2" t="s">
        <v>33</v>
      </c>
      <c r="T856" s="2" t="s">
        <v>34</v>
      </c>
    </row>
    <row r="857" spans="1:20" x14ac:dyDescent="0.25">
      <c r="A857" s="2" t="s">
        <v>1885</v>
      </c>
      <c r="B857" s="3">
        <v>42665</v>
      </c>
      <c r="C857" s="3">
        <v>42669</v>
      </c>
      <c r="D857" s="2" t="s">
        <v>55</v>
      </c>
      <c r="E857" s="2" t="s">
        <v>1886</v>
      </c>
      <c r="F857" s="2" t="s">
        <v>1887</v>
      </c>
      <c r="G857" s="2" t="s">
        <v>58</v>
      </c>
      <c r="H857" s="2" t="s">
        <v>25</v>
      </c>
      <c r="I857" s="2" t="s">
        <v>829</v>
      </c>
      <c r="J857" s="2" t="s">
        <v>199</v>
      </c>
      <c r="K857" s="2" t="s">
        <v>82</v>
      </c>
      <c r="L857" s="2" t="s">
        <v>45</v>
      </c>
      <c r="M857" s="2" t="s">
        <v>30</v>
      </c>
      <c r="N857" s="2" t="s">
        <v>31</v>
      </c>
      <c r="O857" s="2" t="s">
        <v>46</v>
      </c>
      <c r="P857" s="4">
        <v>25.235600000000002</v>
      </c>
      <c r="Q857" s="4">
        <v>3</v>
      </c>
      <c r="R857" s="4">
        <v>5.6783999999999999</v>
      </c>
      <c r="S857" s="2" t="s">
        <v>75</v>
      </c>
      <c r="T857" s="2" t="s">
        <v>224</v>
      </c>
    </row>
    <row r="858" spans="1:20" x14ac:dyDescent="0.25">
      <c r="A858" s="2" t="s">
        <v>1888</v>
      </c>
      <c r="B858" s="3">
        <v>41719</v>
      </c>
      <c r="C858" s="3">
        <v>41719</v>
      </c>
      <c r="D858" s="2" t="s">
        <v>142</v>
      </c>
      <c r="E858" s="2" t="s">
        <v>1503</v>
      </c>
      <c r="F858" s="2" t="s">
        <v>1504</v>
      </c>
      <c r="G858" s="2" t="s">
        <v>24</v>
      </c>
      <c r="H858" s="2" t="s">
        <v>25</v>
      </c>
      <c r="I858" s="2" t="s">
        <v>760</v>
      </c>
      <c r="J858" s="2" t="s">
        <v>112</v>
      </c>
      <c r="K858" s="2" t="s">
        <v>28</v>
      </c>
      <c r="L858" s="2" t="s">
        <v>186</v>
      </c>
      <c r="M858" s="2" t="s">
        <v>30</v>
      </c>
      <c r="N858" s="2" t="s">
        <v>31</v>
      </c>
      <c r="O858" s="2" t="s">
        <v>187</v>
      </c>
      <c r="P858" s="4">
        <v>18.9541</v>
      </c>
      <c r="Q858" s="4">
        <v>6</v>
      </c>
      <c r="R858" s="4">
        <v>2.8328000000000002</v>
      </c>
      <c r="S858" s="2" t="s">
        <v>121</v>
      </c>
      <c r="T858" s="2" t="s">
        <v>44</v>
      </c>
    </row>
    <row r="859" spans="1:20" x14ac:dyDescent="0.25">
      <c r="A859" s="2" t="s">
        <v>1889</v>
      </c>
      <c r="B859" s="3">
        <v>42683</v>
      </c>
      <c r="C859" s="3">
        <v>42685</v>
      </c>
      <c r="D859" s="2" t="s">
        <v>48</v>
      </c>
      <c r="E859" s="2" t="s">
        <v>182</v>
      </c>
      <c r="F859" s="2" t="s">
        <v>183</v>
      </c>
      <c r="G859" s="2" t="s">
        <v>38</v>
      </c>
      <c r="H859" s="2" t="s">
        <v>25</v>
      </c>
      <c r="I859" s="2" t="s">
        <v>982</v>
      </c>
      <c r="J859" s="2" t="s">
        <v>180</v>
      </c>
      <c r="K859" s="2" t="s">
        <v>147</v>
      </c>
      <c r="L859" s="2" t="s">
        <v>283</v>
      </c>
      <c r="M859" s="2" t="s">
        <v>30</v>
      </c>
      <c r="N859" s="2" t="s">
        <v>162</v>
      </c>
      <c r="O859" s="2" t="s">
        <v>284</v>
      </c>
      <c r="P859" s="4">
        <v>369.88080000000002</v>
      </c>
      <c r="Q859" s="4">
        <v>4</v>
      </c>
      <c r="R859" s="4">
        <v>316.03840000000002</v>
      </c>
      <c r="S859" s="2" t="s">
        <v>53</v>
      </c>
      <c r="T859" s="2" t="s">
        <v>93</v>
      </c>
    </row>
    <row r="860" spans="1:20" x14ac:dyDescent="0.25">
      <c r="A860" s="2" t="s">
        <v>1890</v>
      </c>
      <c r="B860" s="3">
        <v>42932</v>
      </c>
      <c r="C860" s="3">
        <v>42932</v>
      </c>
      <c r="D860" s="2" t="s">
        <v>142</v>
      </c>
      <c r="E860" s="2" t="s">
        <v>1891</v>
      </c>
      <c r="F860" s="2" t="s">
        <v>1892</v>
      </c>
      <c r="G860" s="2" t="s">
        <v>38</v>
      </c>
      <c r="H860" s="2" t="s">
        <v>25</v>
      </c>
      <c r="I860" s="2" t="s">
        <v>71</v>
      </c>
      <c r="J860" s="2" t="s">
        <v>72</v>
      </c>
      <c r="K860" s="2" t="s">
        <v>61</v>
      </c>
      <c r="L860" s="2" t="s">
        <v>344</v>
      </c>
      <c r="M860" s="2" t="s">
        <v>30</v>
      </c>
      <c r="N860" s="2" t="s">
        <v>42</v>
      </c>
      <c r="O860" s="2" t="s">
        <v>345</v>
      </c>
      <c r="P860" s="4">
        <v>59.099600000000002</v>
      </c>
      <c r="Q860" s="4">
        <v>5</v>
      </c>
      <c r="R860" s="4">
        <v>-17.375599999999999</v>
      </c>
      <c r="S860" s="2" t="s">
        <v>121</v>
      </c>
      <c r="T860" s="2" t="s">
        <v>86</v>
      </c>
    </row>
    <row r="861" spans="1:20" x14ac:dyDescent="0.25">
      <c r="A861" s="2" t="s">
        <v>1893</v>
      </c>
      <c r="B861" s="3">
        <v>42997</v>
      </c>
      <c r="C861" s="3">
        <v>42998</v>
      </c>
      <c r="D861" s="2" t="s">
        <v>55</v>
      </c>
      <c r="E861" s="2" t="s">
        <v>1894</v>
      </c>
      <c r="F861" s="2" t="s">
        <v>1895</v>
      </c>
      <c r="G861" s="2" t="s">
        <v>58</v>
      </c>
      <c r="H861" s="2" t="s">
        <v>25</v>
      </c>
      <c r="I861" s="2" t="s">
        <v>982</v>
      </c>
      <c r="J861" s="2" t="s">
        <v>180</v>
      </c>
      <c r="K861" s="2" t="s">
        <v>147</v>
      </c>
      <c r="L861" s="2" t="s">
        <v>193</v>
      </c>
      <c r="M861" s="2" t="s">
        <v>30</v>
      </c>
      <c r="N861" s="2" t="s">
        <v>42</v>
      </c>
      <c r="O861" s="2" t="s">
        <v>194</v>
      </c>
      <c r="P861" s="4">
        <v>222.89</v>
      </c>
      <c r="Q861" s="4">
        <v>3</v>
      </c>
      <c r="R861" s="4">
        <v>-19.201899999999998</v>
      </c>
      <c r="S861" s="2" t="s">
        <v>33</v>
      </c>
      <c r="T861" s="2" t="s">
        <v>148</v>
      </c>
    </row>
    <row r="862" spans="1:20" x14ac:dyDescent="0.25">
      <c r="A862" s="2" t="s">
        <v>1896</v>
      </c>
      <c r="B862" s="3">
        <v>41979</v>
      </c>
      <c r="C862" s="3">
        <v>41979</v>
      </c>
      <c r="D862" s="2" t="s">
        <v>21</v>
      </c>
      <c r="E862" s="2" t="s">
        <v>429</v>
      </c>
      <c r="F862" s="2" t="s">
        <v>430</v>
      </c>
      <c r="G862" s="2" t="s">
        <v>38</v>
      </c>
      <c r="H862" s="2" t="s">
        <v>25</v>
      </c>
      <c r="I862" s="2" t="s">
        <v>445</v>
      </c>
      <c r="J862" s="2" t="s">
        <v>138</v>
      </c>
      <c r="K862" s="2" t="s">
        <v>82</v>
      </c>
      <c r="L862" s="2" t="s">
        <v>186</v>
      </c>
      <c r="M862" s="2" t="s">
        <v>30</v>
      </c>
      <c r="N862" s="2" t="s">
        <v>31</v>
      </c>
      <c r="O862" s="2" t="s">
        <v>187</v>
      </c>
      <c r="P862" s="4">
        <v>249.42570000000001</v>
      </c>
      <c r="Q862" s="4">
        <v>2</v>
      </c>
      <c r="R862" s="4">
        <v>111.342</v>
      </c>
      <c r="S862" s="2" t="s">
        <v>121</v>
      </c>
      <c r="T862" s="2" t="s">
        <v>76</v>
      </c>
    </row>
    <row r="863" spans="1:20" x14ac:dyDescent="0.25">
      <c r="A863" s="2" t="s">
        <v>1897</v>
      </c>
      <c r="B863" s="3">
        <v>41932</v>
      </c>
      <c r="C863" s="3">
        <v>41932</v>
      </c>
      <c r="D863" s="2" t="s">
        <v>142</v>
      </c>
      <c r="E863" s="2" t="s">
        <v>1898</v>
      </c>
      <c r="F863" s="2" t="s">
        <v>1899</v>
      </c>
      <c r="G863" s="2" t="s">
        <v>24</v>
      </c>
      <c r="H863" s="2" t="s">
        <v>25</v>
      </c>
      <c r="I863" s="2" t="s">
        <v>394</v>
      </c>
      <c r="J863" s="2" t="s">
        <v>289</v>
      </c>
      <c r="K863" s="2" t="s">
        <v>82</v>
      </c>
      <c r="L863" s="2" t="s">
        <v>415</v>
      </c>
      <c r="M863" s="2" t="s">
        <v>30</v>
      </c>
      <c r="N863" s="2" t="s">
        <v>63</v>
      </c>
      <c r="O863" s="2" t="s">
        <v>416</v>
      </c>
      <c r="P863" s="4">
        <v>1610.3296</v>
      </c>
      <c r="Q863" s="4">
        <v>2</v>
      </c>
      <c r="R863" s="4">
        <v>-456.5856</v>
      </c>
      <c r="S863" s="2" t="s">
        <v>121</v>
      </c>
      <c r="T863" s="2" t="s">
        <v>224</v>
      </c>
    </row>
    <row r="864" spans="1:20" x14ac:dyDescent="0.25">
      <c r="A864" s="2" t="s">
        <v>1900</v>
      </c>
      <c r="B864" s="3">
        <v>43066</v>
      </c>
      <c r="C864" s="3">
        <v>43068</v>
      </c>
      <c r="D864" s="2" t="s">
        <v>55</v>
      </c>
      <c r="E864" s="2" t="s">
        <v>1901</v>
      </c>
      <c r="F864" s="2" t="s">
        <v>1902</v>
      </c>
      <c r="G864" s="2" t="s">
        <v>58</v>
      </c>
      <c r="H864" s="2" t="s">
        <v>25</v>
      </c>
      <c r="I864" s="2" t="s">
        <v>1055</v>
      </c>
      <c r="J864" s="2" t="s">
        <v>106</v>
      </c>
      <c r="K864" s="2" t="s">
        <v>61</v>
      </c>
      <c r="L864" s="2" t="s">
        <v>316</v>
      </c>
      <c r="M864" s="2" t="s">
        <v>30</v>
      </c>
      <c r="N864" s="2" t="s">
        <v>42</v>
      </c>
      <c r="O864" s="2" t="s">
        <v>317</v>
      </c>
      <c r="P864" s="4">
        <v>263.42169999999999</v>
      </c>
      <c r="Q864" s="4">
        <v>2</v>
      </c>
      <c r="R864" s="4">
        <v>44.567900000000002</v>
      </c>
      <c r="S864" s="2" t="s">
        <v>53</v>
      </c>
      <c r="T864" s="2" t="s">
        <v>93</v>
      </c>
    </row>
    <row r="865" spans="1:20" x14ac:dyDescent="0.25">
      <c r="A865" s="2" t="s">
        <v>1903</v>
      </c>
      <c r="B865" s="3">
        <v>42669</v>
      </c>
      <c r="C865" s="3">
        <v>42671</v>
      </c>
      <c r="D865" s="2" t="s">
        <v>55</v>
      </c>
      <c r="E865" s="2" t="s">
        <v>1904</v>
      </c>
      <c r="F865" s="2" t="s">
        <v>1905</v>
      </c>
      <c r="G865" s="2" t="s">
        <v>38</v>
      </c>
      <c r="H865" s="2" t="s">
        <v>25</v>
      </c>
      <c r="I865" s="2" t="s">
        <v>138</v>
      </c>
      <c r="J865" s="2" t="s">
        <v>407</v>
      </c>
      <c r="K865" s="2" t="s">
        <v>28</v>
      </c>
      <c r="L865" s="2" t="s">
        <v>193</v>
      </c>
      <c r="M865" s="2" t="s">
        <v>30</v>
      </c>
      <c r="N865" s="2" t="s">
        <v>42</v>
      </c>
      <c r="O865" s="2" t="s">
        <v>194</v>
      </c>
      <c r="P865" s="4">
        <v>946.06889999999999</v>
      </c>
      <c r="Q865" s="4">
        <v>6</v>
      </c>
      <c r="R865" s="4">
        <v>76.601100000000002</v>
      </c>
      <c r="S865" s="2" t="s">
        <v>53</v>
      </c>
      <c r="T865" s="2" t="s">
        <v>224</v>
      </c>
    </row>
    <row r="866" spans="1:20" x14ac:dyDescent="0.25">
      <c r="A866" s="2" t="s">
        <v>1906</v>
      </c>
      <c r="B866" s="3">
        <v>42542</v>
      </c>
      <c r="C866" s="3">
        <v>42543</v>
      </c>
      <c r="D866" s="2" t="s">
        <v>55</v>
      </c>
      <c r="E866" s="2" t="s">
        <v>1907</v>
      </c>
      <c r="F866" s="2" t="s">
        <v>1908</v>
      </c>
      <c r="G866" s="2" t="s">
        <v>58</v>
      </c>
      <c r="H866" s="2" t="s">
        <v>25</v>
      </c>
      <c r="I866" s="2" t="s">
        <v>59</v>
      </c>
      <c r="J866" s="2" t="s">
        <v>60</v>
      </c>
      <c r="K866" s="2" t="s">
        <v>61</v>
      </c>
      <c r="L866" s="2" t="s">
        <v>66</v>
      </c>
      <c r="M866" s="2" t="s">
        <v>30</v>
      </c>
      <c r="N866" s="2" t="s">
        <v>31</v>
      </c>
      <c r="O866" s="2" t="s">
        <v>67</v>
      </c>
      <c r="P866" s="4">
        <v>172.2901</v>
      </c>
      <c r="Q866" s="4">
        <v>5</v>
      </c>
      <c r="R866" s="4">
        <v>98.865899999999996</v>
      </c>
      <c r="S866" s="2" t="s">
        <v>33</v>
      </c>
      <c r="T866" s="2" t="s">
        <v>133</v>
      </c>
    </row>
    <row r="867" spans="1:20" x14ac:dyDescent="0.25">
      <c r="A867" s="2" t="s">
        <v>1909</v>
      </c>
      <c r="B867" s="3">
        <v>42633</v>
      </c>
      <c r="C867" s="3">
        <v>42633</v>
      </c>
      <c r="D867" s="2" t="s">
        <v>21</v>
      </c>
      <c r="E867" s="2" t="s">
        <v>1910</v>
      </c>
      <c r="F867" s="2" t="s">
        <v>1911</v>
      </c>
      <c r="G867" s="2" t="s">
        <v>58</v>
      </c>
      <c r="H867" s="2" t="s">
        <v>25</v>
      </c>
      <c r="I867" s="2" t="s">
        <v>1006</v>
      </c>
      <c r="J867" s="2" t="s">
        <v>180</v>
      </c>
      <c r="K867" s="2" t="s">
        <v>147</v>
      </c>
      <c r="L867" s="2" t="s">
        <v>933</v>
      </c>
      <c r="M867" s="2" t="s">
        <v>30</v>
      </c>
      <c r="N867" s="2" t="s">
        <v>162</v>
      </c>
      <c r="O867" s="2" t="s">
        <v>934</v>
      </c>
      <c r="P867" s="4">
        <v>2504.3209999999999</v>
      </c>
      <c r="Q867" s="4">
        <v>2</v>
      </c>
      <c r="R867" s="4">
        <v>-467.44569999999999</v>
      </c>
      <c r="S867" s="2" t="s">
        <v>121</v>
      </c>
      <c r="T867" s="2" t="s">
        <v>148</v>
      </c>
    </row>
    <row r="868" spans="1:20" x14ac:dyDescent="0.25">
      <c r="A868" s="2" t="s">
        <v>1912</v>
      </c>
      <c r="B868" s="3">
        <v>42409</v>
      </c>
      <c r="C868" s="3">
        <v>42414</v>
      </c>
      <c r="D868" s="2" t="s">
        <v>55</v>
      </c>
      <c r="E868" s="2" t="s">
        <v>1913</v>
      </c>
      <c r="F868" s="2" t="s">
        <v>1914</v>
      </c>
      <c r="G868" s="2" t="s">
        <v>58</v>
      </c>
      <c r="H868" s="2" t="s">
        <v>25</v>
      </c>
      <c r="I868" s="2" t="s">
        <v>71</v>
      </c>
      <c r="J868" s="2" t="s">
        <v>72</v>
      </c>
      <c r="K868" s="2" t="s">
        <v>61</v>
      </c>
      <c r="L868" s="2" t="s">
        <v>186</v>
      </c>
      <c r="M868" s="2" t="s">
        <v>30</v>
      </c>
      <c r="N868" s="2" t="s">
        <v>31</v>
      </c>
      <c r="O868" s="2" t="s">
        <v>187</v>
      </c>
      <c r="P868" s="4">
        <v>39.977499999999999</v>
      </c>
      <c r="Q868" s="4">
        <v>11</v>
      </c>
      <c r="R868" s="4">
        <v>-2.0251999999999999</v>
      </c>
      <c r="S868" s="2" t="s">
        <v>85</v>
      </c>
      <c r="T868" s="2" t="s">
        <v>101</v>
      </c>
    </row>
    <row r="869" spans="1:20" x14ac:dyDescent="0.25">
      <c r="A869" s="2" t="s">
        <v>1912</v>
      </c>
      <c r="B869" s="3">
        <v>42409</v>
      </c>
      <c r="C869" s="3">
        <v>42414</v>
      </c>
      <c r="D869" s="2" t="s">
        <v>55</v>
      </c>
      <c r="E869" s="2" t="s">
        <v>1913</v>
      </c>
      <c r="F869" s="2" t="s">
        <v>1914</v>
      </c>
      <c r="G869" s="2" t="s">
        <v>58</v>
      </c>
      <c r="H869" s="2" t="s">
        <v>25</v>
      </c>
      <c r="I869" s="2" t="s">
        <v>71</v>
      </c>
      <c r="J869" s="2" t="s">
        <v>72</v>
      </c>
      <c r="K869" s="2" t="s">
        <v>61</v>
      </c>
      <c r="L869" s="2" t="s">
        <v>45</v>
      </c>
      <c r="M869" s="2" t="s">
        <v>30</v>
      </c>
      <c r="N869" s="2" t="s">
        <v>31</v>
      </c>
      <c r="O869" s="2" t="s">
        <v>46</v>
      </c>
      <c r="P869" s="4">
        <v>64.707999999999998</v>
      </c>
      <c r="Q869" s="4">
        <v>2</v>
      </c>
      <c r="R869" s="4">
        <v>21.9496</v>
      </c>
      <c r="S869" s="2" t="s">
        <v>85</v>
      </c>
      <c r="T869" s="2" t="s">
        <v>101</v>
      </c>
    </row>
    <row r="870" spans="1:20" x14ac:dyDescent="0.25">
      <c r="A870" s="2" t="s">
        <v>1912</v>
      </c>
      <c r="B870" s="3">
        <v>42409</v>
      </c>
      <c r="C870" s="3">
        <v>42414</v>
      </c>
      <c r="D870" s="2" t="s">
        <v>55</v>
      </c>
      <c r="E870" s="2" t="s">
        <v>1913</v>
      </c>
      <c r="F870" s="2" t="s">
        <v>1914</v>
      </c>
      <c r="G870" s="2" t="s">
        <v>58</v>
      </c>
      <c r="H870" s="2" t="s">
        <v>25</v>
      </c>
      <c r="I870" s="2" t="s">
        <v>71</v>
      </c>
      <c r="J870" s="2" t="s">
        <v>72</v>
      </c>
      <c r="K870" s="2" t="s">
        <v>61</v>
      </c>
      <c r="L870" s="2" t="s">
        <v>186</v>
      </c>
      <c r="M870" s="2" t="s">
        <v>30</v>
      </c>
      <c r="N870" s="2" t="s">
        <v>31</v>
      </c>
      <c r="O870" s="2" t="s">
        <v>187</v>
      </c>
      <c r="P870" s="4">
        <v>12.8216</v>
      </c>
      <c r="Q870" s="4">
        <v>8</v>
      </c>
      <c r="R870" s="4">
        <v>1.7458</v>
      </c>
      <c r="S870" s="2" t="s">
        <v>85</v>
      </c>
      <c r="T870" s="2" t="s">
        <v>101</v>
      </c>
    </row>
    <row r="871" spans="1:20" x14ac:dyDescent="0.25">
      <c r="A871" s="2" t="s">
        <v>1912</v>
      </c>
      <c r="B871" s="3">
        <v>42409</v>
      </c>
      <c r="C871" s="3">
        <v>42414</v>
      </c>
      <c r="D871" s="2" t="s">
        <v>55</v>
      </c>
      <c r="E871" s="2" t="s">
        <v>1913</v>
      </c>
      <c r="F871" s="2" t="s">
        <v>1914</v>
      </c>
      <c r="G871" s="2" t="s">
        <v>58</v>
      </c>
      <c r="H871" s="2" t="s">
        <v>25</v>
      </c>
      <c r="I871" s="2" t="s">
        <v>71</v>
      </c>
      <c r="J871" s="2" t="s">
        <v>72</v>
      </c>
      <c r="K871" s="2" t="s">
        <v>61</v>
      </c>
      <c r="L871" s="2" t="s">
        <v>252</v>
      </c>
      <c r="M871" s="2" t="s">
        <v>30</v>
      </c>
      <c r="N871" s="2" t="s">
        <v>31</v>
      </c>
      <c r="O871" s="2" t="s">
        <v>253</v>
      </c>
      <c r="P871" s="4">
        <v>142.88079999999999</v>
      </c>
      <c r="Q871" s="4">
        <v>1</v>
      </c>
      <c r="R871" s="4">
        <v>35.080500000000001</v>
      </c>
      <c r="S871" s="2" t="s">
        <v>85</v>
      </c>
      <c r="T871" s="2" t="s">
        <v>101</v>
      </c>
    </row>
    <row r="872" spans="1:20" x14ac:dyDescent="0.25">
      <c r="A872" s="2" t="s">
        <v>1915</v>
      </c>
      <c r="B872" s="3">
        <v>41646</v>
      </c>
      <c r="C872" s="3">
        <v>41650</v>
      </c>
      <c r="D872" s="2" t="s">
        <v>55</v>
      </c>
      <c r="E872" s="2" t="s">
        <v>644</v>
      </c>
      <c r="F872" s="2" t="s">
        <v>645</v>
      </c>
      <c r="G872" s="2" t="s">
        <v>38</v>
      </c>
      <c r="H872" s="2" t="s">
        <v>25</v>
      </c>
      <c r="I872" s="2" t="s">
        <v>566</v>
      </c>
      <c r="J872" s="2" t="s">
        <v>424</v>
      </c>
      <c r="K872" s="2" t="s">
        <v>28</v>
      </c>
      <c r="L872" s="2" t="s">
        <v>207</v>
      </c>
      <c r="M872" s="2" t="s">
        <v>30</v>
      </c>
      <c r="N872" s="2" t="s">
        <v>31</v>
      </c>
      <c r="O872" s="2" t="s">
        <v>208</v>
      </c>
      <c r="P872" s="4">
        <v>215.601</v>
      </c>
      <c r="Q872" s="4">
        <v>2</v>
      </c>
      <c r="R872" s="4">
        <v>118.9786</v>
      </c>
      <c r="S872" s="2" t="s">
        <v>75</v>
      </c>
      <c r="T872" s="2" t="s">
        <v>115</v>
      </c>
    </row>
    <row r="873" spans="1:20" x14ac:dyDescent="0.25">
      <c r="A873" s="2" t="s">
        <v>1915</v>
      </c>
      <c r="B873" s="3">
        <v>41646</v>
      </c>
      <c r="C873" s="3">
        <v>41650</v>
      </c>
      <c r="D873" s="2" t="s">
        <v>55</v>
      </c>
      <c r="E873" s="2" t="s">
        <v>644</v>
      </c>
      <c r="F873" s="2" t="s">
        <v>645</v>
      </c>
      <c r="G873" s="2" t="s">
        <v>38</v>
      </c>
      <c r="H873" s="2" t="s">
        <v>25</v>
      </c>
      <c r="I873" s="2" t="s">
        <v>566</v>
      </c>
      <c r="J873" s="2" t="s">
        <v>424</v>
      </c>
      <c r="K873" s="2" t="s">
        <v>28</v>
      </c>
      <c r="L873" s="2" t="s">
        <v>344</v>
      </c>
      <c r="M873" s="2" t="s">
        <v>30</v>
      </c>
      <c r="N873" s="2" t="s">
        <v>42</v>
      </c>
      <c r="O873" s="2" t="s">
        <v>345</v>
      </c>
      <c r="P873" s="4">
        <v>115.54989999999999</v>
      </c>
      <c r="Q873" s="4">
        <v>3</v>
      </c>
      <c r="R873" s="4">
        <v>-53.830399999999997</v>
      </c>
      <c r="S873" s="2" t="s">
        <v>75</v>
      </c>
      <c r="T873" s="2" t="s">
        <v>115</v>
      </c>
    </row>
    <row r="874" spans="1:20" x14ac:dyDescent="0.25">
      <c r="A874" s="2" t="s">
        <v>1915</v>
      </c>
      <c r="B874" s="3">
        <v>41646</v>
      </c>
      <c r="C874" s="3">
        <v>41650</v>
      </c>
      <c r="D874" s="2" t="s">
        <v>55</v>
      </c>
      <c r="E874" s="2" t="s">
        <v>644</v>
      </c>
      <c r="F874" s="2" t="s">
        <v>645</v>
      </c>
      <c r="G874" s="2" t="s">
        <v>38</v>
      </c>
      <c r="H874" s="2" t="s">
        <v>25</v>
      </c>
      <c r="I874" s="2" t="s">
        <v>566</v>
      </c>
      <c r="J874" s="2" t="s">
        <v>424</v>
      </c>
      <c r="K874" s="2" t="s">
        <v>28</v>
      </c>
      <c r="L874" s="2" t="s">
        <v>66</v>
      </c>
      <c r="M874" s="2" t="s">
        <v>30</v>
      </c>
      <c r="N874" s="2" t="s">
        <v>31</v>
      </c>
      <c r="O874" s="2" t="s">
        <v>67</v>
      </c>
      <c r="P874" s="4">
        <v>127.2663</v>
      </c>
      <c r="Q874" s="4">
        <v>3</v>
      </c>
      <c r="R874" s="4">
        <v>12.132300000000001</v>
      </c>
      <c r="S874" s="2" t="s">
        <v>75</v>
      </c>
      <c r="T874" s="2" t="s">
        <v>115</v>
      </c>
    </row>
    <row r="875" spans="1:20" x14ac:dyDescent="0.25">
      <c r="A875" s="2" t="s">
        <v>1916</v>
      </c>
      <c r="B875" s="3">
        <v>42694</v>
      </c>
      <c r="C875" s="3">
        <v>42694</v>
      </c>
      <c r="D875" s="2" t="s">
        <v>55</v>
      </c>
      <c r="E875" s="2" t="s">
        <v>641</v>
      </c>
      <c r="F875" s="2" t="s">
        <v>642</v>
      </c>
      <c r="G875" s="2" t="s">
        <v>58</v>
      </c>
      <c r="H875" s="2" t="s">
        <v>25</v>
      </c>
      <c r="I875" s="2" t="s">
        <v>1098</v>
      </c>
      <c r="J875" s="2" t="s">
        <v>595</v>
      </c>
      <c r="K875" s="2" t="s">
        <v>61</v>
      </c>
      <c r="L875" s="2" t="s">
        <v>235</v>
      </c>
      <c r="M875" s="2" t="s">
        <v>30</v>
      </c>
      <c r="N875" s="2" t="s">
        <v>31</v>
      </c>
      <c r="O875" s="2" t="s">
        <v>236</v>
      </c>
      <c r="P875" s="4">
        <v>16.7852</v>
      </c>
      <c r="Q875" s="4">
        <v>6</v>
      </c>
      <c r="R875" s="4">
        <v>9.5637000000000008</v>
      </c>
      <c r="S875" s="2" t="s">
        <v>121</v>
      </c>
      <c r="T875" s="2" t="s">
        <v>93</v>
      </c>
    </row>
    <row r="876" spans="1:20" x14ac:dyDescent="0.25">
      <c r="A876" s="2" t="s">
        <v>1916</v>
      </c>
      <c r="B876" s="3">
        <v>42694</v>
      </c>
      <c r="C876" s="3">
        <v>42694</v>
      </c>
      <c r="D876" s="2" t="s">
        <v>55</v>
      </c>
      <c r="E876" s="2" t="s">
        <v>641</v>
      </c>
      <c r="F876" s="2" t="s">
        <v>642</v>
      </c>
      <c r="G876" s="2" t="s">
        <v>58</v>
      </c>
      <c r="H876" s="2" t="s">
        <v>25</v>
      </c>
      <c r="I876" s="2" t="s">
        <v>1098</v>
      </c>
      <c r="J876" s="2" t="s">
        <v>595</v>
      </c>
      <c r="K876" s="2" t="s">
        <v>61</v>
      </c>
      <c r="L876" s="2" t="s">
        <v>612</v>
      </c>
      <c r="M876" s="2" t="s">
        <v>30</v>
      </c>
      <c r="N876" s="2" t="s">
        <v>162</v>
      </c>
      <c r="O876" s="2" t="s">
        <v>613</v>
      </c>
      <c r="P876" s="4">
        <v>295.86770000000001</v>
      </c>
      <c r="Q876" s="4">
        <v>1</v>
      </c>
      <c r="R876" s="4">
        <v>-3.5124</v>
      </c>
      <c r="S876" s="2" t="s">
        <v>121</v>
      </c>
      <c r="T876" s="2" t="s">
        <v>93</v>
      </c>
    </row>
    <row r="877" spans="1:20" x14ac:dyDescent="0.25">
      <c r="A877" s="2" t="s">
        <v>1916</v>
      </c>
      <c r="B877" s="3">
        <v>42694</v>
      </c>
      <c r="C877" s="3">
        <v>42694</v>
      </c>
      <c r="D877" s="2" t="s">
        <v>55</v>
      </c>
      <c r="E877" s="2" t="s">
        <v>641</v>
      </c>
      <c r="F877" s="2" t="s">
        <v>642</v>
      </c>
      <c r="G877" s="2" t="s">
        <v>58</v>
      </c>
      <c r="H877" s="2" t="s">
        <v>25</v>
      </c>
      <c r="I877" s="2" t="s">
        <v>1098</v>
      </c>
      <c r="J877" s="2" t="s">
        <v>595</v>
      </c>
      <c r="K877" s="2" t="s">
        <v>61</v>
      </c>
      <c r="L877" s="2" t="s">
        <v>254</v>
      </c>
      <c r="M877" s="2" t="s">
        <v>30</v>
      </c>
      <c r="N877" s="2" t="s">
        <v>162</v>
      </c>
      <c r="O877" s="2" t="s">
        <v>255</v>
      </c>
      <c r="P877" s="4">
        <v>214.76179999999999</v>
      </c>
      <c r="Q877" s="4">
        <v>3</v>
      </c>
      <c r="R877" s="4">
        <v>6.2293000000000003</v>
      </c>
      <c r="S877" s="2" t="s">
        <v>121</v>
      </c>
      <c r="T877" s="2" t="s">
        <v>93</v>
      </c>
    </row>
    <row r="878" spans="1:20" x14ac:dyDescent="0.25">
      <c r="A878" s="2" t="s">
        <v>1917</v>
      </c>
      <c r="B878" s="3">
        <v>42894</v>
      </c>
      <c r="C878" s="3">
        <v>42896</v>
      </c>
      <c r="D878" s="2" t="s">
        <v>21</v>
      </c>
      <c r="E878" s="2" t="s">
        <v>747</v>
      </c>
      <c r="F878" s="2" t="s">
        <v>748</v>
      </c>
      <c r="G878" s="2" t="s">
        <v>58</v>
      </c>
      <c r="H878" s="2" t="s">
        <v>25</v>
      </c>
      <c r="I878" s="2" t="s">
        <v>338</v>
      </c>
      <c r="J878" s="2" t="s">
        <v>339</v>
      </c>
      <c r="K878" s="2" t="s">
        <v>82</v>
      </c>
      <c r="L878" s="2" t="s">
        <v>113</v>
      </c>
      <c r="M878" s="2" t="s">
        <v>30</v>
      </c>
      <c r="N878" s="2" t="s">
        <v>31</v>
      </c>
      <c r="O878" s="2" t="s">
        <v>114</v>
      </c>
      <c r="P878" s="4">
        <v>56.8337</v>
      </c>
      <c r="Q878" s="4">
        <v>1</v>
      </c>
      <c r="R878" s="4">
        <v>-27.1374</v>
      </c>
      <c r="S878" s="2" t="s">
        <v>53</v>
      </c>
      <c r="T878" s="2" t="s">
        <v>133</v>
      </c>
    </row>
    <row r="879" spans="1:20" x14ac:dyDescent="0.25">
      <c r="A879" s="2" t="s">
        <v>1918</v>
      </c>
      <c r="B879" s="3">
        <v>42811</v>
      </c>
      <c r="C879" s="3">
        <v>42811</v>
      </c>
      <c r="D879" s="2" t="s">
        <v>142</v>
      </c>
      <c r="E879" s="2" t="s">
        <v>1919</v>
      </c>
      <c r="F879" s="2" t="s">
        <v>1920</v>
      </c>
      <c r="G879" s="2" t="s">
        <v>58</v>
      </c>
      <c r="H879" s="2" t="s">
        <v>25</v>
      </c>
      <c r="I879" s="2" t="s">
        <v>293</v>
      </c>
      <c r="J879" s="2" t="s">
        <v>260</v>
      </c>
      <c r="K879" s="2" t="s">
        <v>147</v>
      </c>
      <c r="L879" s="2" t="s">
        <v>200</v>
      </c>
      <c r="M879" s="2" t="s">
        <v>30</v>
      </c>
      <c r="N879" s="2" t="s">
        <v>162</v>
      </c>
      <c r="O879" s="2" t="s">
        <v>201</v>
      </c>
      <c r="P879" s="4">
        <v>271.5641</v>
      </c>
      <c r="Q879" s="4">
        <v>2</v>
      </c>
      <c r="R879" s="4">
        <v>-45.456600000000002</v>
      </c>
      <c r="S879" s="2" t="s">
        <v>121</v>
      </c>
      <c r="T879" s="2" t="s">
        <v>44</v>
      </c>
    </row>
    <row r="880" spans="1:20" x14ac:dyDescent="0.25">
      <c r="A880" s="2" t="s">
        <v>1918</v>
      </c>
      <c r="B880" s="3">
        <v>42811</v>
      </c>
      <c r="C880" s="3">
        <v>42811</v>
      </c>
      <c r="D880" s="2" t="s">
        <v>142</v>
      </c>
      <c r="E880" s="2" t="s">
        <v>1919</v>
      </c>
      <c r="F880" s="2" t="s">
        <v>1920</v>
      </c>
      <c r="G880" s="2" t="s">
        <v>58</v>
      </c>
      <c r="H880" s="2" t="s">
        <v>25</v>
      </c>
      <c r="I880" s="2" t="s">
        <v>293</v>
      </c>
      <c r="J880" s="2" t="s">
        <v>260</v>
      </c>
      <c r="K880" s="2" t="s">
        <v>147</v>
      </c>
      <c r="L880" s="2" t="s">
        <v>66</v>
      </c>
      <c r="M880" s="2" t="s">
        <v>30</v>
      </c>
      <c r="N880" s="2" t="s">
        <v>31</v>
      </c>
      <c r="O880" s="2" t="s">
        <v>67</v>
      </c>
      <c r="P880" s="4">
        <v>7.1944999999999997</v>
      </c>
      <c r="Q880" s="4">
        <v>1</v>
      </c>
      <c r="R880" s="4">
        <v>5.3228</v>
      </c>
      <c r="S880" s="2" t="s">
        <v>121</v>
      </c>
      <c r="T880" s="2" t="s">
        <v>44</v>
      </c>
    </row>
    <row r="881" spans="1:20" x14ac:dyDescent="0.25">
      <c r="A881" s="2" t="s">
        <v>1918</v>
      </c>
      <c r="B881" s="3">
        <v>42811</v>
      </c>
      <c r="C881" s="3">
        <v>42811</v>
      </c>
      <c r="D881" s="2" t="s">
        <v>142</v>
      </c>
      <c r="E881" s="2" t="s">
        <v>1919</v>
      </c>
      <c r="F881" s="2" t="s">
        <v>1920</v>
      </c>
      <c r="G881" s="2" t="s">
        <v>58</v>
      </c>
      <c r="H881" s="2" t="s">
        <v>25</v>
      </c>
      <c r="I881" s="2" t="s">
        <v>293</v>
      </c>
      <c r="J881" s="2" t="s">
        <v>260</v>
      </c>
      <c r="K881" s="2" t="s">
        <v>147</v>
      </c>
      <c r="L881" s="2" t="s">
        <v>207</v>
      </c>
      <c r="M881" s="2" t="s">
        <v>30</v>
      </c>
      <c r="N881" s="2" t="s">
        <v>31</v>
      </c>
      <c r="O881" s="2" t="s">
        <v>208</v>
      </c>
      <c r="P881" s="4">
        <v>22.047899999999998</v>
      </c>
      <c r="Q881" s="4">
        <v>3</v>
      </c>
      <c r="R881" s="4">
        <v>6.5098000000000003</v>
      </c>
      <c r="S881" s="2" t="s">
        <v>121</v>
      </c>
      <c r="T881" s="2" t="s">
        <v>44</v>
      </c>
    </row>
    <row r="882" spans="1:20" x14ac:dyDescent="0.25">
      <c r="A882" s="2" t="s">
        <v>1921</v>
      </c>
      <c r="B882" s="3">
        <v>42138</v>
      </c>
      <c r="C882" s="3">
        <v>42138</v>
      </c>
      <c r="D882" s="2" t="s">
        <v>142</v>
      </c>
      <c r="E882" s="2" t="s">
        <v>1922</v>
      </c>
      <c r="F882" s="2" t="s">
        <v>1923</v>
      </c>
      <c r="G882" s="2" t="s">
        <v>38</v>
      </c>
      <c r="H882" s="2" t="s">
        <v>25</v>
      </c>
      <c r="I882" s="2" t="s">
        <v>495</v>
      </c>
      <c r="J882" s="2" t="s">
        <v>496</v>
      </c>
      <c r="K882" s="2" t="s">
        <v>147</v>
      </c>
      <c r="L882" s="2" t="s">
        <v>186</v>
      </c>
      <c r="M882" s="2" t="s">
        <v>30</v>
      </c>
      <c r="N882" s="2" t="s">
        <v>31</v>
      </c>
      <c r="O882" s="2" t="s">
        <v>187</v>
      </c>
      <c r="P882" s="4">
        <v>47.842500000000001</v>
      </c>
      <c r="Q882" s="4">
        <v>1</v>
      </c>
      <c r="R882" s="4">
        <v>-18.994499999999999</v>
      </c>
      <c r="S882" s="2" t="s">
        <v>121</v>
      </c>
      <c r="T882" s="2" t="s">
        <v>122</v>
      </c>
    </row>
    <row r="883" spans="1:20" x14ac:dyDescent="0.25">
      <c r="A883" s="2" t="s">
        <v>1924</v>
      </c>
      <c r="B883" s="3">
        <v>42425</v>
      </c>
      <c r="C883" s="3">
        <v>42429</v>
      </c>
      <c r="D883" s="2" t="s">
        <v>21</v>
      </c>
      <c r="E883" s="2" t="s">
        <v>1925</v>
      </c>
      <c r="F883" s="2" t="s">
        <v>1926</v>
      </c>
      <c r="G883" s="2" t="s">
        <v>38</v>
      </c>
      <c r="H883" s="2" t="s">
        <v>25</v>
      </c>
      <c r="I883" s="2" t="s">
        <v>338</v>
      </c>
      <c r="J883" s="2" t="s">
        <v>339</v>
      </c>
      <c r="K883" s="2" t="s">
        <v>82</v>
      </c>
      <c r="L883" s="2" t="s">
        <v>254</v>
      </c>
      <c r="M883" s="2" t="s">
        <v>30</v>
      </c>
      <c r="N883" s="2" t="s">
        <v>162</v>
      </c>
      <c r="O883" s="2" t="s">
        <v>255</v>
      </c>
      <c r="P883" s="4">
        <v>1553.6969999999999</v>
      </c>
      <c r="Q883" s="4">
        <v>2</v>
      </c>
      <c r="R883" s="4">
        <v>-324.62959999999998</v>
      </c>
      <c r="S883" s="2" t="s">
        <v>75</v>
      </c>
      <c r="T883" s="2" t="s">
        <v>101</v>
      </c>
    </row>
    <row r="884" spans="1:20" x14ac:dyDescent="0.25">
      <c r="A884" s="2" t="s">
        <v>1927</v>
      </c>
      <c r="B884" s="3">
        <v>42321</v>
      </c>
      <c r="C884" s="3">
        <v>42327</v>
      </c>
      <c r="D884" s="2" t="s">
        <v>55</v>
      </c>
      <c r="E884" s="2" t="s">
        <v>1928</v>
      </c>
      <c r="F884" s="2" t="s">
        <v>1929</v>
      </c>
      <c r="G884" s="2" t="s">
        <v>38</v>
      </c>
      <c r="H884" s="2" t="s">
        <v>25</v>
      </c>
      <c r="I884" s="2" t="s">
        <v>179</v>
      </c>
      <c r="J884" s="2" t="s">
        <v>180</v>
      </c>
      <c r="K884" s="2" t="s">
        <v>147</v>
      </c>
      <c r="L884" s="2" t="s">
        <v>45</v>
      </c>
      <c r="M884" s="2" t="s">
        <v>30</v>
      </c>
      <c r="N884" s="2" t="s">
        <v>31</v>
      </c>
      <c r="O884" s="2" t="s">
        <v>46</v>
      </c>
      <c r="P884" s="4">
        <v>91.092699999999994</v>
      </c>
      <c r="Q884" s="4">
        <v>2</v>
      </c>
      <c r="R884" s="4">
        <v>15.143000000000001</v>
      </c>
      <c r="S884" s="2" t="s">
        <v>65</v>
      </c>
      <c r="T884" s="2" t="s">
        <v>93</v>
      </c>
    </row>
    <row r="885" spans="1:20" x14ac:dyDescent="0.25">
      <c r="A885" s="2" t="s">
        <v>1930</v>
      </c>
      <c r="B885" s="3">
        <v>42117</v>
      </c>
      <c r="C885" s="3">
        <v>42120</v>
      </c>
      <c r="D885" s="2" t="s">
        <v>55</v>
      </c>
      <c r="E885" s="2" t="s">
        <v>1544</v>
      </c>
      <c r="F885" s="2" t="s">
        <v>1545</v>
      </c>
      <c r="G885" s="2" t="s">
        <v>58</v>
      </c>
      <c r="H885" s="2" t="s">
        <v>25</v>
      </c>
      <c r="I885" s="2" t="s">
        <v>1212</v>
      </c>
      <c r="J885" s="2" t="s">
        <v>496</v>
      </c>
      <c r="K885" s="2" t="s">
        <v>147</v>
      </c>
      <c r="L885" s="2" t="s">
        <v>245</v>
      </c>
      <c r="M885" s="2" t="s">
        <v>30</v>
      </c>
      <c r="N885" s="2" t="s">
        <v>42</v>
      </c>
      <c r="O885" s="2" t="s">
        <v>246</v>
      </c>
      <c r="P885" s="4">
        <v>207.14349999999999</v>
      </c>
      <c r="Q885" s="4">
        <v>5</v>
      </c>
      <c r="R885" s="4">
        <v>31.040299999999998</v>
      </c>
      <c r="S885" s="2" t="s">
        <v>92</v>
      </c>
      <c r="T885" s="2" t="s">
        <v>108</v>
      </c>
    </row>
    <row r="886" spans="1:20" x14ac:dyDescent="0.25">
      <c r="A886" s="2" t="s">
        <v>1931</v>
      </c>
      <c r="B886" s="3">
        <v>41900</v>
      </c>
      <c r="C886" s="3">
        <v>41903</v>
      </c>
      <c r="D886" s="2" t="s">
        <v>55</v>
      </c>
      <c r="E886" s="2" t="s">
        <v>1932</v>
      </c>
      <c r="F886" s="2" t="s">
        <v>1933</v>
      </c>
      <c r="G886" s="2" t="s">
        <v>38</v>
      </c>
      <c r="H886" s="2" t="s">
        <v>25</v>
      </c>
      <c r="I886" s="2" t="s">
        <v>910</v>
      </c>
      <c r="J886" s="2" t="s">
        <v>260</v>
      </c>
      <c r="K886" s="2" t="s">
        <v>147</v>
      </c>
      <c r="L886" s="2" t="s">
        <v>186</v>
      </c>
      <c r="M886" s="2" t="s">
        <v>30</v>
      </c>
      <c r="N886" s="2" t="s">
        <v>31</v>
      </c>
      <c r="O886" s="2" t="s">
        <v>187</v>
      </c>
      <c r="P886" s="4">
        <v>176.6343</v>
      </c>
      <c r="Q886" s="4">
        <v>2</v>
      </c>
      <c r="R886" s="4">
        <v>31.648499999999999</v>
      </c>
      <c r="S886" s="2" t="s">
        <v>92</v>
      </c>
      <c r="T886" s="2" t="s">
        <v>148</v>
      </c>
    </row>
    <row r="887" spans="1:20" x14ac:dyDescent="0.25">
      <c r="A887" s="2" t="s">
        <v>1931</v>
      </c>
      <c r="B887" s="3">
        <v>41900</v>
      </c>
      <c r="C887" s="3">
        <v>41903</v>
      </c>
      <c r="D887" s="2" t="s">
        <v>55</v>
      </c>
      <c r="E887" s="2" t="s">
        <v>1932</v>
      </c>
      <c r="F887" s="2" t="s">
        <v>1933</v>
      </c>
      <c r="G887" s="2" t="s">
        <v>38</v>
      </c>
      <c r="H887" s="2" t="s">
        <v>25</v>
      </c>
      <c r="I887" s="2" t="s">
        <v>910</v>
      </c>
      <c r="J887" s="2" t="s">
        <v>260</v>
      </c>
      <c r="K887" s="2" t="s">
        <v>147</v>
      </c>
      <c r="L887" s="2" t="s">
        <v>235</v>
      </c>
      <c r="M887" s="2" t="s">
        <v>30</v>
      </c>
      <c r="N887" s="2" t="s">
        <v>31</v>
      </c>
      <c r="O887" s="2" t="s">
        <v>236</v>
      </c>
      <c r="P887" s="4">
        <v>21.747800000000002</v>
      </c>
      <c r="Q887" s="4">
        <v>3</v>
      </c>
      <c r="R887" s="4">
        <v>8.3331999999999997</v>
      </c>
      <c r="S887" s="2" t="s">
        <v>92</v>
      </c>
      <c r="T887" s="2" t="s">
        <v>148</v>
      </c>
    </row>
    <row r="888" spans="1:20" x14ac:dyDescent="0.25">
      <c r="A888" s="2" t="s">
        <v>1934</v>
      </c>
      <c r="B888" s="3">
        <v>41898</v>
      </c>
      <c r="C888" s="3">
        <v>41899</v>
      </c>
      <c r="D888" s="2" t="s">
        <v>48</v>
      </c>
      <c r="E888" s="2" t="s">
        <v>268</v>
      </c>
      <c r="F888" s="2" t="s">
        <v>269</v>
      </c>
      <c r="G888" s="2" t="s">
        <v>58</v>
      </c>
      <c r="H888" s="2" t="s">
        <v>25</v>
      </c>
      <c r="I888" s="2" t="s">
        <v>80</v>
      </c>
      <c r="J888" s="2" t="s">
        <v>81</v>
      </c>
      <c r="K888" s="2" t="s">
        <v>82</v>
      </c>
      <c r="L888" s="2" t="s">
        <v>200</v>
      </c>
      <c r="M888" s="2" t="s">
        <v>30</v>
      </c>
      <c r="N888" s="2" t="s">
        <v>162</v>
      </c>
      <c r="O888" s="2" t="s">
        <v>201</v>
      </c>
      <c r="P888" s="4">
        <v>443.4957</v>
      </c>
      <c r="Q888" s="4">
        <v>3</v>
      </c>
      <c r="R888" s="4">
        <v>-152.18549999999999</v>
      </c>
      <c r="S888" s="2" t="s">
        <v>33</v>
      </c>
      <c r="T888" s="2" t="s">
        <v>148</v>
      </c>
    </row>
    <row r="889" spans="1:20" x14ac:dyDescent="0.25">
      <c r="A889" s="2" t="s">
        <v>1934</v>
      </c>
      <c r="B889" s="3">
        <v>41898</v>
      </c>
      <c r="C889" s="3">
        <v>41899</v>
      </c>
      <c r="D889" s="2" t="s">
        <v>48</v>
      </c>
      <c r="E889" s="2" t="s">
        <v>268</v>
      </c>
      <c r="F889" s="2" t="s">
        <v>269</v>
      </c>
      <c r="G889" s="2" t="s">
        <v>58</v>
      </c>
      <c r="H889" s="2" t="s">
        <v>25</v>
      </c>
      <c r="I889" s="2" t="s">
        <v>80</v>
      </c>
      <c r="J889" s="2" t="s">
        <v>81</v>
      </c>
      <c r="K889" s="2" t="s">
        <v>82</v>
      </c>
      <c r="L889" s="2" t="s">
        <v>83</v>
      </c>
      <c r="M889" s="2" t="s">
        <v>30</v>
      </c>
      <c r="N889" s="2" t="s">
        <v>42</v>
      </c>
      <c r="O889" s="2" t="s">
        <v>84</v>
      </c>
      <c r="P889" s="4">
        <v>428.82130000000001</v>
      </c>
      <c r="Q889" s="4">
        <v>6</v>
      </c>
      <c r="R889" s="4">
        <v>71.454400000000007</v>
      </c>
      <c r="S889" s="2" t="s">
        <v>33</v>
      </c>
      <c r="T889" s="2" t="s">
        <v>148</v>
      </c>
    </row>
    <row r="890" spans="1:20" x14ac:dyDescent="0.25">
      <c r="A890" s="2" t="s">
        <v>1935</v>
      </c>
      <c r="B890" s="3">
        <v>41938</v>
      </c>
      <c r="C890" s="3">
        <v>41941</v>
      </c>
      <c r="D890" s="2" t="s">
        <v>55</v>
      </c>
      <c r="E890" s="2" t="s">
        <v>1541</v>
      </c>
      <c r="F890" s="2" t="s">
        <v>1542</v>
      </c>
      <c r="G890" s="2" t="s">
        <v>58</v>
      </c>
      <c r="H890" s="2" t="s">
        <v>25</v>
      </c>
      <c r="I890" s="2" t="s">
        <v>293</v>
      </c>
      <c r="J890" s="2" t="s">
        <v>260</v>
      </c>
      <c r="K890" s="2" t="s">
        <v>147</v>
      </c>
      <c r="L890" s="2" t="s">
        <v>45</v>
      </c>
      <c r="M890" s="2" t="s">
        <v>30</v>
      </c>
      <c r="N890" s="2" t="s">
        <v>31</v>
      </c>
      <c r="O890" s="2" t="s">
        <v>46</v>
      </c>
      <c r="P890" s="4">
        <v>639.44860000000006</v>
      </c>
      <c r="Q890" s="4">
        <v>2</v>
      </c>
      <c r="R890" s="4">
        <v>-44.773499999999999</v>
      </c>
      <c r="S890" s="2" t="s">
        <v>92</v>
      </c>
      <c r="T890" s="2" t="s">
        <v>224</v>
      </c>
    </row>
    <row r="891" spans="1:20" x14ac:dyDescent="0.25">
      <c r="A891" s="2" t="s">
        <v>1936</v>
      </c>
      <c r="B891" s="3">
        <v>41760</v>
      </c>
      <c r="C891" s="3">
        <v>41760</v>
      </c>
      <c r="D891" s="2" t="s">
        <v>21</v>
      </c>
      <c r="E891" s="2" t="s">
        <v>1280</v>
      </c>
      <c r="F891" s="2" t="s">
        <v>1281</v>
      </c>
      <c r="G891" s="2" t="s">
        <v>24</v>
      </c>
      <c r="H891" s="2" t="s">
        <v>25</v>
      </c>
      <c r="I891" s="2" t="s">
        <v>26</v>
      </c>
      <c r="J891" s="2" t="s">
        <v>27</v>
      </c>
      <c r="K891" s="2" t="s">
        <v>28</v>
      </c>
      <c r="L891" s="2" t="s">
        <v>66</v>
      </c>
      <c r="M891" s="2" t="s">
        <v>30</v>
      </c>
      <c r="N891" s="2" t="s">
        <v>31</v>
      </c>
      <c r="O891" s="2" t="s">
        <v>67</v>
      </c>
      <c r="P891" s="4">
        <v>140.51560000000001</v>
      </c>
      <c r="Q891" s="4">
        <v>4</v>
      </c>
      <c r="R891" s="4">
        <v>-14.3409</v>
      </c>
      <c r="S891" s="2" t="s">
        <v>121</v>
      </c>
      <c r="T891" s="2" t="s">
        <v>122</v>
      </c>
    </row>
    <row r="892" spans="1:20" x14ac:dyDescent="0.25">
      <c r="A892" s="2" t="s">
        <v>1936</v>
      </c>
      <c r="B892" s="3">
        <v>41760</v>
      </c>
      <c r="C892" s="3">
        <v>41760</v>
      </c>
      <c r="D892" s="2" t="s">
        <v>21</v>
      </c>
      <c r="E892" s="2" t="s">
        <v>1280</v>
      </c>
      <c r="F892" s="2" t="s">
        <v>1281</v>
      </c>
      <c r="G892" s="2" t="s">
        <v>24</v>
      </c>
      <c r="H892" s="2" t="s">
        <v>25</v>
      </c>
      <c r="I892" s="2" t="s">
        <v>26</v>
      </c>
      <c r="J892" s="2" t="s">
        <v>27</v>
      </c>
      <c r="K892" s="2" t="s">
        <v>28</v>
      </c>
      <c r="L892" s="2" t="s">
        <v>131</v>
      </c>
      <c r="M892" s="2" t="s">
        <v>30</v>
      </c>
      <c r="N892" s="2" t="s">
        <v>31</v>
      </c>
      <c r="O892" s="2" t="s">
        <v>132</v>
      </c>
      <c r="P892" s="4">
        <v>84.320300000000003</v>
      </c>
      <c r="Q892" s="4">
        <v>1</v>
      </c>
      <c r="R892" s="4">
        <v>16.697800000000001</v>
      </c>
      <c r="S892" s="2" t="s">
        <v>121</v>
      </c>
      <c r="T892" s="2" t="s">
        <v>122</v>
      </c>
    </row>
    <row r="893" spans="1:20" x14ac:dyDescent="0.25">
      <c r="A893" s="2" t="s">
        <v>1937</v>
      </c>
      <c r="B893" s="3">
        <v>42990</v>
      </c>
      <c r="C893" s="3">
        <v>42990</v>
      </c>
      <c r="D893" s="2" t="s">
        <v>142</v>
      </c>
      <c r="E893" s="2" t="s">
        <v>1938</v>
      </c>
      <c r="F893" s="2" t="s">
        <v>1939</v>
      </c>
      <c r="G893" s="2" t="s">
        <v>38</v>
      </c>
      <c r="H893" s="2" t="s">
        <v>25</v>
      </c>
      <c r="I893" s="2" t="s">
        <v>105</v>
      </c>
      <c r="J893" s="2" t="s">
        <v>106</v>
      </c>
      <c r="K893" s="2" t="s">
        <v>61</v>
      </c>
      <c r="L893" s="2" t="s">
        <v>453</v>
      </c>
      <c r="M893" s="2" t="s">
        <v>30</v>
      </c>
      <c r="N893" s="2" t="s">
        <v>42</v>
      </c>
      <c r="O893" s="2" t="s">
        <v>454</v>
      </c>
      <c r="P893" s="4">
        <v>553.83230000000003</v>
      </c>
      <c r="Q893" s="4">
        <v>6</v>
      </c>
      <c r="R893" s="4">
        <v>32.392200000000003</v>
      </c>
      <c r="S893" s="2" t="s">
        <v>121</v>
      </c>
      <c r="T893" s="2" t="s">
        <v>148</v>
      </c>
    </row>
    <row r="894" spans="1:20" x14ac:dyDescent="0.25">
      <c r="A894" s="2" t="s">
        <v>1940</v>
      </c>
      <c r="B894" s="3">
        <v>42219</v>
      </c>
      <c r="C894" s="3">
        <v>42219</v>
      </c>
      <c r="D894" s="2" t="s">
        <v>55</v>
      </c>
      <c r="E894" s="2" t="s">
        <v>1941</v>
      </c>
      <c r="F894" s="2" t="s">
        <v>1942</v>
      </c>
      <c r="G894" s="2" t="s">
        <v>38</v>
      </c>
      <c r="H894" s="2" t="s">
        <v>25</v>
      </c>
      <c r="I894" s="2" t="s">
        <v>371</v>
      </c>
      <c r="J894" s="2" t="s">
        <v>127</v>
      </c>
      <c r="K894" s="2" t="s">
        <v>82</v>
      </c>
      <c r="L894" s="2" t="s">
        <v>66</v>
      </c>
      <c r="M894" s="2" t="s">
        <v>30</v>
      </c>
      <c r="N894" s="2" t="s">
        <v>31</v>
      </c>
      <c r="O894" s="2" t="s">
        <v>67</v>
      </c>
      <c r="P894" s="4">
        <v>24.739699999999999</v>
      </c>
      <c r="Q894" s="4">
        <v>2</v>
      </c>
      <c r="R894" s="4">
        <v>-5.8734000000000002</v>
      </c>
      <c r="S894" s="2" t="s">
        <v>121</v>
      </c>
      <c r="T894" s="2" t="s">
        <v>34</v>
      </c>
    </row>
    <row r="895" spans="1:20" x14ac:dyDescent="0.25">
      <c r="A895" s="2" t="s">
        <v>1940</v>
      </c>
      <c r="B895" s="3">
        <v>42219</v>
      </c>
      <c r="C895" s="3">
        <v>42219</v>
      </c>
      <c r="D895" s="2" t="s">
        <v>55</v>
      </c>
      <c r="E895" s="2" t="s">
        <v>1941</v>
      </c>
      <c r="F895" s="2" t="s">
        <v>1942</v>
      </c>
      <c r="G895" s="2" t="s">
        <v>38</v>
      </c>
      <c r="H895" s="2" t="s">
        <v>25</v>
      </c>
      <c r="I895" s="2" t="s">
        <v>371</v>
      </c>
      <c r="J895" s="2" t="s">
        <v>127</v>
      </c>
      <c r="K895" s="2" t="s">
        <v>82</v>
      </c>
      <c r="L895" s="2" t="s">
        <v>29</v>
      </c>
      <c r="M895" s="2" t="s">
        <v>30</v>
      </c>
      <c r="N895" s="2" t="s">
        <v>31</v>
      </c>
      <c r="O895" s="2" t="s">
        <v>32</v>
      </c>
      <c r="P895" s="4">
        <v>281.86349999999999</v>
      </c>
      <c r="Q895" s="4">
        <v>3</v>
      </c>
      <c r="R895" s="4">
        <v>-9.8285999999999998</v>
      </c>
      <c r="S895" s="2" t="s">
        <v>121</v>
      </c>
      <c r="T895" s="2" t="s">
        <v>34</v>
      </c>
    </row>
    <row r="896" spans="1:20" x14ac:dyDescent="0.25">
      <c r="A896" s="2" t="s">
        <v>1943</v>
      </c>
      <c r="B896" s="3">
        <v>41921</v>
      </c>
      <c r="C896" s="3">
        <v>41921</v>
      </c>
      <c r="D896" s="2" t="s">
        <v>48</v>
      </c>
      <c r="E896" s="2" t="s">
        <v>1944</v>
      </c>
      <c r="F896" s="2" t="s">
        <v>1945</v>
      </c>
      <c r="G896" s="2" t="s">
        <v>58</v>
      </c>
      <c r="H896" s="2" t="s">
        <v>25</v>
      </c>
      <c r="I896" s="2" t="s">
        <v>97</v>
      </c>
      <c r="J896" s="2" t="s">
        <v>112</v>
      </c>
      <c r="K896" s="2" t="s">
        <v>28</v>
      </c>
      <c r="L896" s="2" t="s">
        <v>793</v>
      </c>
      <c r="M896" s="2" t="s">
        <v>30</v>
      </c>
      <c r="N896" s="2" t="s">
        <v>63</v>
      </c>
      <c r="O896" s="2" t="s">
        <v>794</v>
      </c>
      <c r="P896" s="4">
        <v>88.043800000000005</v>
      </c>
      <c r="Q896" s="4">
        <v>2</v>
      </c>
      <c r="R896" s="4">
        <v>6.5388999999999999</v>
      </c>
      <c r="S896" s="2" t="s">
        <v>121</v>
      </c>
      <c r="T896" s="2" t="s">
        <v>224</v>
      </c>
    </row>
    <row r="897" spans="1:20" x14ac:dyDescent="0.25">
      <c r="A897" s="2" t="s">
        <v>1946</v>
      </c>
      <c r="B897" s="3">
        <v>42818</v>
      </c>
      <c r="C897" s="3">
        <v>42819</v>
      </c>
      <c r="D897" s="2" t="s">
        <v>21</v>
      </c>
      <c r="E897" s="2" t="s">
        <v>447</v>
      </c>
      <c r="F897" s="2" t="s">
        <v>448</v>
      </c>
      <c r="G897" s="2" t="s">
        <v>38</v>
      </c>
      <c r="H897" s="2" t="s">
        <v>25</v>
      </c>
      <c r="I897" s="2" t="s">
        <v>1128</v>
      </c>
      <c r="J897" s="2" t="s">
        <v>667</v>
      </c>
      <c r="K897" s="2" t="s">
        <v>28</v>
      </c>
      <c r="L897" s="2" t="s">
        <v>618</v>
      </c>
      <c r="M897" s="2" t="s">
        <v>30</v>
      </c>
      <c r="N897" s="2" t="s">
        <v>63</v>
      </c>
      <c r="O897" s="2" t="s">
        <v>619</v>
      </c>
      <c r="P897" s="4">
        <v>1018.4393</v>
      </c>
      <c r="Q897" s="4">
        <v>6</v>
      </c>
      <c r="R897" s="4">
        <v>-212.8391</v>
      </c>
      <c r="S897" s="2" t="s">
        <v>33</v>
      </c>
      <c r="T897" s="2" t="s">
        <v>44</v>
      </c>
    </row>
    <row r="898" spans="1:20" x14ac:dyDescent="0.25">
      <c r="A898" s="2" t="s">
        <v>1946</v>
      </c>
      <c r="B898" s="3">
        <v>42818</v>
      </c>
      <c r="C898" s="3">
        <v>42819</v>
      </c>
      <c r="D898" s="2" t="s">
        <v>21</v>
      </c>
      <c r="E898" s="2" t="s">
        <v>447</v>
      </c>
      <c r="F898" s="2" t="s">
        <v>448</v>
      </c>
      <c r="G898" s="2" t="s">
        <v>38</v>
      </c>
      <c r="H898" s="2" t="s">
        <v>25</v>
      </c>
      <c r="I898" s="2" t="s">
        <v>1128</v>
      </c>
      <c r="J898" s="2" t="s">
        <v>667</v>
      </c>
      <c r="K898" s="2" t="s">
        <v>28</v>
      </c>
      <c r="L898" s="2" t="s">
        <v>41</v>
      </c>
      <c r="M898" s="2" t="s">
        <v>30</v>
      </c>
      <c r="N898" s="2" t="s">
        <v>42</v>
      </c>
      <c r="O898" s="2" t="s">
        <v>43</v>
      </c>
      <c r="P898" s="4">
        <v>540.55589999999995</v>
      </c>
      <c r="Q898" s="4">
        <v>6</v>
      </c>
      <c r="R898" s="4">
        <v>-178.29220000000001</v>
      </c>
      <c r="S898" s="2" t="s">
        <v>33</v>
      </c>
      <c r="T898" s="2" t="s">
        <v>44</v>
      </c>
    </row>
    <row r="899" spans="1:20" x14ac:dyDescent="0.25">
      <c r="A899" s="2" t="s">
        <v>1947</v>
      </c>
      <c r="B899" s="3">
        <v>41880</v>
      </c>
      <c r="C899" s="3">
        <v>41880</v>
      </c>
      <c r="D899" s="2" t="s">
        <v>55</v>
      </c>
      <c r="E899" s="2" t="s">
        <v>558</v>
      </c>
      <c r="F899" s="2" t="s">
        <v>559</v>
      </c>
      <c r="G899" s="2" t="s">
        <v>58</v>
      </c>
      <c r="H899" s="2" t="s">
        <v>25</v>
      </c>
      <c r="I899" s="2" t="s">
        <v>649</v>
      </c>
      <c r="J899" s="2" t="s">
        <v>279</v>
      </c>
      <c r="K899" s="2" t="s">
        <v>28</v>
      </c>
      <c r="L899" s="2" t="s">
        <v>83</v>
      </c>
      <c r="M899" s="2" t="s">
        <v>30</v>
      </c>
      <c r="N899" s="2" t="s">
        <v>42</v>
      </c>
      <c r="O899" s="2" t="s">
        <v>84</v>
      </c>
      <c r="P899" s="4">
        <v>1640.7474</v>
      </c>
      <c r="Q899" s="4">
        <v>3</v>
      </c>
      <c r="R899" s="4">
        <v>388.4212</v>
      </c>
      <c r="S899" s="2" t="s">
        <v>121</v>
      </c>
      <c r="T899" s="2" t="s">
        <v>34</v>
      </c>
    </row>
    <row r="900" spans="1:20" x14ac:dyDescent="0.25">
      <c r="A900" s="2" t="s">
        <v>1948</v>
      </c>
      <c r="B900" s="3">
        <v>43048</v>
      </c>
      <c r="C900" s="3">
        <v>43055</v>
      </c>
      <c r="D900" s="2" t="s">
        <v>55</v>
      </c>
      <c r="E900" s="2" t="s">
        <v>1949</v>
      </c>
      <c r="F900" s="2" t="s">
        <v>1950</v>
      </c>
      <c r="G900" s="2" t="s">
        <v>38</v>
      </c>
      <c r="H900" s="2" t="s">
        <v>25</v>
      </c>
      <c r="I900" s="2" t="s">
        <v>184</v>
      </c>
      <c r="J900" s="2" t="s">
        <v>185</v>
      </c>
      <c r="K900" s="2" t="s">
        <v>147</v>
      </c>
      <c r="L900" s="2" t="s">
        <v>73</v>
      </c>
      <c r="M900" s="2" t="s">
        <v>30</v>
      </c>
      <c r="N900" s="2" t="s">
        <v>42</v>
      </c>
      <c r="O900" s="2" t="s">
        <v>74</v>
      </c>
      <c r="P900" s="4">
        <v>603.66859999999997</v>
      </c>
      <c r="Q900" s="4">
        <v>1</v>
      </c>
      <c r="R900" s="4">
        <v>277.14909999999998</v>
      </c>
      <c r="S900" s="2" t="s">
        <v>107</v>
      </c>
      <c r="T900" s="2" t="s">
        <v>93</v>
      </c>
    </row>
    <row r="901" spans="1:20" x14ac:dyDescent="0.25">
      <c r="A901" s="2" t="s">
        <v>1951</v>
      </c>
      <c r="B901" s="3">
        <v>41889</v>
      </c>
      <c r="C901" s="3">
        <v>41896</v>
      </c>
      <c r="D901" s="2" t="s">
        <v>55</v>
      </c>
      <c r="E901" s="2" t="s">
        <v>1952</v>
      </c>
      <c r="F901" s="2" t="s">
        <v>1953</v>
      </c>
      <c r="G901" s="2" t="s">
        <v>38</v>
      </c>
      <c r="H901" s="2" t="s">
        <v>25</v>
      </c>
      <c r="I901" s="2" t="s">
        <v>566</v>
      </c>
      <c r="J901" s="2" t="s">
        <v>424</v>
      </c>
      <c r="K901" s="2" t="s">
        <v>28</v>
      </c>
      <c r="L901" s="2" t="s">
        <v>29</v>
      </c>
      <c r="M901" s="2" t="s">
        <v>30</v>
      </c>
      <c r="N901" s="2" t="s">
        <v>31</v>
      </c>
      <c r="O901" s="2" t="s">
        <v>32</v>
      </c>
      <c r="P901" s="4">
        <v>96.076599999999999</v>
      </c>
      <c r="Q901" s="4">
        <v>1</v>
      </c>
      <c r="R901" s="4">
        <v>17.455400000000001</v>
      </c>
      <c r="S901" s="2" t="s">
        <v>107</v>
      </c>
      <c r="T901" s="2" t="s">
        <v>148</v>
      </c>
    </row>
    <row r="902" spans="1:20" x14ac:dyDescent="0.25">
      <c r="A902" s="2" t="s">
        <v>1954</v>
      </c>
      <c r="B902" s="3">
        <v>42010</v>
      </c>
      <c r="C902" s="3">
        <v>42011</v>
      </c>
      <c r="D902" s="2" t="s">
        <v>55</v>
      </c>
      <c r="E902" s="2" t="s">
        <v>1347</v>
      </c>
      <c r="F902" s="2" t="s">
        <v>1348</v>
      </c>
      <c r="G902" s="2" t="s">
        <v>24</v>
      </c>
      <c r="H902" s="2" t="s">
        <v>25</v>
      </c>
      <c r="I902" s="2" t="s">
        <v>394</v>
      </c>
      <c r="J902" s="2" t="s">
        <v>289</v>
      </c>
      <c r="K902" s="2" t="s">
        <v>82</v>
      </c>
      <c r="L902" s="2" t="s">
        <v>113</v>
      </c>
      <c r="M902" s="2" t="s">
        <v>30</v>
      </c>
      <c r="N902" s="2" t="s">
        <v>31</v>
      </c>
      <c r="O902" s="2" t="s">
        <v>114</v>
      </c>
      <c r="P902" s="4">
        <v>46.076999999999998</v>
      </c>
      <c r="Q902" s="4">
        <v>2</v>
      </c>
      <c r="R902" s="4">
        <v>-0.60609999999999997</v>
      </c>
      <c r="S902" s="2" t="s">
        <v>33</v>
      </c>
      <c r="T902" s="2" t="s">
        <v>115</v>
      </c>
    </row>
    <row r="903" spans="1:20" x14ac:dyDescent="0.25">
      <c r="A903" s="2" t="s">
        <v>1955</v>
      </c>
      <c r="B903" s="3">
        <v>42018</v>
      </c>
      <c r="C903" s="3">
        <v>42020</v>
      </c>
      <c r="D903" s="2" t="s">
        <v>48</v>
      </c>
      <c r="E903" s="2" t="s">
        <v>1593</v>
      </c>
      <c r="F903" s="2" t="s">
        <v>1594</v>
      </c>
      <c r="G903" s="2" t="s">
        <v>58</v>
      </c>
      <c r="H903" s="2" t="s">
        <v>25</v>
      </c>
      <c r="I903" s="2" t="s">
        <v>856</v>
      </c>
      <c r="J903" s="2" t="s">
        <v>127</v>
      </c>
      <c r="K903" s="2" t="s">
        <v>82</v>
      </c>
      <c r="L903" s="2" t="s">
        <v>252</v>
      </c>
      <c r="M903" s="2" t="s">
        <v>30</v>
      </c>
      <c r="N903" s="2" t="s">
        <v>31</v>
      </c>
      <c r="O903" s="2" t="s">
        <v>253</v>
      </c>
      <c r="P903" s="4">
        <v>28.455300000000001</v>
      </c>
      <c r="Q903" s="4">
        <v>2</v>
      </c>
      <c r="R903" s="4">
        <v>2.8809</v>
      </c>
      <c r="S903" s="2" t="s">
        <v>53</v>
      </c>
      <c r="T903" s="2" t="s">
        <v>115</v>
      </c>
    </row>
    <row r="904" spans="1:20" x14ac:dyDescent="0.25">
      <c r="A904" s="2" t="s">
        <v>1956</v>
      </c>
      <c r="B904" s="3">
        <v>42064</v>
      </c>
      <c r="C904" s="3">
        <v>42069</v>
      </c>
      <c r="D904" s="2" t="s">
        <v>55</v>
      </c>
      <c r="E904" s="2" t="s">
        <v>369</v>
      </c>
      <c r="F904" s="2" t="s">
        <v>370</v>
      </c>
      <c r="G904" s="2" t="s">
        <v>24</v>
      </c>
      <c r="H904" s="2" t="s">
        <v>25</v>
      </c>
      <c r="I904" s="2" t="s">
        <v>566</v>
      </c>
      <c r="J904" s="2" t="s">
        <v>424</v>
      </c>
      <c r="K904" s="2" t="s">
        <v>28</v>
      </c>
      <c r="L904" s="2" t="s">
        <v>228</v>
      </c>
      <c r="M904" s="2" t="s">
        <v>30</v>
      </c>
      <c r="N904" s="2" t="s">
        <v>42</v>
      </c>
      <c r="O904" s="2" t="s">
        <v>229</v>
      </c>
      <c r="P904" s="4">
        <v>30.472999999999999</v>
      </c>
      <c r="Q904" s="4">
        <v>9</v>
      </c>
      <c r="R904" s="4">
        <v>0.84109999999999996</v>
      </c>
      <c r="S904" s="2" t="s">
        <v>85</v>
      </c>
      <c r="T904" s="2" t="s">
        <v>44</v>
      </c>
    </row>
    <row r="905" spans="1:20" x14ac:dyDescent="0.25">
      <c r="A905" s="2" t="s">
        <v>1957</v>
      </c>
      <c r="B905" s="3">
        <v>42976</v>
      </c>
      <c r="C905" s="3">
        <v>42981</v>
      </c>
      <c r="D905" s="2" t="s">
        <v>55</v>
      </c>
      <c r="E905" s="2" t="s">
        <v>1309</v>
      </c>
      <c r="F905" s="2" t="s">
        <v>1310</v>
      </c>
      <c r="G905" s="2" t="s">
        <v>38</v>
      </c>
      <c r="H905" s="2" t="s">
        <v>25</v>
      </c>
      <c r="I905" s="2" t="s">
        <v>1212</v>
      </c>
      <c r="J905" s="2" t="s">
        <v>496</v>
      </c>
      <c r="K905" s="2" t="s">
        <v>147</v>
      </c>
      <c r="L905" s="2" t="s">
        <v>99</v>
      </c>
      <c r="M905" s="2" t="s">
        <v>30</v>
      </c>
      <c r="N905" s="2" t="s">
        <v>42</v>
      </c>
      <c r="O905" s="2" t="s">
        <v>100</v>
      </c>
      <c r="P905" s="4">
        <v>434.9178</v>
      </c>
      <c r="Q905" s="4">
        <v>2</v>
      </c>
      <c r="R905" s="4">
        <v>36.339799999999997</v>
      </c>
      <c r="S905" s="2" t="s">
        <v>85</v>
      </c>
      <c r="T905" s="2" t="s">
        <v>34</v>
      </c>
    </row>
    <row r="906" spans="1:20" x14ac:dyDescent="0.25">
      <c r="A906" s="2" t="s">
        <v>1957</v>
      </c>
      <c r="B906" s="3">
        <v>42976</v>
      </c>
      <c r="C906" s="3">
        <v>42981</v>
      </c>
      <c r="D906" s="2" t="s">
        <v>55</v>
      </c>
      <c r="E906" s="2" t="s">
        <v>1309</v>
      </c>
      <c r="F906" s="2" t="s">
        <v>1310</v>
      </c>
      <c r="G906" s="2" t="s">
        <v>38</v>
      </c>
      <c r="H906" s="2" t="s">
        <v>25</v>
      </c>
      <c r="I906" s="2" t="s">
        <v>1212</v>
      </c>
      <c r="J906" s="2" t="s">
        <v>496</v>
      </c>
      <c r="K906" s="2" t="s">
        <v>147</v>
      </c>
      <c r="L906" s="2" t="s">
        <v>328</v>
      </c>
      <c r="M906" s="2" t="s">
        <v>30</v>
      </c>
      <c r="N906" s="2" t="s">
        <v>63</v>
      </c>
      <c r="O906" s="2" t="s">
        <v>329</v>
      </c>
      <c r="P906" s="4">
        <v>1641.0902000000001</v>
      </c>
      <c r="Q906" s="4">
        <v>8</v>
      </c>
      <c r="R906" s="4">
        <v>238.0033</v>
      </c>
      <c r="S906" s="2" t="s">
        <v>85</v>
      </c>
      <c r="T906" s="2" t="s">
        <v>34</v>
      </c>
    </row>
    <row r="907" spans="1:20" x14ac:dyDescent="0.25">
      <c r="A907" s="2" t="s">
        <v>1957</v>
      </c>
      <c r="B907" s="3">
        <v>42976</v>
      </c>
      <c r="C907" s="3">
        <v>42981</v>
      </c>
      <c r="D907" s="2" t="s">
        <v>55</v>
      </c>
      <c r="E907" s="2" t="s">
        <v>1309</v>
      </c>
      <c r="F907" s="2" t="s">
        <v>1310</v>
      </c>
      <c r="G907" s="2" t="s">
        <v>38</v>
      </c>
      <c r="H907" s="2" t="s">
        <v>25</v>
      </c>
      <c r="I907" s="2" t="s">
        <v>1212</v>
      </c>
      <c r="J907" s="2" t="s">
        <v>496</v>
      </c>
      <c r="K907" s="2" t="s">
        <v>147</v>
      </c>
      <c r="L907" s="2" t="s">
        <v>513</v>
      </c>
      <c r="M907" s="2" t="s">
        <v>30</v>
      </c>
      <c r="N907" s="2" t="s">
        <v>63</v>
      </c>
      <c r="O907" s="2" t="s">
        <v>514</v>
      </c>
      <c r="P907" s="4">
        <v>333.81020000000001</v>
      </c>
      <c r="Q907" s="4">
        <v>9</v>
      </c>
      <c r="R907" s="4">
        <v>53.692399999999999</v>
      </c>
      <c r="S907" s="2" t="s">
        <v>85</v>
      </c>
      <c r="T907" s="2" t="s">
        <v>34</v>
      </c>
    </row>
    <row r="908" spans="1:20" x14ac:dyDescent="0.25">
      <c r="A908" s="2" t="s">
        <v>1958</v>
      </c>
      <c r="B908" s="3">
        <v>42240</v>
      </c>
      <c r="C908" s="3">
        <v>42244</v>
      </c>
      <c r="D908" s="2" t="s">
        <v>21</v>
      </c>
      <c r="E908" s="2" t="s">
        <v>680</v>
      </c>
      <c r="F908" s="2" t="s">
        <v>681</v>
      </c>
      <c r="G908" s="2" t="s">
        <v>38</v>
      </c>
      <c r="H908" s="2" t="s">
        <v>25</v>
      </c>
      <c r="I908" s="2" t="s">
        <v>26</v>
      </c>
      <c r="J908" s="2" t="s">
        <v>91</v>
      </c>
      <c r="K908" s="2" t="s">
        <v>61</v>
      </c>
      <c r="L908" s="2" t="s">
        <v>839</v>
      </c>
      <c r="M908" s="2" t="s">
        <v>30</v>
      </c>
      <c r="N908" s="2" t="s">
        <v>63</v>
      </c>
      <c r="O908" s="2" t="s">
        <v>840</v>
      </c>
      <c r="P908" s="4">
        <v>199.98150000000001</v>
      </c>
      <c r="Q908" s="4">
        <v>3</v>
      </c>
      <c r="R908" s="4">
        <v>-110.79649999999999</v>
      </c>
      <c r="S908" s="2" t="s">
        <v>75</v>
      </c>
      <c r="T908" s="2" t="s">
        <v>34</v>
      </c>
    </row>
    <row r="909" spans="1:20" x14ac:dyDescent="0.25">
      <c r="A909" s="2" t="s">
        <v>1959</v>
      </c>
      <c r="B909" s="3">
        <v>42125</v>
      </c>
      <c r="C909" s="3">
        <v>42129</v>
      </c>
      <c r="D909" s="2" t="s">
        <v>55</v>
      </c>
      <c r="E909" s="2" t="s">
        <v>1832</v>
      </c>
      <c r="F909" s="2" t="s">
        <v>1833</v>
      </c>
      <c r="G909" s="2" t="s">
        <v>58</v>
      </c>
      <c r="H909" s="2" t="s">
        <v>25</v>
      </c>
      <c r="I909" s="2" t="s">
        <v>138</v>
      </c>
      <c r="J909" s="2" t="s">
        <v>407</v>
      </c>
      <c r="K909" s="2" t="s">
        <v>28</v>
      </c>
      <c r="L909" s="2" t="s">
        <v>252</v>
      </c>
      <c r="M909" s="2" t="s">
        <v>30</v>
      </c>
      <c r="N909" s="2" t="s">
        <v>31</v>
      </c>
      <c r="O909" s="2" t="s">
        <v>253</v>
      </c>
      <c r="P909" s="4">
        <v>59.466299999999997</v>
      </c>
      <c r="Q909" s="4">
        <v>4</v>
      </c>
      <c r="R909" s="4">
        <v>10.781599999999999</v>
      </c>
      <c r="S909" s="2" t="s">
        <v>75</v>
      </c>
      <c r="T909" s="2" t="s">
        <v>122</v>
      </c>
    </row>
    <row r="910" spans="1:20" x14ac:dyDescent="0.25">
      <c r="A910" s="2" t="s">
        <v>1960</v>
      </c>
      <c r="B910" s="3">
        <v>42766</v>
      </c>
      <c r="C910" s="3">
        <v>42770</v>
      </c>
      <c r="D910" s="2" t="s">
        <v>55</v>
      </c>
      <c r="E910" s="2" t="s">
        <v>1961</v>
      </c>
      <c r="F910" s="2" t="s">
        <v>1962</v>
      </c>
      <c r="G910" s="2" t="s">
        <v>58</v>
      </c>
      <c r="H910" s="2" t="s">
        <v>25</v>
      </c>
      <c r="I910" s="2" t="s">
        <v>1128</v>
      </c>
      <c r="J910" s="2" t="s">
        <v>667</v>
      </c>
      <c r="K910" s="2" t="s">
        <v>28</v>
      </c>
      <c r="L910" s="2" t="s">
        <v>323</v>
      </c>
      <c r="M910" s="2" t="s">
        <v>30</v>
      </c>
      <c r="N910" s="2" t="s">
        <v>31</v>
      </c>
      <c r="O910" s="2" t="s">
        <v>324</v>
      </c>
      <c r="P910" s="4">
        <v>153.3468</v>
      </c>
      <c r="Q910" s="4">
        <v>1</v>
      </c>
      <c r="R910" s="4">
        <v>-29.4511</v>
      </c>
      <c r="S910" s="2" t="s">
        <v>75</v>
      </c>
      <c r="T910" s="2" t="s">
        <v>115</v>
      </c>
    </row>
    <row r="911" spans="1:20" x14ac:dyDescent="0.25">
      <c r="A911" s="2" t="s">
        <v>1963</v>
      </c>
      <c r="B911" s="3">
        <v>42737</v>
      </c>
      <c r="C911" s="3">
        <v>42739</v>
      </c>
      <c r="D911" s="2" t="s">
        <v>21</v>
      </c>
      <c r="E911" s="2" t="s">
        <v>157</v>
      </c>
      <c r="F911" s="2" t="s">
        <v>158</v>
      </c>
      <c r="G911" s="2" t="s">
        <v>38</v>
      </c>
      <c r="H911" s="2" t="s">
        <v>25</v>
      </c>
      <c r="I911" s="2" t="s">
        <v>159</v>
      </c>
      <c r="J911" s="2" t="s">
        <v>160</v>
      </c>
      <c r="K911" s="2" t="s">
        <v>61</v>
      </c>
      <c r="L911" s="2" t="s">
        <v>113</v>
      </c>
      <c r="M911" s="2" t="s">
        <v>30</v>
      </c>
      <c r="N911" s="2" t="s">
        <v>31</v>
      </c>
      <c r="O911" s="2" t="s">
        <v>114</v>
      </c>
      <c r="P911" s="4">
        <v>367.71010000000001</v>
      </c>
      <c r="Q911" s="4">
        <v>1</v>
      </c>
      <c r="R911" s="4">
        <v>16.535399999999999</v>
      </c>
      <c r="S911" s="2" t="s">
        <v>53</v>
      </c>
      <c r="T911" s="2" t="s">
        <v>115</v>
      </c>
    </row>
    <row r="912" spans="1:20" x14ac:dyDescent="0.25">
      <c r="A912" s="2" t="s">
        <v>1964</v>
      </c>
      <c r="B912" s="3">
        <v>42878</v>
      </c>
      <c r="C912" s="3">
        <v>42881</v>
      </c>
      <c r="D912" s="2" t="s">
        <v>55</v>
      </c>
      <c r="E912" s="2" t="s">
        <v>851</v>
      </c>
      <c r="F912" s="2" t="s">
        <v>852</v>
      </c>
      <c r="G912" s="2" t="s">
        <v>24</v>
      </c>
      <c r="H912" s="2" t="s">
        <v>25</v>
      </c>
      <c r="I912" s="2" t="s">
        <v>105</v>
      </c>
      <c r="J912" s="2" t="s">
        <v>106</v>
      </c>
      <c r="K912" s="2" t="s">
        <v>61</v>
      </c>
      <c r="L912" s="2" t="s">
        <v>73</v>
      </c>
      <c r="M912" s="2" t="s">
        <v>30</v>
      </c>
      <c r="N912" s="2" t="s">
        <v>42</v>
      </c>
      <c r="O912" s="2" t="s">
        <v>74</v>
      </c>
      <c r="P912" s="4">
        <v>156.4135</v>
      </c>
      <c r="Q912" s="4">
        <v>2</v>
      </c>
      <c r="R912" s="4">
        <v>17.331399999999999</v>
      </c>
      <c r="S912" s="2" t="s">
        <v>92</v>
      </c>
      <c r="T912" s="2" t="s">
        <v>122</v>
      </c>
    </row>
    <row r="913" spans="1:20" x14ac:dyDescent="0.25">
      <c r="A913" s="2" t="s">
        <v>1965</v>
      </c>
      <c r="B913" s="3">
        <v>43040</v>
      </c>
      <c r="C913" s="3">
        <v>43041</v>
      </c>
      <c r="D913" s="2" t="s">
        <v>21</v>
      </c>
      <c r="E913" s="2" t="s">
        <v>1534</v>
      </c>
      <c r="F913" s="2" t="s">
        <v>1535</v>
      </c>
      <c r="G913" s="2" t="s">
        <v>58</v>
      </c>
      <c r="H913" s="2" t="s">
        <v>25</v>
      </c>
      <c r="I913" s="2" t="s">
        <v>350</v>
      </c>
      <c r="J913" s="2" t="s">
        <v>351</v>
      </c>
      <c r="K913" s="2" t="s">
        <v>147</v>
      </c>
      <c r="L913" s="2" t="s">
        <v>41</v>
      </c>
      <c r="M913" s="2" t="s">
        <v>30</v>
      </c>
      <c r="N913" s="2" t="s">
        <v>42</v>
      </c>
      <c r="O913" s="2" t="s">
        <v>43</v>
      </c>
      <c r="P913" s="4">
        <v>570.48680000000002</v>
      </c>
      <c r="Q913" s="4">
        <v>2</v>
      </c>
      <c r="R913" s="4">
        <v>220.9265</v>
      </c>
      <c r="S913" s="2" t="s">
        <v>33</v>
      </c>
      <c r="T913" s="2" t="s">
        <v>93</v>
      </c>
    </row>
    <row r="914" spans="1:20" x14ac:dyDescent="0.25">
      <c r="A914" s="2" t="s">
        <v>1965</v>
      </c>
      <c r="B914" s="3">
        <v>43040</v>
      </c>
      <c r="C914" s="3">
        <v>43041</v>
      </c>
      <c r="D914" s="2" t="s">
        <v>21</v>
      </c>
      <c r="E914" s="2" t="s">
        <v>1534</v>
      </c>
      <c r="F914" s="2" t="s">
        <v>1535</v>
      </c>
      <c r="G914" s="2" t="s">
        <v>58</v>
      </c>
      <c r="H914" s="2" t="s">
        <v>25</v>
      </c>
      <c r="I914" s="2" t="s">
        <v>350</v>
      </c>
      <c r="J914" s="2" t="s">
        <v>351</v>
      </c>
      <c r="K914" s="2" t="s">
        <v>147</v>
      </c>
      <c r="L914" s="2" t="s">
        <v>1476</v>
      </c>
      <c r="M914" s="2" t="s">
        <v>30</v>
      </c>
      <c r="N914" s="2" t="s">
        <v>63</v>
      </c>
      <c r="O914" s="2" t="s">
        <v>1477</v>
      </c>
      <c r="P914" s="4">
        <v>226.57220000000001</v>
      </c>
      <c r="Q914" s="4">
        <v>3</v>
      </c>
      <c r="R914" s="4">
        <v>38.209000000000003</v>
      </c>
      <c r="S914" s="2" t="s">
        <v>33</v>
      </c>
      <c r="T914" s="2" t="s">
        <v>93</v>
      </c>
    </row>
    <row r="915" spans="1:20" x14ac:dyDescent="0.25">
      <c r="A915" s="2" t="s">
        <v>1966</v>
      </c>
      <c r="B915" s="3">
        <v>42415</v>
      </c>
      <c r="C915" s="3">
        <v>42420</v>
      </c>
      <c r="D915" s="2" t="s">
        <v>55</v>
      </c>
      <c r="E915" s="2" t="s">
        <v>814</v>
      </c>
      <c r="F915" s="2" t="s">
        <v>815</v>
      </c>
      <c r="G915" s="2" t="s">
        <v>58</v>
      </c>
      <c r="H915" s="2" t="s">
        <v>25</v>
      </c>
      <c r="I915" s="2" t="s">
        <v>71</v>
      </c>
      <c r="J915" s="2" t="s">
        <v>72</v>
      </c>
      <c r="K915" s="2" t="s">
        <v>61</v>
      </c>
      <c r="L915" s="2" t="s">
        <v>113</v>
      </c>
      <c r="M915" s="2" t="s">
        <v>30</v>
      </c>
      <c r="N915" s="2" t="s">
        <v>31</v>
      </c>
      <c r="O915" s="2" t="s">
        <v>114</v>
      </c>
      <c r="P915" s="4">
        <v>164.27619999999999</v>
      </c>
      <c r="Q915" s="4">
        <v>1</v>
      </c>
      <c r="R915" s="4">
        <v>153.68219999999999</v>
      </c>
      <c r="S915" s="2" t="s">
        <v>85</v>
      </c>
      <c r="T915" s="2" t="s">
        <v>101</v>
      </c>
    </row>
    <row r="916" spans="1:20" x14ac:dyDescent="0.25">
      <c r="A916" s="2" t="s">
        <v>1967</v>
      </c>
      <c r="B916" s="3">
        <v>42195</v>
      </c>
      <c r="C916" s="3">
        <v>42197</v>
      </c>
      <c r="D916" s="2" t="s">
        <v>48</v>
      </c>
      <c r="E916" s="2" t="s">
        <v>1001</v>
      </c>
      <c r="F916" s="2" t="s">
        <v>1002</v>
      </c>
      <c r="G916" s="2" t="s">
        <v>58</v>
      </c>
      <c r="H916" s="2" t="s">
        <v>25</v>
      </c>
      <c r="I916" s="2" t="s">
        <v>902</v>
      </c>
      <c r="J916" s="2" t="s">
        <v>632</v>
      </c>
      <c r="K916" s="2" t="s">
        <v>82</v>
      </c>
      <c r="L916" s="2" t="s">
        <v>612</v>
      </c>
      <c r="M916" s="2" t="s">
        <v>30</v>
      </c>
      <c r="N916" s="2" t="s">
        <v>162</v>
      </c>
      <c r="O916" s="2" t="s">
        <v>613</v>
      </c>
      <c r="P916" s="4">
        <v>406.34030000000001</v>
      </c>
      <c r="Q916" s="4">
        <v>3</v>
      </c>
      <c r="R916" s="4">
        <v>34.5077</v>
      </c>
      <c r="S916" s="2" t="s">
        <v>53</v>
      </c>
      <c r="T916" s="2" t="s">
        <v>86</v>
      </c>
    </row>
    <row r="917" spans="1:20" x14ac:dyDescent="0.25">
      <c r="A917" s="2" t="s">
        <v>1967</v>
      </c>
      <c r="B917" s="3">
        <v>42195</v>
      </c>
      <c r="C917" s="3">
        <v>42197</v>
      </c>
      <c r="D917" s="2" t="s">
        <v>48</v>
      </c>
      <c r="E917" s="2" t="s">
        <v>1001</v>
      </c>
      <c r="F917" s="2" t="s">
        <v>1002</v>
      </c>
      <c r="G917" s="2" t="s">
        <v>58</v>
      </c>
      <c r="H917" s="2" t="s">
        <v>25</v>
      </c>
      <c r="I917" s="2" t="s">
        <v>902</v>
      </c>
      <c r="J917" s="2" t="s">
        <v>632</v>
      </c>
      <c r="K917" s="2" t="s">
        <v>82</v>
      </c>
      <c r="L917" s="2" t="s">
        <v>45</v>
      </c>
      <c r="M917" s="2" t="s">
        <v>30</v>
      </c>
      <c r="N917" s="2" t="s">
        <v>31</v>
      </c>
      <c r="O917" s="2" t="s">
        <v>46</v>
      </c>
      <c r="P917" s="4">
        <v>35.479399999999998</v>
      </c>
      <c r="Q917" s="4">
        <v>2</v>
      </c>
      <c r="R917" s="4">
        <v>11.378</v>
      </c>
      <c r="S917" s="2" t="s">
        <v>53</v>
      </c>
      <c r="T917" s="2" t="s">
        <v>86</v>
      </c>
    </row>
    <row r="918" spans="1:20" x14ac:dyDescent="0.25">
      <c r="A918" s="2" t="s">
        <v>1967</v>
      </c>
      <c r="B918" s="3">
        <v>42195</v>
      </c>
      <c r="C918" s="3">
        <v>42197</v>
      </c>
      <c r="D918" s="2" t="s">
        <v>48</v>
      </c>
      <c r="E918" s="2" t="s">
        <v>1001</v>
      </c>
      <c r="F918" s="2" t="s">
        <v>1002</v>
      </c>
      <c r="G918" s="2" t="s">
        <v>58</v>
      </c>
      <c r="H918" s="2" t="s">
        <v>25</v>
      </c>
      <c r="I918" s="2" t="s">
        <v>902</v>
      </c>
      <c r="J918" s="2" t="s">
        <v>632</v>
      </c>
      <c r="K918" s="2" t="s">
        <v>82</v>
      </c>
      <c r="L918" s="2" t="s">
        <v>677</v>
      </c>
      <c r="M918" s="2" t="s">
        <v>30</v>
      </c>
      <c r="N918" s="2" t="s">
        <v>162</v>
      </c>
      <c r="O918" s="2" t="s">
        <v>678</v>
      </c>
      <c r="P918" s="4">
        <v>609.60419999999999</v>
      </c>
      <c r="Q918" s="4">
        <v>3</v>
      </c>
      <c r="R918" s="4">
        <v>-176.25120000000001</v>
      </c>
      <c r="S918" s="2" t="s">
        <v>53</v>
      </c>
      <c r="T918" s="2" t="s">
        <v>86</v>
      </c>
    </row>
    <row r="919" spans="1:20" x14ac:dyDescent="0.25">
      <c r="A919" s="2" t="s">
        <v>1968</v>
      </c>
      <c r="B919" s="3">
        <v>42170</v>
      </c>
      <c r="C919" s="3">
        <v>42174</v>
      </c>
      <c r="D919" s="2" t="s">
        <v>55</v>
      </c>
      <c r="E919" s="2" t="s">
        <v>1969</v>
      </c>
      <c r="F919" s="2" t="s">
        <v>1970</v>
      </c>
      <c r="G919" s="2" t="s">
        <v>38</v>
      </c>
      <c r="H919" s="2" t="s">
        <v>25</v>
      </c>
      <c r="I919" s="2" t="s">
        <v>278</v>
      </c>
      <c r="J919" s="2" t="s">
        <v>279</v>
      </c>
      <c r="K919" s="2" t="s">
        <v>28</v>
      </c>
      <c r="L919" s="2" t="s">
        <v>186</v>
      </c>
      <c r="M919" s="2" t="s">
        <v>30</v>
      </c>
      <c r="N919" s="2" t="s">
        <v>31</v>
      </c>
      <c r="O919" s="2" t="s">
        <v>187</v>
      </c>
      <c r="P919" s="4">
        <v>171.25890000000001</v>
      </c>
      <c r="Q919" s="4">
        <v>2</v>
      </c>
      <c r="R919" s="4">
        <v>106.47969999999999</v>
      </c>
      <c r="S919" s="2" t="s">
        <v>75</v>
      </c>
      <c r="T919" s="2" t="s">
        <v>133</v>
      </c>
    </row>
    <row r="920" spans="1:20" x14ac:dyDescent="0.25">
      <c r="A920" s="2" t="s">
        <v>1971</v>
      </c>
      <c r="B920" s="3">
        <v>43088</v>
      </c>
      <c r="C920" s="3">
        <v>43088</v>
      </c>
      <c r="D920" s="2" t="s">
        <v>142</v>
      </c>
      <c r="E920" s="2" t="s">
        <v>447</v>
      </c>
      <c r="F920" s="2" t="s">
        <v>448</v>
      </c>
      <c r="G920" s="2" t="s">
        <v>38</v>
      </c>
      <c r="H920" s="2" t="s">
        <v>25</v>
      </c>
      <c r="I920" s="2" t="s">
        <v>1319</v>
      </c>
      <c r="J920" s="2" t="s">
        <v>632</v>
      </c>
      <c r="K920" s="2" t="s">
        <v>82</v>
      </c>
      <c r="L920" s="2" t="s">
        <v>169</v>
      </c>
      <c r="M920" s="2" t="s">
        <v>30</v>
      </c>
      <c r="N920" s="2" t="s">
        <v>162</v>
      </c>
      <c r="O920" s="2" t="s">
        <v>170</v>
      </c>
      <c r="P920" s="4">
        <v>666.74339999999995</v>
      </c>
      <c r="Q920" s="4">
        <v>4</v>
      </c>
      <c r="R920" s="4">
        <v>-21.133099999999999</v>
      </c>
      <c r="S920" s="2" t="s">
        <v>121</v>
      </c>
      <c r="T920" s="2" t="s">
        <v>76</v>
      </c>
    </row>
    <row r="921" spans="1:20" x14ac:dyDescent="0.25">
      <c r="A921" s="2" t="s">
        <v>1972</v>
      </c>
      <c r="B921" s="3">
        <v>42516</v>
      </c>
      <c r="C921" s="3">
        <v>42516</v>
      </c>
      <c r="D921" s="2" t="s">
        <v>21</v>
      </c>
      <c r="E921" s="2" t="s">
        <v>143</v>
      </c>
      <c r="F921" s="2" t="s">
        <v>144</v>
      </c>
      <c r="G921" s="2" t="s">
        <v>38</v>
      </c>
      <c r="H921" s="2" t="s">
        <v>25</v>
      </c>
      <c r="I921" s="2" t="s">
        <v>259</v>
      </c>
      <c r="J921" s="2" t="s">
        <v>260</v>
      </c>
      <c r="K921" s="2" t="s">
        <v>147</v>
      </c>
      <c r="L921" s="2" t="s">
        <v>1476</v>
      </c>
      <c r="M921" s="2" t="s">
        <v>30</v>
      </c>
      <c r="N921" s="2" t="s">
        <v>63</v>
      </c>
      <c r="O921" s="2" t="s">
        <v>1477</v>
      </c>
      <c r="P921" s="4">
        <v>218.03749999999999</v>
      </c>
      <c r="Q921" s="4">
        <v>3</v>
      </c>
      <c r="R921" s="4">
        <v>-81.194400000000002</v>
      </c>
      <c r="S921" s="2" t="s">
        <v>121</v>
      </c>
      <c r="T921" s="2" t="s">
        <v>122</v>
      </c>
    </row>
    <row r="922" spans="1:20" x14ac:dyDescent="0.25">
      <c r="A922" s="2" t="s">
        <v>1973</v>
      </c>
      <c r="B922" s="3">
        <v>41831</v>
      </c>
      <c r="C922" s="3">
        <v>41831</v>
      </c>
      <c r="D922" s="2" t="s">
        <v>48</v>
      </c>
      <c r="E922" s="2" t="s">
        <v>1928</v>
      </c>
      <c r="F922" s="2" t="s">
        <v>1929</v>
      </c>
      <c r="G922" s="2" t="s">
        <v>58</v>
      </c>
      <c r="H922" s="2" t="s">
        <v>25</v>
      </c>
      <c r="I922" s="2" t="s">
        <v>26</v>
      </c>
      <c r="J922" s="2" t="s">
        <v>91</v>
      </c>
      <c r="K922" s="2" t="s">
        <v>61</v>
      </c>
      <c r="L922" s="2" t="s">
        <v>820</v>
      </c>
      <c r="M922" s="2" t="s">
        <v>30</v>
      </c>
      <c r="N922" s="2" t="s">
        <v>162</v>
      </c>
      <c r="O922" s="2" t="s">
        <v>821</v>
      </c>
      <c r="P922" s="4">
        <v>704.07270000000005</v>
      </c>
      <c r="Q922" s="4">
        <v>4</v>
      </c>
      <c r="R922" s="4">
        <v>-258.85590000000002</v>
      </c>
      <c r="S922" s="2" t="s">
        <v>121</v>
      </c>
      <c r="T922" s="2" t="s">
        <v>86</v>
      </c>
    </row>
    <row r="923" spans="1:20" x14ac:dyDescent="0.25">
      <c r="A923" s="2" t="s">
        <v>1973</v>
      </c>
      <c r="B923" s="3">
        <v>41831</v>
      </c>
      <c r="C923" s="3">
        <v>41831</v>
      </c>
      <c r="D923" s="2" t="s">
        <v>48</v>
      </c>
      <c r="E923" s="2" t="s">
        <v>1928</v>
      </c>
      <c r="F923" s="2" t="s">
        <v>1929</v>
      </c>
      <c r="G923" s="2" t="s">
        <v>58</v>
      </c>
      <c r="H923" s="2" t="s">
        <v>25</v>
      </c>
      <c r="I923" s="2" t="s">
        <v>26</v>
      </c>
      <c r="J923" s="2" t="s">
        <v>91</v>
      </c>
      <c r="K923" s="2" t="s">
        <v>61</v>
      </c>
      <c r="L923" s="2" t="s">
        <v>323</v>
      </c>
      <c r="M923" s="2" t="s">
        <v>30</v>
      </c>
      <c r="N923" s="2" t="s">
        <v>31</v>
      </c>
      <c r="O923" s="2" t="s">
        <v>324</v>
      </c>
      <c r="P923" s="4">
        <v>27.418800000000001</v>
      </c>
      <c r="Q923" s="4">
        <v>1</v>
      </c>
      <c r="R923" s="4">
        <v>-17.715800000000002</v>
      </c>
      <c r="S923" s="2" t="s">
        <v>121</v>
      </c>
      <c r="T923" s="2" t="s">
        <v>86</v>
      </c>
    </row>
    <row r="924" spans="1:20" x14ac:dyDescent="0.25">
      <c r="A924" s="2" t="s">
        <v>1973</v>
      </c>
      <c r="B924" s="3">
        <v>41831</v>
      </c>
      <c r="C924" s="3">
        <v>41831</v>
      </c>
      <c r="D924" s="2" t="s">
        <v>48</v>
      </c>
      <c r="E924" s="2" t="s">
        <v>1928</v>
      </c>
      <c r="F924" s="2" t="s">
        <v>1929</v>
      </c>
      <c r="G924" s="2" t="s">
        <v>58</v>
      </c>
      <c r="H924" s="2" t="s">
        <v>25</v>
      </c>
      <c r="I924" s="2" t="s">
        <v>26</v>
      </c>
      <c r="J924" s="2" t="s">
        <v>91</v>
      </c>
      <c r="K924" s="2" t="s">
        <v>61</v>
      </c>
      <c r="L924" s="2" t="s">
        <v>820</v>
      </c>
      <c r="M924" s="2" t="s">
        <v>30</v>
      </c>
      <c r="N924" s="2" t="s">
        <v>162</v>
      </c>
      <c r="O924" s="2" t="s">
        <v>821</v>
      </c>
      <c r="P924" s="4">
        <v>309.85669999999999</v>
      </c>
      <c r="Q924" s="4">
        <v>6</v>
      </c>
      <c r="R924" s="4">
        <v>-209.17339999999999</v>
      </c>
      <c r="S924" s="2" t="s">
        <v>121</v>
      </c>
      <c r="T924" s="2" t="s">
        <v>86</v>
      </c>
    </row>
    <row r="925" spans="1:20" x14ac:dyDescent="0.25">
      <c r="A925" s="2" t="s">
        <v>1974</v>
      </c>
      <c r="B925" s="3">
        <v>43043</v>
      </c>
      <c r="C925" s="3">
        <v>43047</v>
      </c>
      <c r="D925" s="2" t="s">
        <v>21</v>
      </c>
      <c r="E925" s="2" t="s">
        <v>1166</v>
      </c>
      <c r="F925" s="2" t="s">
        <v>1167</v>
      </c>
      <c r="G925" s="2" t="s">
        <v>58</v>
      </c>
      <c r="H925" s="2" t="s">
        <v>25</v>
      </c>
      <c r="I925" s="2" t="s">
        <v>26</v>
      </c>
      <c r="J925" s="2" t="s">
        <v>27</v>
      </c>
      <c r="K925" s="2" t="s">
        <v>28</v>
      </c>
      <c r="L925" s="2" t="s">
        <v>154</v>
      </c>
      <c r="M925" s="2" t="s">
        <v>30</v>
      </c>
      <c r="N925" s="2" t="s">
        <v>42</v>
      </c>
      <c r="O925" s="2" t="s">
        <v>155</v>
      </c>
      <c r="P925" s="4">
        <v>338.92829999999998</v>
      </c>
      <c r="Q925" s="4">
        <v>1</v>
      </c>
      <c r="R925" s="4">
        <v>-100.3811</v>
      </c>
      <c r="S925" s="2" t="s">
        <v>75</v>
      </c>
      <c r="T925" s="2" t="s">
        <v>93</v>
      </c>
    </row>
    <row r="926" spans="1:20" x14ac:dyDescent="0.25">
      <c r="A926" s="2" t="s">
        <v>1975</v>
      </c>
      <c r="B926" s="3">
        <v>42994</v>
      </c>
      <c r="C926" s="3">
        <v>42994</v>
      </c>
      <c r="D926" s="2" t="s">
        <v>48</v>
      </c>
      <c r="E926" s="2" t="s">
        <v>1976</v>
      </c>
      <c r="F926" s="2" t="s">
        <v>1977</v>
      </c>
      <c r="G926" s="2" t="s">
        <v>58</v>
      </c>
      <c r="H926" s="2" t="s">
        <v>25</v>
      </c>
      <c r="I926" s="2" t="s">
        <v>649</v>
      </c>
      <c r="J926" s="2" t="s">
        <v>279</v>
      </c>
      <c r="K926" s="2" t="s">
        <v>28</v>
      </c>
      <c r="L926" s="2" t="s">
        <v>113</v>
      </c>
      <c r="M926" s="2" t="s">
        <v>30</v>
      </c>
      <c r="N926" s="2" t="s">
        <v>31</v>
      </c>
      <c r="O926" s="2" t="s">
        <v>114</v>
      </c>
      <c r="P926" s="4">
        <v>75.735699999999994</v>
      </c>
      <c r="Q926" s="4">
        <v>6</v>
      </c>
      <c r="R926" s="4">
        <v>-3.4255</v>
      </c>
      <c r="S926" s="2" t="s">
        <v>121</v>
      </c>
      <c r="T926" s="2" t="s">
        <v>148</v>
      </c>
    </row>
    <row r="927" spans="1:20" x14ac:dyDescent="0.25">
      <c r="A927" s="2" t="s">
        <v>1978</v>
      </c>
      <c r="B927" s="3">
        <v>42363</v>
      </c>
      <c r="C927" s="3">
        <v>42366</v>
      </c>
      <c r="D927" s="2" t="s">
        <v>55</v>
      </c>
      <c r="E927" s="2" t="s">
        <v>1979</v>
      </c>
      <c r="F927" s="2" t="s">
        <v>1980</v>
      </c>
      <c r="G927" s="2" t="s">
        <v>58</v>
      </c>
      <c r="H927" s="2" t="s">
        <v>25</v>
      </c>
      <c r="I927" s="2" t="s">
        <v>321</v>
      </c>
      <c r="J927" s="2" t="s">
        <v>322</v>
      </c>
      <c r="K927" s="2" t="s">
        <v>28</v>
      </c>
      <c r="L927" s="2" t="s">
        <v>252</v>
      </c>
      <c r="M927" s="2" t="s">
        <v>30</v>
      </c>
      <c r="N927" s="2" t="s">
        <v>31</v>
      </c>
      <c r="O927" s="2" t="s">
        <v>253</v>
      </c>
      <c r="P927" s="4">
        <v>137.5642</v>
      </c>
      <c r="Q927" s="4">
        <v>2</v>
      </c>
      <c r="R927" s="4">
        <v>46.645800000000001</v>
      </c>
      <c r="S927" s="2" t="s">
        <v>92</v>
      </c>
      <c r="T927" s="2" t="s">
        <v>76</v>
      </c>
    </row>
    <row r="928" spans="1:20" x14ac:dyDescent="0.25">
      <c r="A928" s="2" t="s">
        <v>1978</v>
      </c>
      <c r="B928" s="3">
        <v>42363</v>
      </c>
      <c r="C928" s="3">
        <v>42366</v>
      </c>
      <c r="D928" s="2" t="s">
        <v>55</v>
      </c>
      <c r="E928" s="2" t="s">
        <v>1979</v>
      </c>
      <c r="F928" s="2" t="s">
        <v>1980</v>
      </c>
      <c r="G928" s="2" t="s">
        <v>58</v>
      </c>
      <c r="H928" s="2" t="s">
        <v>25</v>
      </c>
      <c r="I928" s="2" t="s">
        <v>321</v>
      </c>
      <c r="J928" s="2" t="s">
        <v>322</v>
      </c>
      <c r="K928" s="2" t="s">
        <v>28</v>
      </c>
      <c r="L928" s="2" t="s">
        <v>139</v>
      </c>
      <c r="M928" s="2" t="s">
        <v>30</v>
      </c>
      <c r="N928" s="2" t="s">
        <v>42</v>
      </c>
      <c r="O928" s="2" t="s">
        <v>140</v>
      </c>
      <c r="P928" s="4">
        <v>749.80550000000005</v>
      </c>
      <c r="Q928" s="4">
        <v>3</v>
      </c>
      <c r="R928" s="4">
        <v>555.01070000000004</v>
      </c>
      <c r="S928" s="2" t="s">
        <v>92</v>
      </c>
      <c r="T928" s="2" t="s">
        <v>76</v>
      </c>
    </row>
    <row r="929" spans="1:20" x14ac:dyDescent="0.25">
      <c r="A929" s="2" t="s">
        <v>1981</v>
      </c>
      <c r="B929" s="3">
        <v>42241</v>
      </c>
      <c r="C929" s="3">
        <v>42243</v>
      </c>
      <c r="D929" s="2" t="s">
        <v>48</v>
      </c>
      <c r="E929" s="2" t="s">
        <v>1982</v>
      </c>
      <c r="F929" s="2" t="s">
        <v>1983</v>
      </c>
      <c r="G929" s="2" t="s">
        <v>58</v>
      </c>
      <c r="H929" s="2" t="s">
        <v>25</v>
      </c>
      <c r="I929" s="2" t="s">
        <v>216</v>
      </c>
      <c r="J929" s="2" t="s">
        <v>217</v>
      </c>
      <c r="K929" s="2" t="s">
        <v>82</v>
      </c>
      <c r="L929" s="2" t="s">
        <v>66</v>
      </c>
      <c r="M929" s="2" t="s">
        <v>30</v>
      </c>
      <c r="N929" s="2" t="s">
        <v>31</v>
      </c>
      <c r="O929" s="2" t="s">
        <v>67</v>
      </c>
      <c r="P929" s="4">
        <v>28.985099999999999</v>
      </c>
      <c r="Q929" s="4">
        <v>1</v>
      </c>
      <c r="R929" s="4">
        <v>-11.9483</v>
      </c>
      <c r="S929" s="2" t="s">
        <v>53</v>
      </c>
      <c r="T929" s="2" t="s">
        <v>34</v>
      </c>
    </row>
    <row r="930" spans="1:20" x14ac:dyDescent="0.25">
      <c r="A930" s="2" t="s">
        <v>1984</v>
      </c>
      <c r="B930" s="3">
        <v>42905</v>
      </c>
      <c r="C930" s="3">
        <v>42905</v>
      </c>
      <c r="D930" s="2" t="s">
        <v>55</v>
      </c>
      <c r="E930" s="2" t="s">
        <v>1791</v>
      </c>
      <c r="F930" s="2" t="s">
        <v>1792</v>
      </c>
      <c r="G930" s="2" t="s">
        <v>58</v>
      </c>
      <c r="H930" s="2" t="s">
        <v>25</v>
      </c>
      <c r="I930" s="2" t="s">
        <v>223</v>
      </c>
      <c r="J930" s="2" t="s">
        <v>81</v>
      </c>
      <c r="K930" s="2" t="s">
        <v>82</v>
      </c>
      <c r="L930" s="2" t="s">
        <v>45</v>
      </c>
      <c r="M930" s="2" t="s">
        <v>30</v>
      </c>
      <c r="N930" s="2" t="s">
        <v>31</v>
      </c>
      <c r="O930" s="2" t="s">
        <v>46</v>
      </c>
      <c r="P930" s="4">
        <v>59.463500000000003</v>
      </c>
      <c r="Q930" s="4">
        <v>3</v>
      </c>
      <c r="R930" s="4">
        <v>4.3784999999999998</v>
      </c>
      <c r="S930" s="2" t="s">
        <v>121</v>
      </c>
      <c r="T930" s="2" t="s">
        <v>133</v>
      </c>
    </row>
    <row r="931" spans="1:20" x14ac:dyDescent="0.25">
      <c r="A931" s="2" t="s">
        <v>1985</v>
      </c>
      <c r="B931" s="3">
        <v>42366</v>
      </c>
      <c r="C931" s="3">
        <v>42373</v>
      </c>
      <c r="D931" s="2" t="s">
        <v>55</v>
      </c>
      <c r="E931" s="2" t="s">
        <v>1986</v>
      </c>
      <c r="F931" s="2" t="s">
        <v>1987</v>
      </c>
      <c r="G931" s="2" t="s">
        <v>58</v>
      </c>
      <c r="H931" s="2" t="s">
        <v>25</v>
      </c>
      <c r="I931" s="2" t="s">
        <v>1697</v>
      </c>
      <c r="J931" s="2" t="s">
        <v>52</v>
      </c>
      <c r="K931" s="2" t="s">
        <v>28</v>
      </c>
      <c r="L931" s="2" t="s">
        <v>131</v>
      </c>
      <c r="M931" s="2" t="s">
        <v>30</v>
      </c>
      <c r="N931" s="2" t="s">
        <v>31</v>
      </c>
      <c r="O931" s="2" t="s">
        <v>132</v>
      </c>
      <c r="P931" s="4">
        <v>105.6808</v>
      </c>
      <c r="Q931" s="4">
        <v>3</v>
      </c>
      <c r="R931" s="4">
        <v>-13.248699999999999</v>
      </c>
      <c r="S931" s="2" t="s">
        <v>107</v>
      </c>
      <c r="T931" s="2" t="s">
        <v>76</v>
      </c>
    </row>
    <row r="932" spans="1:20" x14ac:dyDescent="0.25">
      <c r="A932" s="2" t="s">
        <v>1988</v>
      </c>
      <c r="B932" s="3">
        <v>42103</v>
      </c>
      <c r="C932" s="3">
        <v>42107</v>
      </c>
      <c r="D932" s="2" t="s">
        <v>55</v>
      </c>
      <c r="E932" s="2" t="s">
        <v>1989</v>
      </c>
      <c r="F932" s="2" t="s">
        <v>1990</v>
      </c>
      <c r="G932" s="2" t="s">
        <v>58</v>
      </c>
      <c r="H932" s="2" t="s">
        <v>25</v>
      </c>
      <c r="I932" s="2" t="s">
        <v>1055</v>
      </c>
      <c r="J932" s="2" t="s">
        <v>106</v>
      </c>
      <c r="K932" s="2" t="s">
        <v>61</v>
      </c>
      <c r="L932" s="2" t="s">
        <v>200</v>
      </c>
      <c r="M932" s="2" t="s">
        <v>30</v>
      </c>
      <c r="N932" s="2" t="s">
        <v>162</v>
      </c>
      <c r="O932" s="2" t="s">
        <v>201</v>
      </c>
      <c r="P932" s="4">
        <v>447.82900000000001</v>
      </c>
      <c r="Q932" s="4">
        <v>5</v>
      </c>
      <c r="R932" s="4">
        <v>284.36840000000001</v>
      </c>
      <c r="S932" s="2" t="s">
        <v>75</v>
      </c>
      <c r="T932" s="2" t="s">
        <v>108</v>
      </c>
    </row>
    <row r="933" spans="1:20" x14ac:dyDescent="0.25">
      <c r="A933" s="2" t="s">
        <v>1991</v>
      </c>
      <c r="B933" s="3">
        <v>41971</v>
      </c>
      <c r="C933" s="3">
        <v>41974</v>
      </c>
      <c r="D933" s="2" t="s">
        <v>55</v>
      </c>
      <c r="E933" s="2" t="s">
        <v>1357</v>
      </c>
      <c r="F933" s="2" t="s">
        <v>1358</v>
      </c>
      <c r="G933" s="2" t="s">
        <v>38</v>
      </c>
      <c r="H933" s="2" t="s">
        <v>25</v>
      </c>
      <c r="I933" s="2" t="s">
        <v>805</v>
      </c>
      <c r="J933" s="2" t="s">
        <v>351</v>
      </c>
      <c r="K933" s="2" t="s">
        <v>147</v>
      </c>
      <c r="L933" s="2" t="s">
        <v>193</v>
      </c>
      <c r="M933" s="2" t="s">
        <v>30</v>
      </c>
      <c r="N933" s="2" t="s">
        <v>42</v>
      </c>
      <c r="O933" s="2" t="s">
        <v>194</v>
      </c>
      <c r="P933" s="4">
        <v>837.90160000000003</v>
      </c>
      <c r="Q933" s="4">
        <v>3</v>
      </c>
      <c r="R933" s="4">
        <v>279.67180000000002</v>
      </c>
      <c r="S933" s="2" t="s">
        <v>92</v>
      </c>
      <c r="T933" s="2" t="s">
        <v>93</v>
      </c>
    </row>
    <row r="934" spans="1:20" x14ac:dyDescent="0.25">
      <c r="A934" s="2" t="s">
        <v>1992</v>
      </c>
      <c r="B934" s="3">
        <v>42318</v>
      </c>
      <c r="C934" s="3">
        <v>42325</v>
      </c>
      <c r="D934" s="2" t="s">
        <v>55</v>
      </c>
      <c r="E934" s="2" t="s">
        <v>1057</v>
      </c>
      <c r="F934" s="2" t="s">
        <v>1058</v>
      </c>
      <c r="G934" s="2" t="s">
        <v>38</v>
      </c>
      <c r="H934" s="2" t="s">
        <v>25</v>
      </c>
      <c r="I934" s="2" t="s">
        <v>699</v>
      </c>
      <c r="J934" s="2" t="s">
        <v>339</v>
      </c>
      <c r="K934" s="2" t="s">
        <v>82</v>
      </c>
      <c r="L934" s="2" t="s">
        <v>218</v>
      </c>
      <c r="M934" s="2" t="s">
        <v>30</v>
      </c>
      <c r="N934" s="2" t="s">
        <v>31</v>
      </c>
      <c r="O934" s="2" t="s">
        <v>219</v>
      </c>
      <c r="P934" s="4">
        <v>63.904400000000003</v>
      </c>
      <c r="Q934" s="4">
        <v>6</v>
      </c>
      <c r="R934" s="4">
        <v>16.583300000000001</v>
      </c>
      <c r="S934" s="2" t="s">
        <v>107</v>
      </c>
      <c r="T934" s="2" t="s">
        <v>93</v>
      </c>
    </row>
    <row r="935" spans="1:20" x14ac:dyDescent="0.25">
      <c r="A935" s="2" t="s">
        <v>1993</v>
      </c>
      <c r="B935" s="3">
        <v>41900</v>
      </c>
      <c r="C935" s="3">
        <v>41900</v>
      </c>
      <c r="D935" s="2" t="s">
        <v>142</v>
      </c>
      <c r="E935" s="2" t="s">
        <v>1994</v>
      </c>
      <c r="F935" s="2" t="s">
        <v>1995</v>
      </c>
      <c r="G935" s="2" t="s">
        <v>58</v>
      </c>
      <c r="H935" s="2" t="s">
        <v>25</v>
      </c>
      <c r="I935" s="2" t="s">
        <v>682</v>
      </c>
      <c r="J935" s="2" t="s">
        <v>632</v>
      </c>
      <c r="K935" s="2" t="s">
        <v>82</v>
      </c>
      <c r="L935" s="2" t="s">
        <v>245</v>
      </c>
      <c r="M935" s="2" t="s">
        <v>30</v>
      </c>
      <c r="N935" s="2" t="s">
        <v>42</v>
      </c>
      <c r="O935" s="2" t="s">
        <v>246</v>
      </c>
      <c r="P935" s="4">
        <v>486.5788</v>
      </c>
      <c r="Q935" s="4">
        <v>4</v>
      </c>
      <c r="R935" s="4">
        <v>-35.759799999999998</v>
      </c>
      <c r="S935" s="2" t="s">
        <v>121</v>
      </c>
      <c r="T935" s="2" t="s">
        <v>148</v>
      </c>
    </row>
    <row r="936" spans="1:20" x14ac:dyDescent="0.25">
      <c r="A936" s="2" t="s">
        <v>1996</v>
      </c>
      <c r="B936" s="3">
        <v>42664</v>
      </c>
      <c r="C936" s="3">
        <v>42668</v>
      </c>
      <c r="D936" s="2" t="s">
        <v>55</v>
      </c>
      <c r="E936" s="2" t="s">
        <v>1416</v>
      </c>
      <c r="F936" s="2" t="s">
        <v>1417</v>
      </c>
      <c r="G936" s="2" t="s">
        <v>58</v>
      </c>
      <c r="H936" s="2" t="s">
        <v>25</v>
      </c>
      <c r="I936" s="2" t="s">
        <v>1055</v>
      </c>
      <c r="J936" s="2" t="s">
        <v>106</v>
      </c>
      <c r="K936" s="2" t="s">
        <v>61</v>
      </c>
      <c r="L936" s="2" t="s">
        <v>719</v>
      </c>
      <c r="M936" s="2" t="s">
        <v>30</v>
      </c>
      <c r="N936" s="2" t="s">
        <v>63</v>
      </c>
      <c r="O936" s="2" t="s">
        <v>720</v>
      </c>
      <c r="P936" s="4">
        <v>144.00380000000001</v>
      </c>
      <c r="Q936" s="4">
        <v>2</v>
      </c>
      <c r="R936" s="4">
        <v>-38.844900000000003</v>
      </c>
      <c r="S936" s="2" t="s">
        <v>75</v>
      </c>
      <c r="T936" s="2" t="s">
        <v>224</v>
      </c>
    </row>
    <row r="937" spans="1:20" x14ac:dyDescent="0.25">
      <c r="A937" s="2" t="s">
        <v>1997</v>
      </c>
      <c r="B937" s="3">
        <v>42147</v>
      </c>
      <c r="C937" s="3">
        <v>42147</v>
      </c>
      <c r="D937" s="2" t="s">
        <v>142</v>
      </c>
      <c r="E937" s="2" t="s">
        <v>768</v>
      </c>
      <c r="F937" s="2" t="s">
        <v>769</v>
      </c>
      <c r="G937" s="2" t="s">
        <v>58</v>
      </c>
      <c r="H937" s="2" t="s">
        <v>25</v>
      </c>
      <c r="I937" s="2" t="s">
        <v>59</v>
      </c>
      <c r="J937" s="2" t="s">
        <v>60</v>
      </c>
      <c r="K937" s="2" t="s">
        <v>61</v>
      </c>
      <c r="L937" s="2" t="s">
        <v>207</v>
      </c>
      <c r="M937" s="2" t="s">
        <v>30</v>
      </c>
      <c r="N937" s="2" t="s">
        <v>31</v>
      </c>
      <c r="O937" s="2" t="s">
        <v>208</v>
      </c>
      <c r="P937" s="4">
        <v>543.86649999999997</v>
      </c>
      <c r="Q937" s="4">
        <v>6</v>
      </c>
      <c r="R937" s="4">
        <v>-41.0777</v>
      </c>
      <c r="S937" s="2" t="s">
        <v>121</v>
      </c>
      <c r="T937" s="2" t="s">
        <v>122</v>
      </c>
    </row>
    <row r="938" spans="1:20" x14ac:dyDescent="0.25">
      <c r="A938" s="2" t="s">
        <v>1998</v>
      </c>
      <c r="B938" s="3">
        <v>42610</v>
      </c>
      <c r="C938" s="3">
        <v>42612</v>
      </c>
      <c r="D938" s="2" t="s">
        <v>55</v>
      </c>
      <c r="E938" s="2" t="s">
        <v>1999</v>
      </c>
      <c r="F938" s="2" t="s">
        <v>2000</v>
      </c>
      <c r="G938" s="2" t="s">
        <v>38</v>
      </c>
      <c r="H938" s="2" t="s">
        <v>25</v>
      </c>
      <c r="I938" s="2" t="s">
        <v>26</v>
      </c>
      <c r="J938" s="2" t="s">
        <v>27</v>
      </c>
      <c r="K938" s="2" t="s">
        <v>28</v>
      </c>
      <c r="L938" s="2" t="s">
        <v>228</v>
      </c>
      <c r="M938" s="2" t="s">
        <v>30</v>
      </c>
      <c r="N938" s="2" t="s">
        <v>42</v>
      </c>
      <c r="O938" s="2" t="s">
        <v>229</v>
      </c>
      <c r="P938" s="4">
        <v>438.97899999999998</v>
      </c>
      <c r="Q938" s="4">
        <v>1</v>
      </c>
      <c r="R938" s="4">
        <v>46.713299999999997</v>
      </c>
      <c r="S938" s="2" t="s">
        <v>53</v>
      </c>
      <c r="T938" s="2" t="s">
        <v>34</v>
      </c>
    </row>
    <row r="939" spans="1:20" x14ac:dyDescent="0.25">
      <c r="A939" s="2" t="s">
        <v>2001</v>
      </c>
      <c r="B939" s="3">
        <v>41939</v>
      </c>
      <c r="C939" s="3">
        <v>41943</v>
      </c>
      <c r="D939" s="2" t="s">
        <v>55</v>
      </c>
      <c r="E939" s="2" t="s">
        <v>993</v>
      </c>
      <c r="F939" s="2" t="s">
        <v>994</v>
      </c>
      <c r="G939" s="2" t="s">
        <v>38</v>
      </c>
      <c r="H939" s="2" t="s">
        <v>25</v>
      </c>
      <c r="I939" s="2" t="s">
        <v>1449</v>
      </c>
      <c r="J939" s="2" t="s">
        <v>753</v>
      </c>
      <c r="K939" s="2" t="s">
        <v>147</v>
      </c>
      <c r="L939" s="2" t="s">
        <v>207</v>
      </c>
      <c r="M939" s="2" t="s">
        <v>30</v>
      </c>
      <c r="N939" s="2" t="s">
        <v>31</v>
      </c>
      <c r="O939" s="2" t="s">
        <v>208</v>
      </c>
      <c r="P939" s="4">
        <v>204.71940000000001</v>
      </c>
      <c r="Q939" s="4">
        <v>2</v>
      </c>
      <c r="R939" s="4">
        <v>111.1782</v>
      </c>
      <c r="S939" s="2" t="s">
        <v>75</v>
      </c>
      <c r="T939" s="2" t="s">
        <v>224</v>
      </c>
    </row>
    <row r="940" spans="1:20" x14ac:dyDescent="0.25">
      <c r="A940" s="2" t="s">
        <v>2002</v>
      </c>
      <c r="B940" s="3">
        <v>42328</v>
      </c>
      <c r="C940" s="3">
        <v>42332</v>
      </c>
      <c r="D940" s="2" t="s">
        <v>55</v>
      </c>
      <c r="E940" s="2" t="s">
        <v>664</v>
      </c>
      <c r="F940" s="2" t="s">
        <v>665</v>
      </c>
      <c r="G940" s="2" t="s">
        <v>58</v>
      </c>
      <c r="H940" s="2" t="s">
        <v>25</v>
      </c>
      <c r="I940" s="2" t="s">
        <v>338</v>
      </c>
      <c r="J940" s="2" t="s">
        <v>339</v>
      </c>
      <c r="K940" s="2" t="s">
        <v>82</v>
      </c>
      <c r="L940" s="2" t="s">
        <v>218</v>
      </c>
      <c r="M940" s="2" t="s">
        <v>30</v>
      </c>
      <c r="N940" s="2" t="s">
        <v>31</v>
      </c>
      <c r="O940" s="2" t="s">
        <v>219</v>
      </c>
      <c r="P940" s="4">
        <v>192.23220000000001</v>
      </c>
      <c r="Q940" s="4">
        <v>3</v>
      </c>
      <c r="R940" s="4">
        <v>84.933099999999996</v>
      </c>
      <c r="S940" s="2" t="s">
        <v>75</v>
      </c>
      <c r="T940" s="2" t="s">
        <v>93</v>
      </c>
    </row>
    <row r="941" spans="1:20" x14ac:dyDescent="0.25">
      <c r="A941" s="2" t="s">
        <v>2003</v>
      </c>
      <c r="B941" s="3">
        <v>42496</v>
      </c>
      <c r="C941" s="3">
        <v>42501</v>
      </c>
      <c r="D941" s="2" t="s">
        <v>55</v>
      </c>
      <c r="E941" s="2" t="s">
        <v>2004</v>
      </c>
      <c r="F941" s="2" t="s">
        <v>2005</v>
      </c>
      <c r="G941" s="2" t="s">
        <v>24</v>
      </c>
      <c r="H941" s="2" t="s">
        <v>25</v>
      </c>
      <c r="I941" s="2" t="s">
        <v>423</v>
      </c>
      <c r="J941" s="2" t="s">
        <v>424</v>
      </c>
      <c r="K941" s="2" t="s">
        <v>28</v>
      </c>
      <c r="L941" s="2" t="s">
        <v>612</v>
      </c>
      <c r="M941" s="2" t="s">
        <v>30</v>
      </c>
      <c r="N941" s="2" t="s">
        <v>162</v>
      </c>
      <c r="O941" s="2" t="s">
        <v>613</v>
      </c>
      <c r="P941" s="4">
        <v>1290.9674</v>
      </c>
      <c r="Q941" s="4">
        <v>6</v>
      </c>
      <c r="R941" s="4">
        <v>174.06</v>
      </c>
      <c r="S941" s="2" t="s">
        <v>85</v>
      </c>
      <c r="T941" s="2" t="s">
        <v>122</v>
      </c>
    </row>
    <row r="942" spans="1:20" x14ac:dyDescent="0.25">
      <c r="A942" s="2" t="s">
        <v>2006</v>
      </c>
      <c r="B942" s="3">
        <v>41846</v>
      </c>
      <c r="C942" s="3">
        <v>41847</v>
      </c>
      <c r="D942" s="2" t="s">
        <v>55</v>
      </c>
      <c r="E942" s="2" t="s">
        <v>1562</v>
      </c>
      <c r="F942" s="2" t="s">
        <v>1563</v>
      </c>
      <c r="G942" s="2" t="s">
        <v>58</v>
      </c>
      <c r="H942" s="2" t="s">
        <v>25</v>
      </c>
      <c r="I942" s="2" t="s">
        <v>223</v>
      </c>
      <c r="J942" s="2" t="s">
        <v>81</v>
      </c>
      <c r="K942" s="2" t="s">
        <v>82</v>
      </c>
      <c r="L942" s="2" t="s">
        <v>323</v>
      </c>
      <c r="M942" s="2" t="s">
        <v>30</v>
      </c>
      <c r="N942" s="2" t="s">
        <v>31</v>
      </c>
      <c r="O942" s="2" t="s">
        <v>324</v>
      </c>
      <c r="P942" s="4">
        <v>34.872700000000002</v>
      </c>
      <c r="Q942" s="4">
        <v>3</v>
      </c>
      <c r="R942" s="4">
        <v>9.6691000000000003</v>
      </c>
      <c r="S942" s="2" t="s">
        <v>33</v>
      </c>
      <c r="T942" s="2" t="s">
        <v>86</v>
      </c>
    </row>
    <row r="943" spans="1:20" x14ac:dyDescent="0.25">
      <c r="A943" s="2" t="s">
        <v>2007</v>
      </c>
      <c r="B943" s="3">
        <v>42318</v>
      </c>
      <c r="C943" s="3">
        <v>42324</v>
      </c>
      <c r="D943" s="2" t="s">
        <v>55</v>
      </c>
      <c r="E943" s="2" t="s">
        <v>516</v>
      </c>
      <c r="F943" s="2" t="s">
        <v>517</v>
      </c>
      <c r="G943" s="2" t="s">
        <v>38</v>
      </c>
      <c r="H943" s="2" t="s">
        <v>25</v>
      </c>
      <c r="I943" s="2" t="s">
        <v>482</v>
      </c>
      <c r="J943" s="2" t="s">
        <v>120</v>
      </c>
      <c r="K943" s="2" t="s">
        <v>61</v>
      </c>
      <c r="L943" s="2" t="s">
        <v>311</v>
      </c>
      <c r="M943" s="2" t="s">
        <v>30</v>
      </c>
      <c r="N943" s="2" t="s">
        <v>63</v>
      </c>
      <c r="O943" s="2" t="s">
        <v>312</v>
      </c>
      <c r="P943" s="4">
        <v>2320.9517000000001</v>
      </c>
      <c r="Q943" s="4">
        <v>3</v>
      </c>
      <c r="R943" s="4">
        <v>518.44219999999996</v>
      </c>
      <c r="S943" s="2" t="s">
        <v>65</v>
      </c>
      <c r="T943" s="2" t="s">
        <v>93</v>
      </c>
    </row>
    <row r="944" spans="1:20" x14ac:dyDescent="0.25">
      <c r="A944" s="2" t="s">
        <v>2008</v>
      </c>
      <c r="B944" s="3">
        <v>42872</v>
      </c>
      <c r="C944" s="3">
        <v>42872</v>
      </c>
      <c r="D944" s="2" t="s">
        <v>48</v>
      </c>
      <c r="E944" s="2" t="s">
        <v>2009</v>
      </c>
      <c r="F944" s="2" t="s">
        <v>2010</v>
      </c>
      <c r="G944" s="2" t="s">
        <v>38</v>
      </c>
      <c r="H944" s="2" t="s">
        <v>25</v>
      </c>
      <c r="I944" s="2" t="s">
        <v>760</v>
      </c>
      <c r="J944" s="2" t="s">
        <v>112</v>
      </c>
      <c r="K944" s="2" t="s">
        <v>28</v>
      </c>
      <c r="L944" s="2" t="s">
        <v>131</v>
      </c>
      <c r="M944" s="2" t="s">
        <v>30</v>
      </c>
      <c r="N944" s="2" t="s">
        <v>31</v>
      </c>
      <c r="O944" s="2" t="s">
        <v>132</v>
      </c>
      <c r="P944" s="4">
        <v>124.06059999999999</v>
      </c>
      <c r="Q944" s="4">
        <v>2</v>
      </c>
      <c r="R944" s="4">
        <v>-45.381900000000002</v>
      </c>
      <c r="S944" s="2" t="s">
        <v>121</v>
      </c>
      <c r="T944" s="2" t="s">
        <v>122</v>
      </c>
    </row>
    <row r="945" spans="1:20" x14ac:dyDescent="0.25">
      <c r="A945" s="2" t="s">
        <v>2008</v>
      </c>
      <c r="B945" s="3">
        <v>42872</v>
      </c>
      <c r="C945" s="3">
        <v>42872</v>
      </c>
      <c r="D945" s="2" t="s">
        <v>48</v>
      </c>
      <c r="E945" s="2" t="s">
        <v>2009</v>
      </c>
      <c r="F945" s="2" t="s">
        <v>2010</v>
      </c>
      <c r="G945" s="2" t="s">
        <v>38</v>
      </c>
      <c r="H945" s="2" t="s">
        <v>25</v>
      </c>
      <c r="I945" s="2" t="s">
        <v>760</v>
      </c>
      <c r="J945" s="2" t="s">
        <v>112</v>
      </c>
      <c r="K945" s="2" t="s">
        <v>28</v>
      </c>
      <c r="L945" s="2" t="s">
        <v>207</v>
      </c>
      <c r="M945" s="2" t="s">
        <v>30</v>
      </c>
      <c r="N945" s="2" t="s">
        <v>31</v>
      </c>
      <c r="O945" s="2" t="s">
        <v>208</v>
      </c>
      <c r="P945" s="4">
        <v>54.1066</v>
      </c>
      <c r="Q945" s="4">
        <v>3</v>
      </c>
      <c r="R945" s="4">
        <v>23.9862</v>
      </c>
      <c r="S945" s="2" t="s">
        <v>121</v>
      </c>
      <c r="T945" s="2" t="s">
        <v>122</v>
      </c>
    </row>
    <row r="946" spans="1:20" x14ac:dyDescent="0.25">
      <c r="A946" s="2" t="s">
        <v>2011</v>
      </c>
      <c r="B946" s="3">
        <v>42732</v>
      </c>
      <c r="C946" s="3">
        <v>42737</v>
      </c>
      <c r="D946" s="2" t="s">
        <v>55</v>
      </c>
      <c r="E946" s="2" t="s">
        <v>1252</v>
      </c>
      <c r="F946" s="2" t="s">
        <v>1253</v>
      </c>
      <c r="G946" s="2" t="s">
        <v>58</v>
      </c>
      <c r="H946" s="2" t="s">
        <v>25</v>
      </c>
      <c r="I946" s="2" t="s">
        <v>382</v>
      </c>
      <c r="J946" s="2" t="s">
        <v>192</v>
      </c>
      <c r="K946" s="2" t="s">
        <v>82</v>
      </c>
      <c r="L946" s="2" t="s">
        <v>254</v>
      </c>
      <c r="M946" s="2" t="s">
        <v>30</v>
      </c>
      <c r="N946" s="2" t="s">
        <v>162</v>
      </c>
      <c r="O946" s="2" t="s">
        <v>255</v>
      </c>
      <c r="P946" s="4">
        <v>268.41829999999999</v>
      </c>
      <c r="Q946" s="4">
        <v>5</v>
      </c>
      <c r="R946" s="4">
        <v>73.144000000000005</v>
      </c>
      <c r="S946" s="2" t="s">
        <v>85</v>
      </c>
      <c r="T946" s="2" t="s">
        <v>76</v>
      </c>
    </row>
    <row r="947" spans="1:20" x14ac:dyDescent="0.25">
      <c r="A947" s="2" t="s">
        <v>2011</v>
      </c>
      <c r="B947" s="3">
        <v>42732</v>
      </c>
      <c r="C947" s="3">
        <v>42737</v>
      </c>
      <c r="D947" s="2" t="s">
        <v>55</v>
      </c>
      <c r="E947" s="2" t="s">
        <v>1252</v>
      </c>
      <c r="F947" s="2" t="s">
        <v>1253</v>
      </c>
      <c r="G947" s="2" t="s">
        <v>58</v>
      </c>
      <c r="H947" s="2" t="s">
        <v>25</v>
      </c>
      <c r="I947" s="2" t="s">
        <v>382</v>
      </c>
      <c r="J947" s="2" t="s">
        <v>192</v>
      </c>
      <c r="K947" s="2" t="s">
        <v>82</v>
      </c>
      <c r="L947" s="2" t="s">
        <v>193</v>
      </c>
      <c r="M947" s="2" t="s">
        <v>30</v>
      </c>
      <c r="N947" s="2" t="s">
        <v>42</v>
      </c>
      <c r="O947" s="2" t="s">
        <v>194</v>
      </c>
      <c r="P947" s="4">
        <v>159.75450000000001</v>
      </c>
      <c r="Q947" s="4">
        <v>3</v>
      </c>
      <c r="R947" s="4">
        <v>35.848300000000002</v>
      </c>
      <c r="S947" s="2" t="s">
        <v>85</v>
      </c>
      <c r="T947" s="2" t="s">
        <v>76</v>
      </c>
    </row>
    <row r="948" spans="1:20" x14ac:dyDescent="0.25">
      <c r="A948" s="2" t="s">
        <v>2012</v>
      </c>
      <c r="B948" s="3">
        <v>41778</v>
      </c>
      <c r="C948" s="3">
        <v>41779</v>
      </c>
      <c r="D948" s="2" t="s">
        <v>21</v>
      </c>
      <c r="E948" s="2" t="s">
        <v>851</v>
      </c>
      <c r="F948" s="2" t="s">
        <v>852</v>
      </c>
      <c r="G948" s="2" t="s">
        <v>38</v>
      </c>
      <c r="H948" s="2" t="s">
        <v>25</v>
      </c>
      <c r="I948" s="2" t="s">
        <v>343</v>
      </c>
      <c r="J948" s="2" t="s">
        <v>153</v>
      </c>
      <c r="K948" s="2" t="s">
        <v>147</v>
      </c>
      <c r="L948" s="2" t="s">
        <v>174</v>
      </c>
      <c r="M948" s="2" t="s">
        <v>30</v>
      </c>
      <c r="N948" s="2" t="s">
        <v>31</v>
      </c>
      <c r="O948" s="2" t="s">
        <v>175</v>
      </c>
      <c r="P948" s="4">
        <v>312.40440000000001</v>
      </c>
      <c r="Q948" s="4">
        <v>3</v>
      </c>
      <c r="R948" s="4">
        <v>-92.558400000000006</v>
      </c>
      <c r="S948" s="2" t="s">
        <v>33</v>
      </c>
      <c r="T948" s="2" t="s">
        <v>122</v>
      </c>
    </row>
    <row r="949" spans="1:20" x14ac:dyDescent="0.25">
      <c r="A949" s="2" t="s">
        <v>2013</v>
      </c>
      <c r="B949" s="3">
        <v>43060</v>
      </c>
      <c r="C949" s="3">
        <v>43063</v>
      </c>
      <c r="D949" s="2" t="s">
        <v>21</v>
      </c>
      <c r="E949" s="2" t="s">
        <v>314</v>
      </c>
      <c r="F949" s="2" t="s">
        <v>315</v>
      </c>
      <c r="G949" s="2" t="s">
        <v>58</v>
      </c>
      <c r="H949" s="2" t="s">
        <v>25</v>
      </c>
      <c r="I949" s="2" t="s">
        <v>343</v>
      </c>
      <c r="J949" s="2" t="s">
        <v>153</v>
      </c>
      <c r="K949" s="2" t="s">
        <v>147</v>
      </c>
      <c r="L949" s="2" t="s">
        <v>344</v>
      </c>
      <c r="M949" s="2" t="s">
        <v>30</v>
      </c>
      <c r="N949" s="2" t="s">
        <v>42</v>
      </c>
      <c r="O949" s="2" t="s">
        <v>345</v>
      </c>
      <c r="P949" s="4">
        <v>1866.1750999999999</v>
      </c>
      <c r="Q949" s="4">
        <v>2</v>
      </c>
      <c r="R949" s="4">
        <v>-101.46339999999999</v>
      </c>
      <c r="S949" s="2" t="s">
        <v>92</v>
      </c>
      <c r="T949" s="2" t="s">
        <v>93</v>
      </c>
    </row>
    <row r="950" spans="1:20" x14ac:dyDescent="0.25">
      <c r="A950" s="2" t="s">
        <v>2014</v>
      </c>
      <c r="B950" s="3">
        <v>42196</v>
      </c>
      <c r="C950" s="3">
        <v>42198</v>
      </c>
      <c r="D950" s="2" t="s">
        <v>48</v>
      </c>
      <c r="E950" s="2" t="s">
        <v>2015</v>
      </c>
      <c r="F950" s="2" t="s">
        <v>2016</v>
      </c>
      <c r="G950" s="2" t="s">
        <v>58</v>
      </c>
      <c r="H950" s="2" t="s">
        <v>25</v>
      </c>
      <c r="I950" s="2" t="s">
        <v>39</v>
      </c>
      <c r="J950" s="2" t="s">
        <v>40</v>
      </c>
      <c r="K950" s="2" t="s">
        <v>28</v>
      </c>
      <c r="L950" s="2" t="s">
        <v>113</v>
      </c>
      <c r="M950" s="2" t="s">
        <v>30</v>
      </c>
      <c r="N950" s="2" t="s">
        <v>31</v>
      </c>
      <c r="O950" s="2" t="s">
        <v>114</v>
      </c>
      <c r="P950" s="4">
        <v>10.8933</v>
      </c>
      <c r="Q950" s="4">
        <v>2</v>
      </c>
      <c r="R950" s="4">
        <v>-0.53900000000000003</v>
      </c>
      <c r="S950" s="2" t="s">
        <v>53</v>
      </c>
      <c r="T950" s="2" t="s">
        <v>86</v>
      </c>
    </row>
    <row r="951" spans="1:20" x14ac:dyDescent="0.25">
      <c r="A951" s="2" t="s">
        <v>2017</v>
      </c>
      <c r="B951" s="3">
        <v>42170</v>
      </c>
      <c r="C951" s="3">
        <v>42170</v>
      </c>
      <c r="D951" s="2" t="s">
        <v>55</v>
      </c>
      <c r="E951" s="2" t="s">
        <v>1925</v>
      </c>
      <c r="F951" s="2" t="s">
        <v>1926</v>
      </c>
      <c r="G951" s="2" t="s">
        <v>58</v>
      </c>
      <c r="H951" s="2" t="s">
        <v>25</v>
      </c>
      <c r="I951" s="2" t="s">
        <v>90</v>
      </c>
      <c r="J951" s="2" t="s">
        <v>91</v>
      </c>
      <c r="K951" s="2" t="s">
        <v>61</v>
      </c>
      <c r="L951" s="2" t="s">
        <v>99</v>
      </c>
      <c r="M951" s="2" t="s">
        <v>30</v>
      </c>
      <c r="N951" s="2" t="s">
        <v>42</v>
      </c>
      <c r="O951" s="2" t="s">
        <v>100</v>
      </c>
      <c r="P951" s="4">
        <v>302.72059999999999</v>
      </c>
      <c r="Q951" s="4">
        <v>5</v>
      </c>
      <c r="R951" s="4">
        <v>-98.750699999999995</v>
      </c>
      <c r="S951" s="2" t="s">
        <v>121</v>
      </c>
      <c r="T951" s="2" t="s">
        <v>133</v>
      </c>
    </row>
    <row r="952" spans="1:20" x14ac:dyDescent="0.25">
      <c r="A952" s="2" t="s">
        <v>2018</v>
      </c>
      <c r="B952" s="3">
        <v>41943</v>
      </c>
      <c r="C952" s="3">
        <v>41943</v>
      </c>
      <c r="D952" s="2" t="s">
        <v>142</v>
      </c>
      <c r="E952" s="2" t="s">
        <v>1761</v>
      </c>
      <c r="F952" s="2" t="s">
        <v>1762</v>
      </c>
      <c r="G952" s="2" t="s">
        <v>58</v>
      </c>
      <c r="H952" s="2" t="s">
        <v>25</v>
      </c>
      <c r="I952" s="2" t="s">
        <v>1797</v>
      </c>
      <c r="J952" s="2" t="s">
        <v>180</v>
      </c>
      <c r="K952" s="2" t="s">
        <v>147</v>
      </c>
      <c r="L952" s="2" t="s">
        <v>99</v>
      </c>
      <c r="M952" s="2" t="s">
        <v>30</v>
      </c>
      <c r="N952" s="2" t="s">
        <v>42</v>
      </c>
      <c r="O952" s="2" t="s">
        <v>100</v>
      </c>
      <c r="P952" s="4">
        <v>138.0652</v>
      </c>
      <c r="Q952" s="4">
        <v>3</v>
      </c>
      <c r="R952" s="4">
        <v>-15.9801</v>
      </c>
      <c r="S952" s="2" t="s">
        <v>121</v>
      </c>
      <c r="T952" s="2" t="s">
        <v>224</v>
      </c>
    </row>
    <row r="953" spans="1:20" x14ac:dyDescent="0.25">
      <c r="A953" s="2" t="s">
        <v>2019</v>
      </c>
      <c r="B953" s="3">
        <v>42351</v>
      </c>
      <c r="C953" s="3">
        <v>42352</v>
      </c>
      <c r="D953" s="2" t="s">
        <v>48</v>
      </c>
      <c r="E953" s="2" t="s">
        <v>2020</v>
      </c>
      <c r="F953" s="2" t="s">
        <v>2021</v>
      </c>
      <c r="G953" s="2" t="s">
        <v>58</v>
      </c>
      <c r="H953" s="2" t="s">
        <v>25</v>
      </c>
      <c r="I953" s="2" t="s">
        <v>1118</v>
      </c>
      <c r="J953" s="2" t="s">
        <v>435</v>
      </c>
      <c r="K953" s="2" t="s">
        <v>61</v>
      </c>
      <c r="L953" s="2" t="s">
        <v>839</v>
      </c>
      <c r="M953" s="2" t="s">
        <v>30</v>
      </c>
      <c r="N953" s="2" t="s">
        <v>63</v>
      </c>
      <c r="O953" s="2" t="s">
        <v>840</v>
      </c>
      <c r="P953" s="4">
        <v>141.0754</v>
      </c>
      <c r="Q953" s="4">
        <v>2</v>
      </c>
      <c r="R953" s="4">
        <v>-21.266999999999999</v>
      </c>
      <c r="S953" s="2" t="s">
        <v>33</v>
      </c>
      <c r="T953" s="2" t="s">
        <v>76</v>
      </c>
    </row>
    <row r="954" spans="1:20" x14ac:dyDescent="0.25">
      <c r="A954" s="2" t="s">
        <v>2022</v>
      </c>
      <c r="B954" s="3">
        <v>42368</v>
      </c>
      <c r="C954" s="3">
        <v>42371</v>
      </c>
      <c r="D954" s="2" t="s">
        <v>21</v>
      </c>
      <c r="E954" s="2" t="s">
        <v>2023</v>
      </c>
      <c r="F954" s="2" t="s">
        <v>2024</v>
      </c>
      <c r="G954" s="2" t="s">
        <v>58</v>
      </c>
      <c r="H954" s="2" t="s">
        <v>25</v>
      </c>
      <c r="I954" s="2" t="s">
        <v>402</v>
      </c>
      <c r="J954" s="2" t="s">
        <v>403</v>
      </c>
      <c r="K954" s="2" t="s">
        <v>147</v>
      </c>
      <c r="L954" s="2" t="s">
        <v>99</v>
      </c>
      <c r="M954" s="2" t="s">
        <v>30</v>
      </c>
      <c r="N954" s="2" t="s">
        <v>42</v>
      </c>
      <c r="O954" s="2" t="s">
        <v>100</v>
      </c>
      <c r="P954" s="4">
        <v>682.23950000000002</v>
      </c>
      <c r="Q954" s="4">
        <v>2</v>
      </c>
      <c r="R954" s="4">
        <v>133.2191</v>
      </c>
      <c r="S954" s="2" t="s">
        <v>92</v>
      </c>
      <c r="T954" s="2" t="s">
        <v>76</v>
      </c>
    </row>
    <row r="955" spans="1:20" x14ac:dyDescent="0.25">
      <c r="A955" s="2" t="s">
        <v>2022</v>
      </c>
      <c r="B955" s="3">
        <v>42368</v>
      </c>
      <c r="C955" s="3">
        <v>42371</v>
      </c>
      <c r="D955" s="2" t="s">
        <v>21</v>
      </c>
      <c r="E955" s="2" t="s">
        <v>2023</v>
      </c>
      <c r="F955" s="2" t="s">
        <v>2024</v>
      </c>
      <c r="G955" s="2" t="s">
        <v>58</v>
      </c>
      <c r="H955" s="2" t="s">
        <v>25</v>
      </c>
      <c r="I955" s="2" t="s">
        <v>402</v>
      </c>
      <c r="J955" s="2" t="s">
        <v>403</v>
      </c>
      <c r="K955" s="2" t="s">
        <v>147</v>
      </c>
      <c r="L955" s="2" t="s">
        <v>113</v>
      </c>
      <c r="M955" s="2" t="s">
        <v>30</v>
      </c>
      <c r="N955" s="2" t="s">
        <v>31</v>
      </c>
      <c r="O955" s="2" t="s">
        <v>114</v>
      </c>
      <c r="P955" s="4">
        <v>61.452399999999997</v>
      </c>
      <c r="Q955" s="4">
        <v>4</v>
      </c>
      <c r="R955" s="4">
        <v>49.6661</v>
      </c>
      <c r="S955" s="2" t="s">
        <v>92</v>
      </c>
      <c r="T955" s="2" t="s">
        <v>76</v>
      </c>
    </row>
    <row r="956" spans="1:20" x14ac:dyDescent="0.25">
      <c r="A956" s="2" t="s">
        <v>2025</v>
      </c>
      <c r="B956" s="3">
        <v>42062</v>
      </c>
      <c r="C956" s="3">
        <v>42065</v>
      </c>
      <c r="D956" s="2" t="s">
        <v>55</v>
      </c>
      <c r="E956" s="2" t="s">
        <v>1925</v>
      </c>
      <c r="F956" s="2" t="s">
        <v>1926</v>
      </c>
      <c r="G956" s="2" t="s">
        <v>58</v>
      </c>
      <c r="H956" s="2" t="s">
        <v>25</v>
      </c>
      <c r="I956" s="2" t="s">
        <v>441</v>
      </c>
      <c r="J956" s="2" t="s">
        <v>40</v>
      </c>
      <c r="K956" s="2" t="s">
        <v>28</v>
      </c>
      <c r="L956" s="2" t="s">
        <v>677</v>
      </c>
      <c r="M956" s="2" t="s">
        <v>30</v>
      </c>
      <c r="N956" s="2" t="s">
        <v>162</v>
      </c>
      <c r="O956" s="2" t="s">
        <v>678</v>
      </c>
      <c r="P956" s="4">
        <v>473.92380000000003</v>
      </c>
      <c r="Q956" s="4">
        <v>2</v>
      </c>
      <c r="R956" s="4">
        <v>-36.067999999999998</v>
      </c>
      <c r="S956" s="2" t="s">
        <v>92</v>
      </c>
      <c r="T956" s="2" t="s">
        <v>101</v>
      </c>
    </row>
    <row r="957" spans="1:20" x14ac:dyDescent="0.25">
      <c r="A957" s="2" t="s">
        <v>2026</v>
      </c>
      <c r="B957" s="3">
        <v>42621</v>
      </c>
      <c r="C957" s="3">
        <v>42628</v>
      </c>
      <c r="D957" s="2" t="s">
        <v>55</v>
      </c>
      <c r="E957" s="2" t="s">
        <v>1427</v>
      </c>
      <c r="F957" s="2" t="s">
        <v>1428</v>
      </c>
      <c r="G957" s="2" t="s">
        <v>58</v>
      </c>
      <c r="H957" s="2" t="s">
        <v>25</v>
      </c>
      <c r="I957" s="2" t="s">
        <v>26</v>
      </c>
      <c r="J957" s="2" t="s">
        <v>27</v>
      </c>
      <c r="K957" s="2" t="s">
        <v>28</v>
      </c>
      <c r="L957" s="2" t="s">
        <v>83</v>
      </c>
      <c r="M957" s="2" t="s">
        <v>30</v>
      </c>
      <c r="N957" s="2" t="s">
        <v>42</v>
      </c>
      <c r="O957" s="2" t="s">
        <v>84</v>
      </c>
      <c r="P957" s="4">
        <v>508.87599999999998</v>
      </c>
      <c r="Q957" s="4">
        <v>4</v>
      </c>
      <c r="R957" s="4">
        <v>23.508700000000001</v>
      </c>
      <c r="S957" s="2" t="s">
        <v>107</v>
      </c>
      <c r="T957" s="2" t="s">
        <v>148</v>
      </c>
    </row>
    <row r="958" spans="1:20" x14ac:dyDescent="0.25">
      <c r="A958" s="2" t="s">
        <v>2026</v>
      </c>
      <c r="B958" s="3">
        <v>42621</v>
      </c>
      <c r="C958" s="3">
        <v>42628</v>
      </c>
      <c r="D958" s="2" t="s">
        <v>55</v>
      </c>
      <c r="E958" s="2" t="s">
        <v>1427</v>
      </c>
      <c r="F958" s="2" t="s">
        <v>1428</v>
      </c>
      <c r="G958" s="2" t="s">
        <v>58</v>
      </c>
      <c r="H958" s="2" t="s">
        <v>25</v>
      </c>
      <c r="I958" s="2" t="s">
        <v>26</v>
      </c>
      <c r="J958" s="2" t="s">
        <v>27</v>
      </c>
      <c r="K958" s="2" t="s">
        <v>28</v>
      </c>
      <c r="L958" s="2" t="s">
        <v>890</v>
      </c>
      <c r="M958" s="2" t="s">
        <v>30</v>
      </c>
      <c r="N958" s="2" t="s">
        <v>63</v>
      </c>
      <c r="O958" s="2" t="s">
        <v>891</v>
      </c>
      <c r="P958" s="4">
        <v>435.56529999999998</v>
      </c>
      <c r="Q958" s="4">
        <v>6</v>
      </c>
      <c r="R958" s="4">
        <v>95.012299999999996</v>
      </c>
      <c r="S958" s="2" t="s">
        <v>107</v>
      </c>
      <c r="T958" s="2" t="s">
        <v>148</v>
      </c>
    </row>
    <row r="959" spans="1:20" x14ac:dyDescent="0.25">
      <c r="A959" s="2" t="s">
        <v>2027</v>
      </c>
      <c r="B959" s="3">
        <v>42003</v>
      </c>
      <c r="C959" s="3">
        <v>42010</v>
      </c>
      <c r="D959" s="2" t="s">
        <v>55</v>
      </c>
      <c r="E959" s="2" t="s">
        <v>1969</v>
      </c>
      <c r="F959" s="2" t="s">
        <v>1970</v>
      </c>
      <c r="G959" s="2" t="s">
        <v>38</v>
      </c>
      <c r="H959" s="2" t="s">
        <v>25</v>
      </c>
      <c r="I959" s="2" t="s">
        <v>152</v>
      </c>
      <c r="J959" s="2" t="s">
        <v>153</v>
      </c>
      <c r="K959" s="2" t="s">
        <v>147</v>
      </c>
      <c r="L959" s="2" t="s">
        <v>252</v>
      </c>
      <c r="M959" s="2" t="s">
        <v>30</v>
      </c>
      <c r="N959" s="2" t="s">
        <v>31</v>
      </c>
      <c r="O959" s="2" t="s">
        <v>253</v>
      </c>
      <c r="P959" s="4">
        <v>44.544800000000002</v>
      </c>
      <c r="Q959" s="4">
        <v>4</v>
      </c>
      <c r="R959" s="4">
        <v>11.696400000000001</v>
      </c>
      <c r="S959" s="2" t="s">
        <v>107</v>
      </c>
      <c r="T959" s="2" t="s">
        <v>76</v>
      </c>
    </row>
    <row r="960" spans="1:20" x14ac:dyDescent="0.25">
      <c r="A960" s="2" t="s">
        <v>2027</v>
      </c>
      <c r="B960" s="3">
        <v>42003</v>
      </c>
      <c r="C960" s="3">
        <v>42010</v>
      </c>
      <c r="D960" s="2" t="s">
        <v>55</v>
      </c>
      <c r="E960" s="2" t="s">
        <v>1969</v>
      </c>
      <c r="F960" s="2" t="s">
        <v>1970</v>
      </c>
      <c r="G960" s="2" t="s">
        <v>38</v>
      </c>
      <c r="H960" s="2" t="s">
        <v>25</v>
      </c>
      <c r="I960" s="2" t="s">
        <v>152</v>
      </c>
      <c r="J960" s="2" t="s">
        <v>153</v>
      </c>
      <c r="K960" s="2" t="s">
        <v>147</v>
      </c>
      <c r="L960" s="2" t="s">
        <v>323</v>
      </c>
      <c r="M960" s="2" t="s">
        <v>30</v>
      </c>
      <c r="N960" s="2" t="s">
        <v>31</v>
      </c>
      <c r="O960" s="2" t="s">
        <v>324</v>
      </c>
      <c r="P960" s="4">
        <v>23.488199999999999</v>
      </c>
      <c r="Q960" s="4">
        <v>5</v>
      </c>
      <c r="R960" s="4">
        <v>11.4473</v>
      </c>
      <c r="S960" s="2" t="s">
        <v>107</v>
      </c>
      <c r="T960" s="2" t="s">
        <v>76</v>
      </c>
    </row>
    <row r="961" spans="1:20" x14ac:dyDescent="0.25">
      <c r="A961" s="2" t="s">
        <v>2028</v>
      </c>
      <c r="B961" s="3">
        <v>41664</v>
      </c>
      <c r="C961" s="3">
        <v>41665</v>
      </c>
      <c r="D961" s="2" t="s">
        <v>55</v>
      </c>
      <c r="E961" s="2" t="s">
        <v>1716</v>
      </c>
      <c r="F961" s="2" t="s">
        <v>1717</v>
      </c>
      <c r="G961" s="2" t="s">
        <v>58</v>
      </c>
      <c r="H961" s="2" t="s">
        <v>25</v>
      </c>
      <c r="I961" s="2" t="s">
        <v>825</v>
      </c>
      <c r="J961" s="2" t="s">
        <v>753</v>
      </c>
      <c r="K961" s="2" t="s">
        <v>147</v>
      </c>
      <c r="L961" s="2" t="s">
        <v>29</v>
      </c>
      <c r="M961" s="2" t="s">
        <v>30</v>
      </c>
      <c r="N961" s="2" t="s">
        <v>31</v>
      </c>
      <c r="O961" s="2" t="s">
        <v>32</v>
      </c>
      <c r="P961" s="4">
        <v>48.520899999999997</v>
      </c>
      <c r="Q961" s="4">
        <v>3</v>
      </c>
      <c r="R961" s="4">
        <v>3.9245000000000001</v>
      </c>
      <c r="S961" s="2" t="s">
        <v>33</v>
      </c>
      <c r="T961" s="2" t="s">
        <v>115</v>
      </c>
    </row>
    <row r="962" spans="1:20" x14ac:dyDescent="0.25">
      <c r="A962" s="2" t="s">
        <v>2029</v>
      </c>
      <c r="B962" s="3">
        <v>41667</v>
      </c>
      <c r="C962" s="3">
        <v>41674</v>
      </c>
      <c r="D962" s="2" t="s">
        <v>55</v>
      </c>
      <c r="E962" s="2" t="s">
        <v>2030</v>
      </c>
      <c r="F962" s="2" t="s">
        <v>2031</v>
      </c>
      <c r="G962" s="2" t="s">
        <v>38</v>
      </c>
      <c r="H962" s="2" t="s">
        <v>25</v>
      </c>
      <c r="I962" s="2" t="s">
        <v>1300</v>
      </c>
      <c r="J962" s="2" t="s">
        <v>60</v>
      </c>
      <c r="K962" s="2" t="s">
        <v>61</v>
      </c>
      <c r="L962" s="2" t="s">
        <v>139</v>
      </c>
      <c r="M962" s="2" t="s">
        <v>30</v>
      </c>
      <c r="N962" s="2" t="s">
        <v>42</v>
      </c>
      <c r="O962" s="2" t="s">
        <v>140</v>
      </c>
      <c r="P962" s="4">
        <v>1726.5187000000001</v>
      </c>
      <c r="Q962" s="4">
        <v>3</v>
      </c>
      <c r="R962" s="4">
        <v>629.31330000000003</v>
      </c>
      <c r="S962" s="2" t="s">
        <v>107</v>
      </c>
      <c r="T962" s="2" t="s">
        <v>115</v>
      </c>
    </row>
    <row r="963" spans="1:20" x14ac:dyDescent="0.25">
      <c r="A963" s="2" t="s">
        <v>2032</v>
      </c>
      <c r="B963" s="3">
        <v>41956</v>
      </c>
      <c r="C963" s="3">
        <v>41956</v>
      </c>
      <c r="D963" s="2" t="s">
        <v>55</v>
      </c>
      <c r="E963" s="2" t="s">
        <v>2033</v>
      </c>
      <c r="F963" s="2" t="s">
        <v>2034</v>
      </c>
      <c r="G963" s="2" t="s">
        <v>38</v>
      </c>
      <c r="H963" s="2" t="s">
        <v>25</v>
      </c>
      <c r="I963" s="2" t="s">
        <v>159</v>
      </c>
      <c r="J963" s="2" t="s">
        <v>160</v>
      </c>
      <c r="K963" s="2" t="s">
        <v>61</v>
      </c>
      <c r="L963" s="2" t="s">
        <v>453</v>
      </c>
      <c r="M963" s="2" t="s">
        <v>30</v>
      </c>
      <c r="N963" s="2" t="s">
        <v>42</v>
      </c>
      <c r="O963" s="2" t="s">
        <v>454</v>
      </c>
      <c r="P963" s="4">
        <v>431.07319999999999</v>
      </c>
      <c r="Q963" s="4">
        <v>6</v>
      </c>
      <c r="R963" s="4">
        <v>45.520099999999999</v>
      </c>
      <c r="S963" s="2" t="s">
        <v>121</v>
      </c>
      <c r="T963" s="2" t="s">
        <v>93</v>
      </c>
    </row>
    <row r="964" spans="1:20" x14ac:dyDescent="0.25">
      <c r="A964" s="2" t="s">
        <v>2035</v>
      </c>
      <c r="B964" s="3">
        <v>42490</v>
      </c>
      <c r="C964" s="3">
        <v>42495</v>
      </c>
      <c r="D964" s="2" t="s">
        <v>55</v>
      </c>
      <c r="E964" s="2" t="s">
        <v>2036</v>
      </c>
      <c r="F964" s="2" t="s">
        <v>2037</v>
      </c>
      <c r="G964" s="2" t="s">
        <v>24</v>
      </c>
      <c r="H964" s="2" t="s">
        <v>25</v>
      </c>
      <c r="I964" s="2" t="s">
        <v>398</v>
      </c>
      <c r="J964" s="2" t="s">
        <v>251</v>
      </c>
      <c r="K964" s="2" t="s">
        <v>147</v>
      </c>
      <c r="L964" s="2" t="s">
        <v>99</v>
      </c>
      <c r="M964" s="2" t="s">
        <v>30</v>
      </c>
      <c r="N964" s="2" t="s">
        <v>42</v>
      </c>
      <c r="O964" s="2" t="s">
        <v>100</v>
      </c>
      <c r="P964" s="4">
        <v>1726.5459000000001</v>
      </c>
      <c r="Q964" s="4">
        <v>2</v>
      </c>
      <c r="R964" s="4">
        <v>1209.5965000000001</v>
      </c>
      <c r="S964" s="2" t="s">
        <v>85</v>
      </c>
      <c r="T964" s="2" t="s">
        <v>108</v>
      </c>
    </row>
    <row r="965" spans="1:20" x14ac:dyDescent="0.25">
      <c r="A965" s="2" t="s">
        <v>2038</v>
      </c>
      <c r="B965" s="3">
        <v>42427</v>
      </c>
      <c r="C965" s="3">
        <v>42427</v>
      </c>
      <c r="D965" s="2" t="s">
        <v>142</v>
      </c>
      <c r="E965" s="2" t="s">
        <v>1886</v>
      </c>
      <c r="F965" s="2" t="s">
        <v>1887</v>
      </c>
      <c r="G965" s="2" t="s">
        <v>58</v>
      </c>
      <c r="H965" s="2" t="s">
        <v>25</v>
      </c>
      <c r="I965" s="2" t="s">
        <v>485</v>
      </c>
      <c r="J965" s="2" t="s">
        <v>251</v>
      </c>
      <c r="K965" s="2" t="s">
        <v>147</v>
      </c>
      <c r="L965" s="2" t="s">
        <v>62</v>
      </c>
      <c r="M965" s="2" t="s">
        <v>30</v>
      </c>
      <c r="N965" s="2" t="s">
        <v>63</v>
      </c>
      <c r="O965" s="2" t="s">
        <v>64</v>
      </c>
      <c r="P965" s="4">
        <v>525.99040000000002</v>
      </c>
      <c r="Q965" s="4">
        <v>5</v>
      </c>
      <c r="R965" s="4">
        <v>63.842799999999997</v>
      </c>
      <c r="S965" s="2" t="s">
        <v>121</v>
      </c>
      <c r="T965" s="2" t="s">
        <v>101</v>
      </c>
    </row>
    <row r="966" spans="1:20" x14ac:dyDescent="0.25">
      <c r="A966" s="2" t="s">
        <v>2039</v>
      </c>
      <c r="B966" s="3">
        <v>41882</v>
      </c>
      <c r="C966" s="3">
        <v>41884</v>
      </c>
      <c r="D966" s="2" t="s">
        <v>55</v>
      </c>
      <c r="E966" s="2" t="s">
        <v>421</v>
      </c>
      <c r="F966" s="2" t="s">
        <v>422</v>
      </c>
      <c r="G966" s="2" t="s">
        <v>24</v>
      </c>
      <c r="H966" s="2" t="s">
        <v>25</v>
      </c>
      <c r="I966" s="2" t="s">
        <v>138</v>
      </c>
      <c r="J966" s="2" t="s">
        <v>407</v>
      </c>
      <c r="K966" s="2" t="s">
        <v>28</v>
      </c>
      <c r="L966" s="2" t="s">
        <v>99</v>
      </c>
      <c r="M966" s="2" t="s">
        <v>30</v>
      </c>
      <c r="N966" s="2" t="s">
        <v>42</v>
      </c>
      <c r="O966" s="2" t="s">
        <v>100</v>
      </c>
      <c r="P966" s="4">
        <v>822.99490000000003</v>
      </c>
      <c r="Q966" s="4">
        <v>2</v>
      </c>
      <c r="R966" s="4">
        <v>379.26139999999998</v>
      </c>
      <c r="S966" s="2" t="s">
        <v>53</v>
      </c>
      <c r="T966" s="2" t="s">
        <v>34</v>
      </c>
    </row>
    <row r="967" spans="1:20" x14ac:dyDescent="0.25">
      <c r="A967" s="2" t="s">
        <v>2040</v>
      </c>
      <c r="B967" s="3">
        <v>43047</v>
      </c>
      <c r="C967" s="3">
        <v>43049</v>
      </c>
      <c r="D967" s="2" t="s">
        <v>48</v>
      </c>
      <c r="E967" s="2" t="s">
        <v>2041</v>
      </c>
      <c r="F967" s="2" t="s">
        <v>2042</v>
      </c>
      <c r="G967" s="2" t="s">
        <v>24</v>
      </c>
      <c r="H967" s="2" t="s">
        <v>25</v>
      </c>
      <c r="I967" s="2" t="s">
        <v>59</v>
      </c>
      <c r="J967" s="2" t="s">
        <v>60</v>
      </c>
      <c r="K967" s="2" t="s">
        <v>61</v>
      </c>
      <c r="L967" s="2" t="s">
        <v>154</v>
      </c>
      <c r="M967" s="2" t="s">
        <v>30</v>
      </c>
      <c r="N967" s="2" t="s">
        <v>42</v>
      </c>
      <c r="O967" s="2" t="s">
        <v>155</v>
      </c>
      <c r="P967" s="4">
        <v>227.3723</v>
      </c>
      <c r="Q967" s="4">
        <v>4</v>
      </c>
      <c r="R967" s="4">
        <v>22.881799999999998</v>
      </c>
      <c r="S967" s="2" t="s">
        <v>53</v>
      </c>
      <c r="T967" s="2" t="s">
        <v>93</v>
      </c>
    </row>
    <row r="968" spans="1:20" x14ac:dyDescent="0.25">
      <c r="A968" s="2" t="s">
        <v>2043</v>
      </c>
      <c r="B968" s="3">
        <v>41796</v>
      </c>
      <c r="C968" s="3">
        <v>41803</v>
      </c>
      <c r="D968" s="2" t="s">
        <v>55</v>
      </c>
      <c r="E968" s="2" t="s">
        <v>226</v>
      </c>
      <c r="F968" s="2" t="s">
        <v>227</v>
      </c>
      <c r="G968" s="2" t="s">
        <v>38</v>
      </c>
      <c r="H968" s="2" t="s">
        <v>25</v>
      </c>
      <c r="I968" s="2" t="s">
        <v>321</v>
      </c>
      <c r="J968" s="2" t="s">
        <v>322</v>
      </c>
      <c r="K968" s="2" t="s">
        <v>28</v>
      </c>
      <c r="L968" s="2" t="s">
        <v>193</v>
      </c>
      <c r="M968" s="2" t="s">
        <v>30</v>
      </c>
      <c r="N968" s="2" t="s">
        <v>42</v>
      </c>
      <c r="O968" s="2" t="s">
        <v>194</v>
      </c>
      <c r="P968" s="4">
        <v>434.24520000000001</v>
      </c>
      <c r="Q968" s="4">
        <v>1</v>
      </c>
      <c r="R968" s="4">
        <v>128.18360000000001</v>
      </c>
      <c r="S968" s="2" t="s">
        <v>107</v>
      </c>
      <c r="T968" s="2" t="s">
        <v>133</v>
      </c>
    </row>
    <row r="969" spans="1:20" x14ac:dyDescent="0.25">
      <c r="A969" s="2" t="s">
        <v>2044</v>
      </c>
      <c r="B969" s="3">
        <v>42210</v>
      </c>
      <c r="C969" s="3">
        <v>42217</v>
      </c>
      <c r="D969" s="2" t="s">
        <v>55</v>
      </c>
      <c r="E969" s="2" t="s">
        <v>291</v>
      </c>
      <c r="F969" s="2" t="s">
        <v>292</v>
      </c>
      <c r="G969" s="2" t="s">
        <v>58</v>
      </c>
      <c r="H969" s="2" t="s">
        <v>25</v>
      </c>
      <c r="I969" s="2" t="s">
        <v>138</v>
      </c>
      <c r="J969" s="2" t="s">
        <v>407</v>
      </c>
      <c r="K969" s="2" t="s">
        <v>28</v>
      </c>
      <c r="L969" s="2" t="s">
        <v>45</v>
      </c>
      <c r="M969" s="2" t="s">
        <v>30</v>
      </c>
      <c r="N969" s="2" t="s">
        <v>31</v>
      </c>
      <c r="O969" s="2" t="s">
        <v>46</v>
      </c>
      <c r="P969" s="4">
        <v>44.631999999999998</v>
      </c>
      <c r="Q969" s="4">
        <v>4</v>
      </c>
      <c r="R969" s="4">
        <v>-7.3543000000000003</v>
      </c>
      <c r="S969" s="2" t="s">
        <v>107</v>
      </c>
      <c r="T969" s="2" t="s">
        <v>86</v>
      </c>
    </row>
    <row r="970" spans="1:20" x14ac:dyDescent="0.25">
      <c r="A970" s="2" t="s">
        <v>2045</v>
      </c>
      <c r="B970" s="3">
        <v>42872</v>
      </c>
      <c r="C970" s="3">
        <v>42879</v>
      </c>
      <c r="D970" s="2" t="s">
        <v>55</v>
      </c>
      <c r="E970" s="2" t="s">
        <v>1048</v>
      </c>
      <c r="F970" s="2" t="s">
        <v>1049</v>
      </c>
      <c r="G970" s="2" t="s">
        <v>38</v>
      </c>
      <c r="H970" s="2" t="s">
        <v>25</v>
      </c>
      <c r="I970" s="2" t="s">
        <v>1128</v>
      </c>
      <c r="J970" s="2" t="s">
        <v>667</v>
      </c>
      <c r="K970" s="2" t="s">
        <v>28</v>
      </c>
      <c r="L970" s="2" t="s">
        <v>45</v>
      </c>
      <c r="M970" s="2" t="s">
        <v>30</v>
      </c>
      <c r="N970" s="2" t="s">
        <v>31</v>
      </c>
      <c r="O970" s="2" t="s">
        <v>46</v>
      </c>
      <c r="P970" s="4">
        <v>37.299900000000001</v>
      </c>
      <c r="Q970" s="4">
        <v>3</v>
      </c>
      <c r="R970" s="4">
        <v>2.3405</v>
      </c>
      <c r="S970" s="2" t="s">
        <v>107</v>
      </c>
      <c r="T970" s="2" t="s">
        <v>122</v>
      </c>
    </row>
    <row r="971" spans="1:20" x14ac:dyDescent="0.25">
      <c r="A971" s="2" t="s">
        <v>2046</v>
      </c>
      <c r="B971" s="3">
        <v>41811</v>
      </c>
      <c r="C971" s="3">
        <v>41811</v>
      </c>
      <c r="D971" s="2" t="s">
        <v>55</v>
      </c>
      <c r="E971" s="2" t="s">
        <v>1413</v>
      </c>
      <c r="F971" s="2" t="s">
        <v>1414</v>
      </c>
      <c r="G971" s="2" t="s">
        <v>38</v>
      </c>
      <c r="H971" s="2" t="s">
        <v>25</v>
      </c>
      <c r="I971" s="2" t="s">
        <v>474</v>
      </c>
      <c r="J971" s="2" t="s">
        <v>475</v>
      </c>
      <c r="K971" s="2" t="s">
        <v>28</v>
      </c>
      <c r="L971" s="2" t="s">
        <v>186</v>
      </c>
      <c r="M971" s="2" t="s">
        <v>30</v>
      </c>
      <c r="N971" s="2" t="s">
        <v>31</v>
      </c>
      <c r="O971" s="2" t="s">
        <v>187</v>
      </c>
      <c r="P971" s="4">
        <v>10.6808</v>
      </c>
      <c r="Q971" s="4">
        <v>1</v>
      </c>
      <c r="R971" s="4">
        <v>-7.2061999999999999</v>
      </c>
      <c r="S971" s="2" t="s">
        <v>121</v>
      </c>
      <c r="T971" s="2" t="s">
        <v>133</v>
      </c>
    </row>
    <row r="972" spans="1:20" x14ac:dyDescent="0.25">
      <c r="A972" s="2" t="s">
        <v>2047</v>
      </c>
      <c r="B972" s="3">
        <v>42783</v>
      </c>
      <c r="C972" s="3">
        <v>42783</v>
      </c>
      <c r="D972" s="2" t="s">
        <v>48</v>
      </c>
      <c r="E972" s="2" t="s">
        <v>1761</v>
      </c>
      <c r="F972" s="2" t="s">
        <v>1762</v>
      </c>
      <c r="G972" s="2" t="s">
        <v>24</v>
      </c>
      <c r="H972" s="2" t="s">
        <v>25</v>
      </c>
      <c r="I972" s="2" t="s">
        <v>350</v>
      </c>
      <c r="J972" s="2" t="s">
        <v>351</v>
      </c>
      <c r="K972" s="2" t="s">
        <v>147</v>
      </c>
      <c r="L972" s="2" t="s">
        <v>453</v>
      </c>
      <c r="M972" s="2" t="s">
        <v>30</v>
      </c>
      <c r="N972" s="2" t="s">
        <v>42</v>
      </c>
      <c r="O972" s="2" t="s">
        <v>454</v>
      </c>
      <c r="P972" s="4">
        <v>826.66359999999997</v>
      </c>
      <c r="Q972" s="4">
        <v>3</v>
      </c>
      <c r="R972" s="4">
        <v>300.83929999999998</v>
      </c>
      <c r="S972" s="2" t="s">
        <v>121</v>
      </c>
      <c r="T972" s="2" t="s">
        <v>101</v>
      </c>
    </row>
    <row r="973" spans="1:20" x14ac:dyDescent="0.25">
      <c r="A973" s="2" t="s">
        <v>2048</v>
      </c>
      <c r="B973" s="3">
        <v>42502</v>
      </c>
      <c r="C973" s="3">
        <v>42504</v>
      </c>
      <c r="D973" s="2" t="s">
        <v>55</v>
      </c>
      <c r="E973" s="2" t="s">
        <v>1210</v>
      </c>
      <c r="F973" s="2" t="s">
        <v>1211</v>
      </c>
      <c r="G973" s="2" t="s">
        <v>24</v>
      </c>
      <c r="H973" s="2" t="s">
        <v>25</v>
      </c>
      <c r="I973" s="2" t="s">
        <v>509</v>
      </c>
      <c r="J973" s="2" t="s">
        <v>356</v>
      </c>
      <c r="K973" s="2" t="s">
        <v>147</v>
      </c>
      <c r="L973" s="2" t="s">
        <v>719</v>
      </c>
      <c r="M973" s="2" t="s">
        <v>30</v>
      </c>
      <c r="N973" s="2" t="s">
        <v>63</v>
      </c>
      <c r="O973" s="2" t="s">
        <v>720</v>
      </c>
      <c r="P973" s="4">
        <v>261.2715</v>
      </c>
      <c r="Q973" s="4">
        <v>3</v>
      </c>
      <c r="R973" s="4">
        <v>-137.71539999999999</v>
      </c>
      <c r="S973" s="2" t="s">
        <v>53</v>
      </c>
      <c r="T973" s="2" t="s">
        <v>122</v>
      </c>
    </row>
    <row r="974" spans="1:20" x14ac:dyDescent="0.25">
      <c r="A974" s="2" t="s">
        <v>2049</v>
      </c>
      <c r="B974" s="3">
        <v>42401</v>
      </c>
      <c r="C974" s="3">
        <v>42406</v>
      </c>
      <c r="D974" s="2" t="s">
        <v>55</v>
      </c>
      <c r="E974" s="2" t="s">
        <v>2030</v>
      </c>
      <c r="F974" s="2" t="s">
        <v>2031</v>
      </c>
      <c r="G974" s="2" t="s">
        <v>38</v>
      </c>
      <c r="H974" s="2" t="s">
        <v>25</v>
      </c>
      <c r="I974" s="2" t="s">
        <v>212</v>
      </c>
      <c r="J974" s="2" t="s">
        <v>185</v>
      </c>
      <c r="K974" s="2" t="s">
        <v>147</v>
      </c>
      <c r="L974" s="2" t="s">
        <v>41</v>
      </c>
      <c r="M974" s="2" t="s">
        <v>30</v>
      </c>
      <c r="N974" s="2" t="s">
        <v>42</v>
      </c>
      <c r="O974" s="2" t="s">
        <v>43</v>
      </c>
      <c r="P974" s="4">
        <v>1639.5344</v>
      </c>
      <c r="Q974" s="4">
        <v>7</v>
      </c>
      <c r="R974" s="4">
        <v>-36.269300000000001</v>
      </c>
      <c r="S974" s="2" t="s">
        <v>85</v>
      </c>
      <c r="T974" s="2" t="s">
        <v>101</v>
      </c>
    </row>
    <row r="975" spans="1:20" x14ac:dyDescent="0.25">
      <c r="A975" s="2" t="s">
        <v>2050</v>
      </c>
      <c r="B975" s="3">
        <v>42805</v>
      </c>
      <c r="C975" s="3">
        <v>42810</v>
      </c>
      <c r="D975" s="2" t="s">
        <v>55</v>
      </c>
      <c r="E975" s="2" t="s">
        <v>1142</v>
      </c>
      <c r="F975" s="2" t="s">
        <v>1143</v>
      </c>
      <c r="G975" s="2" t="s">
        <v>38</v>
      </c>
      <c r="H975" s="2" t="s">
        <v>25</v>
      </c>
      <c r="I975" s="2" t="s">
        <v>902</v>
      </c>
      <c r="J975" s="2" t="s">
        <v>632</v>
      </c>
      <c r="K975" s="2" t="s">
        <v>82</v>
      </c>
      <c r="L975" s="2" t="s">
        <v>174</v>
      </c>
      <c r="M975" s="2" t="s">
        <v>30</v>
      </c>
      <c r="N975" s="2" t="s">
        <v>31</v>
      </c>
      <c r="O975" s="2" t="s">
        <v>175</v>
      </c>
      <c r="P975" s="4">
        <v>90.183099999999996</v>
      </c>
      <c r="Q975" s="4">
        <v>6</v>
      </c>
      <c r="R975" s="4">
        <v>-31.979900000000001</v>
      </c>
      <c r="S975" s="2" t="s">
        <v>85</v>
      </c>
      <c r="T975" s="2" t="s">
        <v>44</v>
      </c>
    </row>
    <row r="976" spans="1:20" x14ac:dyDescent="0.25">
      <c r="A976" s="2" t="s">
        <v>2051</v>
      </c>
      <c r="B976" s="3">
        <v>42227</v>
      </c>
      <c r="C976" s="3">
        <v>42227</v>
      </c>
      <c r="D976" s="2" t="s">
        <v>55</v>
      </c>
      <c r="E976" s="2" t="s">
        <v>2052</v>
      </c>
      <c r="F976" s="2" t="s">
        <v>2053</v>
      </c>
      <c r="G976" s="2" t="s">
        <v>58</v>
      </c>
      <c r="H976" s="2" t="s">
        <v>25</v>
      </c>
      <c r="I976" s="2" t="s">
        <v>145</v>
      </c>
      <c r="J976" s="2" t="s">
        <v>146</v>
      </c>
      <c r="K976" s="2" t="s">
        <v>147</v>
      </c>
      <c r="L976" s="2" t="s">
        <v>200</v>
      </c>
      <c r="M976" s="2" t="s">
        <v>30</v>
      </c>
      <c r="N976" s="2" t="s">
        <v>162</v>
      </c>
      <c r="O976" s="2" t="s">
        <v>201</v>
      </c>
      <c r="P976" s="4">
        <v>374.33940000000001</v>
      </c>
      <c r="Q976" s="4">
        <v>3</v>
      </c>
      <c r="R976" s="4">
        <v>177.96860000000001</v>
      </c>
      <c r="S976" s="2" t="s">
        <v>121</v>
      </c>
      <c r="T976" s="2" t="s">
        <v>34</v>
      </c>
    </row>
    <row r="977" spans="1:20" x14ac:dyDescent="0.25">
      <c r="A977" s="2" t="s">
        <v>2054</v>
      </c>
      <c r="B977" s="3">
        <v>42774</v>
      </c>
      <c r="C977" s="3">
        <v>42775</v>
      </c>
      <c r="D977" s="2" t="s">
        <v>55</v>
      </c>
      <c r="E977" s="2" t="s">
        <v>231</v>
      </c>
      <c r="F977" s="2" t="s">
        <v>232</v>
      </c>
      <c r="G977" s="2" t="s">
        <v>58</v>
      </c>
      <c r="H977" s="2" t="s">
        <v>25</v>
      </c>
      <c r="I977" s="2" t="s">
        <v>666</v>
      </c>
      <c r="J977" s="2" t="s">
        <v>667</v>
      </c>
      <c r="K977" s="2" t="s">
        <v>28</v>
      </c>
      <c r="L977" s="2" t="s">
        <v>323</v>
      </c>
      <c r="M977" s="2" t="s">
        <v>30</v>
      </c>
      <c r="N977" s="2" t="s">
        <v>31</v>
      </c>
      <c r="O977" s="2" t="s">
        <v>324</v>
      </c>
      <c r="P977" s="4">
        <v>125.0731</v>
      </c>
      <c r="Q977" s="4">
        <v>3</v>
      </c>
      <c r="R977" s="4">
        <v>-35.112000000000002</v>
      </c>
      <c r="S977" s="2" t="s">
        <v>33</v>
      </c>
      <c r="T977" s="2" t="s">
        <v>101</v>
      </c>
    </row>
    <row r="978" spans="1:20" x14ac:dyDescent="0.25">
      <c r="A978" s="2" t="s">
        <v>2055</v>
      </c>
      <c r="B978" s="3">
        <v>42073</v>
      </c>
      <c r="C978" s="3">
        <v>42074</v>
      </c>
      <c r="D978" s="2" t="s">
        <v>48</v>
      </c>
      <c r="E978" s="2" t="s">
        <v>714</v>
      </c>
      <c r="F978" s="2" t="s">
        <v>715</v>
      </c>
      <c r="G978" s="2" t="s">
        <v>58</v>
      </c>
      <c r="H978" s="2" t="s">
        <v>25</v>
      </c>
      <c r="I978" s="2" t="s">
        <v>682</v>
      </c>
      <c r="J978" s="2" t="s">
        <v>632</v>
      </c>
      <c r="K978" s="2" t="s">
        <v>82</v>
      </c>
      <c r="L978" s="2" t="s">
        <v>45</v>
      </c>
      <c r="M978" s="2" t="s">
        <v>30</v>
      </c>
      <c r="N978" s="2" t="s">
        <v>31</v>
      </c>
      <c r="O978" s="2" t="s">
        <v>46</v>
      </c>
      <c r="P978" s="4">
        <v>33.193300000000001</v>
      </c>
      <c r="Q978" s="4">
        <v>4</v>
      </c>
      <c r="R978" s="4">
        <v>11.480700000000001</v>
      </c>
      <c r="S978" s="2" t="s">
        <v>33</v>
      </c>
      <c r="T978" s="2" t="s">
        <v>44</v>
      </c>
    </row>
    <row r="979" spans="1:20" x14ac:dyDescent="0.25">
      <c r="A979" s="2" t="s">
        <v>2056</v>
      </c>
      <c r="B979" s="3">
        <v>42419</v>
      </c>
      <c r="C979" s="3">
        <v>42420</v>
      </c>
      <c r="D979" s="2" t="s">
        <v>55</v>
      </c>
      <c r="E979" s="2" t="s">
        <v>1293</v>
      </c>
      <c r="F979" s="2" t="s">
        <v>1294</v>
      </c>
      <c r="G979" s="2" t="s">
        <v>38</v>
      </c>
      <c r="H979" s="2" t="s">
        <v>25</v>
      </c>
      <c r="I979" s="2" t="s">
        <v>216</v>
      </c>
      <c r="J979" s="2" t="s">
        <v>217</v>
      </c>
      <c r="K979" s="2" t="s">
        <v>82</v>
      </c>
      <c r="L979" s="2" t="s">
        <v>186</v>
      </c>
      <c r="M979" s="2" t="s">
        <v>30</v>
      </c>
      <c r="N979" s="2" t="s">
        <v>31</v>
      </c>
      <c r="O979" s="2" t="s">
        <v>187</v>
      </c>
      <c r="P979" s="4">
        <v>74.3262</v>
      </c>
      <c r="Q979" s="4">
        <v>3</v>
      </c>
      <c r="R979" s="4">
        <v>11.3102</v>
      </c>
      <c r="S979" s="2" t="s">
        <v>33</v>
      </c>
      <c r="T979" s="2" t="s">
        <v>101</v>
      </c>
    </row>
    <row r="980" spans="1:20" x14ac:dyDescent="0.25">
      <c r="A980" s="2" t="s">
        <v>2057</v>
      </c>
      <c r="B980" s="3">
        <v>41697</v>
      </c>
      <c r="C980" s="3">
        <v>41701</v>
      </c>
      <c r="D980" s="2" t="s">
        <v>55</v>
      </c>
      <c r="E980" s="2" t="s">
        <v>547</v>
      </c>
      <c r="F980" s="2" t="s">
        <v>548</v>
      </c>
      <c r="G980" s="2" t="s">
        <v>58</v>
      </c>
      <c r="H980" s="2" t="s">
        <v>25</v>
      </c>
      <c r="I980" s="2" t="s">
        <v>1212</v>
      </c>
      <c r="J980" s="2" t="s">
        <v>496</v>
      </c>
      <c r="K980" s="2" t="s">
        <v>147</v>
      </c>
      <c r="L980" s="2" t="s">
        <v>41</v>
      </c>
      <c r="M980" s="2" t="s">
        <v>30</v>
      </c>
      <c r="N980" s="2" t="s">
        <v>42</v>
      </c>
      <c r="O980" s="2" t="s">
        <v>43</v>
      </c>
      <c r="P980" s="4">
        <v>152.30199999999999</v>
      </c>
      <c r="Q980" s="4">
        <v>1</v>
      </c>
      <c r="R980" s="4">
        <v>-48.919699999999999</v>
      </c>
      <c r="S980" s="2" t="s">
        <v>75</v>
      </c>
      <c r="T980" s="2" t="s">
        <v>101</v>
      </c>
    </row>
    <row r="981" spans="1:20" x14ac:dyDescent="0.25">
      <c r="A981" s="2" t="s">
        <v>2058</v>
      </c>
      <c r="B981" s="3">
        <v>42132</v>
      </c>
      <c r="C981" s="3">
        <v>42137</v>
      </c>
      <c r="D981" s="2" t="s">
        <v>55</v>
      </c>
      <c r="E981" s="2" t="s">
        <v>353</v>
      </c>
      <c r="F981" s="2" t="s">
        <v>354</v>
      </c>
      <c r="G981" s="2" t="s">
        <v>24</v>
      </c>
      <c r="H981" s="2" t="s">
        <v>25</v>
      </c>
      <c r="I981" s="2" t="s">
        <v>274</v>
      </c>
      <c r="J981" s="2" t="s">
        <v>146</v>
      </c>
      <c r="K981" s="2" t="s">
        <v>147</v>
      </c>
      <c r="L981" s="2" t="s">
        <v>245</v>
      </c>
      <c r="M981" s="2" t="s">
        <v>30</v>
      </c>
      <c r="N981" s="2" t="s">
        <v>42</v>
      </c>
      <c r="O981" s="2" t="s">
        <v>246</v>
      </c>
      <c r="P981" s="4">
        <v>224.64019999999999</v>
      </c>
      <c r="Q981" s="4">
        <v>4</v>
      </c>
      <c r="R981" s="4">
        <v>11.7371</v>
      </c>
      <c r="S981" s="2" t="s">
        <v>85</v>
      </c>
      <c r="T981" s="2" t="s">
        <v>122</v>
      </c>
    </row>
    <row r="982" spans="1:20" x14ac:dyDescent="0.25">
      <c r="A982" s="2" t="s">
        <v>2059</v>
      </c>
      <c r="B982" s="3">
        <v>42218</v>
      </c>
      <c r="C982" s="3">
        <v>42218</v>
      </c>
      <c r="D982" s="2" t="s">
        <v>21</v>
      </c>
      <c r="E982" s="2" t="s">
        <v>389</v>
      </c>
      <c r="F982" s="2" t="s">
        <v>390</v>
      </c>
      <c r="G982" s="2" t="s">
        <v>58</v>
      </c>
      <c r="H982" s="2" t="s">
        <v>25</v>
      </c>
      <c r="I982" s="2" t="s">
        <v>80</v>
      </c>
      <c r="J982" s="2" t="s">
        <v>81</v>
      </c>
      <c r="K982" s="2" t="s">
        <v>82</v>
      </c>
      <c r="L982" s="2" t="s">
        <v>113</v>
      </c>
      <c r="M982" s="2" t="s">
        <v>30</v>
      </c>
      <c r="N982" s="2" t="s">
        <v>31</v>
      </c>
      <c r="O982" s="2" t="s">
        <v>114</v>
      </c>
      <c r="P982" s="4">
        <v>31.5794</v>
      </c>
      <c r="Q982" s="4">
        <v>2</v>
      </c>
      <c r="R982" s="4">
        <v>14.8414</v>
      </c>
      <c r="S982" s="2" t="s">
        <v>121</v>
      </c>
      <c r="T982" s="2" t="s">
        <v>34</v>
      </c>
    </row>
    <row r="983" spans="1:20" x14ac:dyDescent="0.25">
      <c r="A983" s="2" t="s">
        <v>2060</v>
      </c>
      <c r="B983" s="3">
        <v>41846</v>
      </c>
      <c r="C983" s="3">
        <v>41846</v>
      </c>
      <c r="D983" s="2" t="s">
        <v>48</v>
      </c>
      <c r="E983" s="2" t="s">
        <v>2061</v>
      </c>
      <c r="F983" s="2" t="s">
        <v>2062</v>
      </c>
      <c r="G983" s="2" t="s">
        <v>38</v>
      </c>
      <c r="H983" s="2" t="s">
        <v>25</v>
      </c>
      <c r="I983" s="2" t="s">
        <v>378</v>
      </c>
      <c r="J983" s="2" t="s">
        <v>98</v>
      </c>
      <c r="K983" s="2" t="s">
        <v>82</v>
      </c>
      <c r="L983" s="2" t="s">
        <v>139</v>
      </c>
      <c r="M983" s="2" t="s">
        <v>30</v>
      </c>
      <c r="N983" s="2" t="s">
        <v>42</v>
      </c>
      <c r="O983" s="2" t="s">
        <v>140</v>
      </c>
      <c r="P983" s="4">
        <v>404.28809999999999</v>
      </c>
      <c r="Q983" s="4">
        <v>9</v>
      </c>
      <c r="R983" s="4">
        <v>9.5591000000000008</v>
      </c>
      <c r="S983" s="2" t="s">
        <v>121</v>
      </c>
      <c r="T983" s="2" t="s">
        <v>86</v>
      </c>
    </row>
    <row r="984" spans="1:20" x14ac:dyDescent="0.25">
      <c r="A984" s="2" t="s">
        <v>2063</v>
      </c>
      <c r="B984" s="3">
        <v>41801</v>
      </c>
      <c r="C984" s="3">
        <v>41801</v>
      </c>
      <c r="D984" s="2" t="s">
        <v>142</v>
      </c>
      <c r="E984" s="2" t="s">
        <v>2064</v>
      </c>
      <c r="F984" s="2" t="s">
        <v>1414</v>
      </c>
      <c r="G984" s="2" t="s">
        <v>24</v>
      </c>
      <c r="H984" s="2" t="s">
        <v>25</v>
      </c>
      <c r="I984" s="2" t="s">
        <v>617</v>
      </c>
      <c r="J984" s="2" t="s">
        <v>168</v>
      </c>
      <c r="K984" s="2" t="s">
        <v>28</v>
      </c>
      <c r="L984" s="2" t="s">
        <v>29</v>
      </c>
      <c r="M984" s="2" t="s">
        <v>30</v>
      </c>
      <c r="N984" s="2" t="s">
        <v>31</v>
      </c>
      <c r="O984" s="2" t="s">
        <v>32</v>
      </c>
      <c r="P984" s="4">
        <v>274.16699999999997</v>
      </c>
      <c r="Q984" s="4">
        <v>3</v>
      </c>
      <c r="R984" s="4">
        <v>63.307699999999997</v>
      </c>
      <c r="S984" s="2" t="s">
        <v>121</v>
      </c>
      <c r="T984" s="2" t="s">
        <v>133</v>
      </c>
    </row>
    <row r="985" spans="1:20" x14ac:dyDescent="0.25">
      <c r="A985" s="2" t="s">
        <v>2065</v>
      </c>
      <c r="B985" s="3">
        <v>42974</v>
      </c>
      <c r="C985" s="3">
        <v>42977</v>
      </c>
      <c r="D985" s="2" t="s">
        <v>21</v>
      </c>
      <c r="E985" s="2" t="s">
        <v>2066</v>
      </c>
      <c r="F985" s="2" t="s">
        <v>2067</v>
      </c>
      <c r="G985" s="2" t="s">
        <v>38</v>
      </c>
      <c r="H985" s="2" t="s">
        <v>25</v>
      </c>
      <c r="I985" s="2" t="s">
        <v>386</v>
      </c>
      <c r="J985" s="2" t="s">
        <v>387</v>
      </c>
      <c r="K985" s="2" t="s">
        <v>61</v>
      </c>
      <c r="L985" s="2" t="s">
        <v>235</v>
      </c>
      <c r="M985" s="2" t="s">
        <v>30</v>
      </c>
      <c r="N985" s="2" t="s">
        <v>31</v>
      </c>
      <c r="O985" s="2" t="s">
        <v>236</v>
      </c>
      <c r="P985" s="4">
        <v>21.2424</v>
      </c>
      <c r="Q985" s="4">
        <v>5</v>
      </c>
      <c r="R985" s="4">
        <v>4.8544</v>
      </c>
      <c r="S985" s="2" t="s">
        <v>92</v>
      </c>
      <c r="T985" s="2" t="s">
        <v>34</v>
      </c>
    </row>
    <row r="986" spans="1:20" x14ac:dyDescent="0.25">
      <c r="A986" s="2" t="s">
        <v>2068</v>
      </c>
      <c r="B986" s="3">
        <v>42433</v>
      </c>
      <c r="C986" s="3">
        <v>42433</v>
      </c>
      <c r="D986" s="2" t="s">
        <v>55</v>
      </c>
      <c r="E986" s="2" t="s">
        <v>1657</v>
      </c>
      <c r="F986" s="2" t="s">
        <v>1658</v>
      </c>
      <c r="G986" s="2" t="s">
        <v>24</v>
      </c>
      <c r="H986" s="2" t="s">
        <v>25</v>
      </c>
      <c r="I986" s="2" t="s">
        <v>343</v>
      </c>
      <c r="J986" s="2" t="s">
        <v>153</v>
      </c>
      <c r="K986" s="2" t="s">
        <v>147</v>
      </c>
      <c r="L986" s="2" t="s">
        <v>113</v>
      </c>
      <c r="M986" s="2" t="s">
        <v>30</v>
      </c>
      <c r="N986" s="2" t="s">
        <v>31</v>
      </c>
      <c r="O986" s="2" t="s">
        <v>114</v>
      </c>
      <c r="P986" s="4">
        <v>28.002700000000001</v>
      </c>
      <c r="Q986" s="4">
        <v>1</v>
      </c>
      <c r="R986" s="4">
        <v>-0.36799999999999999</v>
      </c>
      <c r="S986" s="2" t="s">
        <v>121</v>
      </c>
      <c r="T986" s="2" t="s">
        <v>44</v>
      </c>
    </row>
    <row r="987" spans="1:20" x14ac:dyDescent="0.25">
      <c r="A987" s="2" t="s">
        <v>2069</v>
      </c>
      <c r="B987" s="3">
        <v>41818</v>
      </c>
      <c r="C987" s="3">
        <v>41823</v>
      </c>
      <c r="D987" s="2" t="s">
        <v>55</v>
      </c>
      <c r="E987" s="2" t="s">
        <v>1272</v>
      </c>
      <c r="F987" s="2" t="s">
        <v>1273</v>
      </c>
      <c r="G987" s="2" t="s">
        <v>58</v>
      </c>
      <c r="H987" s="2" t="s">
        <v>25</v>
      </c>
      <c r="I987" s="2" t="s">
        <v>469</v>
      </c>
      <c r="J987" s="2" t="s">
        <v>470</v>
      </c>
      <c r="K987" s="2" t="s">
        <v>28</v>
      </c>
      <c r="L987" s="2" t="s">
        <v>793</v>
      </c>
      <c r="M987" s="2" t="s">
        <v>30</v>
      </c>
      <c r="N987" s="2" t="s">
        <v>63</v>
      </c>
      <c r="O987" s="2" t="s">
        <v>794</v>
      </c>
      <c r="P987" s="4">
        <v>832.02470000000005</v>
      </c>
      <c r="Q987" s="4">
        <v>2</v>
      </c>
      <c r="R987" s="4">
        <v>-308.1925</v>
      </c>
      <c r="S987" s="2" t="s">
        <v>85</v>
      </c>
      <c r="T987" s="2" t="s">
        <v>133</v>
      </c>
    </row>
    <row r="988" spans="1:20" x14ac:dyDescent="0.25">
      <c r="A988" s="2" t="s">
        <v>2070</v>
      </c>
      <c r="B988" s="3">
        <v>42583</v>
      </c>
      <c r="C988" s="3">
        <v>42585</v>
      </c>
      <c r="D988" s="2" t="s">
        <v>48</v>
      </c>
      <c r="E988" s="2" t="s">
        <v>103</v>
      </c>
      <c r="F988" s="2" t="s">
        <v>104</v>
      </c>
      <c r="G988" s="2" t="s">
        <v>24</v>
      </c>
      <c r="H988" s="2" t="s">
        <v>25</v>
      </c>
      <c r="I988" s="2" t="s">
        <v>338</v>
      </c>
      <c r="J988" s="2" t="s">
        <v>339</v>
      </c>
      <c r="K988" s="2" t="s">
        <v>82</v>
      </c>
      <c r="L988" s="2" t="s">
        <v>83</v>
      </c>
      <c r="M988" s="2" t="s">
        <v>30</v>
      </c>
      <c r="N988" s="2" t="s">
        <v>42</v>
      </c>
      <c r="O988" s="2" t="s">
        <v>84</v>
      </c>
      <c r="P988" s="4">
        <v>188.79750000000001</v>
      </c>
      <c r="Q988" s="4">
        <v>4</v>
      </c>
      <c r="R988" s="4">
        <v>-52.290199999999999</v>
      </c>
      <c r="S988" s="2" t="s">
        <v>53</v>
      </c>
      <c r="T988" s="2" t="s">
        <v>34</v>
      </c>
    </row>
    <row r="989" spans="1:20" x14ac:dyDescent="0.25">
      <c r="A989" s="2" t="s">
        <v>2071</v>
      </c>
      <c r="B989" s="3">
        <v>42461</v>
      </c>
      <c r="C989" s="3">
        <v>42466</v>
      </c>
      <c r="D989" s="2" t="s">
        <v>55</v>
      </c>
      <c r="E989" s="2" t="s">
        <v>2072</v>
      </c>
      <c r="F989" s="2" t="s">
        <v>2073</v>
      </c>
      <c r="G989" s="2" t="s">
        <v>24</v>
      </c>
      <c r="H989" s="2" t="s">
        <v>25</v>
      </c>
      <c r="I989" s="2" t="s">
        <v>309</v>
      </c>
      <c r="J989" s="2" t="s">
        <v>310</v>
      </c>
      <c r="K989" s="2" t="s">
        <v>28</v>
      </c>
      <c r="L989" s="2" t="s">
        <v>113</v>
      </c>
      <c r="M989" s="2" t="s">
        <v>30</v>
      </c>
      <c r="N989" s="2" t="s">
        <v>31</v>
      </c>
      <c r="O989" s="2" t="s">
        <v>114</v>
      </c>
      <c r="P989" s="4">
        <v>6.9046000000000003</v>
      </c>
      <c r="Q989" s="4">
        <v>1</v>
      </c>
      <c r="R989" s="4">
        <v>0.94750000000000001</v>
      </c>
      <c r="S989" s="2" t="s">
        <v>85</v>
      </c>
      <c r="T989" s="2" t="s">
        <v>108</v>
      </c>
    </row>
    <row r="990" spans="1:20" x14ac:dyDescent="0.25">
      <c r="A990" s="2" t="s">
        <v>2074</v>
      </c>
      <c r="B990" s="3">
        <v>42561</v>
      </c>
      <c r="C990" s="3">
        <v>42565</v>
      </c>
      <c r="D990" s="2" t="s">
        <v>21</v>
      </c>
      <c r="E990" s="2" t="s">
        <v>2075</v>
      </c>
      <c r="F990" s="2" t="s">
        <v>2076</v>
      </c>
      <c r="G990" s="2" t="s">
        <v>58</v>
      </c>
      <c r="H990" s="2" t="s">
        <v>25</v>
      </c>
      <c r="I990" s="2" t="s">
        <v>509</v>
      </c>
      <c r="J990" s="2" t="s">
        <v>356</v>
      </c>
      <c r="K990" s="2" t="s">
        <v>147</v>
      </c>
      <c r="L990" s="2" t="s">
        <v>131</v>
      </c>
      <c r="M990" s="2" t="s">
        <v>30</v>
      </c>
      <c r="N990" s="2" t="s">
        <v>31</v>
      </c>
      <c r="O990" s="2" t="s">
        <v>132</v>
      </c>
      <c r="P990" s="4">
        <v>143.23439999999999</v>
      </c>
      <c r="Q990" s="4">
        <v>2</v>
      </c>
      <c r="R990" s="4">
        <v>6.9330999999999996</v>
      </c>
      <c r="S990" s="2" t="s">
        <v>75</v>
      </c>
      <c r="T990" s="2" t="s">
        <v>86</v>
      </c>
    </row>
    <row r="991" spans="1:20" x14ac:dyDescent="0.25">
      <c r="A991" s="2" t="s">
        <v>2077</v>
      </c>
      <c r="B991" s="3">
        <v>42409</v>
      </c>
      <c r="C991" s="3">
        <v>42411</v>
      </c>
      <c r="D991" s="2" t="s">
        <v>48</v>
      </c>
      <c r="E991" s="2" t="s">
        <v>1262</v>
      </c>
      <c r="F991" s="2" t="s">
        <v>1263</v>
      </c>
      <c r="G991" s="2" t="s">
        <v>58</v>
      </c>
      <c r="H991" s="2" t="s">
        <v>25</v>
      </c>
      <c r="I991" s="2" t="s">
        <v>398</v>
      </c>
      <c r="J991" s="2" t="s">
        <v>251</v>
      </c>
      <c r="K991" s="2" t="s">
        <v>147</v>
      </c>
      <c r="L991" s="2" t="s">
        <v>161</v>
      </c>
      <c r="M991" s="2" t="s">
        <v>30</v>
      </c>
      <c r="N991" s="2" t="s">
        <v>162</v>
      </c>
      <c r="O991" s="2" t="s">
        <v>163</v>
      </c>
      <c r="P991" s="4">
        <v>417.17320000000001</v>
      </c>
      <c r="Q991" s="4">
        <v>3</v>
      </c>
      <c r="R991" s="4">
        <v>-166.4513</v>
      </c>
      <c r="S991" s="2" t="s">
        <v>53</v>
      </c>
      <c r="T991" s="2" t="s">
        <v>101</v>
      </c>
    </row>
    <row r="992" spans="1:20" x14ac:dyDescent="0.25">
      <c r="A992" s="2" t="s">
        <v>2078</v>
      </c>
      <c r="B992" s="3">
        <v>42735</v>
      </c>
      <c r="C992" s="3">
        <v>42740</v>
      </c>
      <c r="D992" s="2" t="s">
        <v>55</v>
      </c>
      <c r="E992" s="2" t="s">
        <v>741</v>
      </c>
      <c r="F992" s="2" t="s">
        <v>742</v>
      </c>
      <c r="G992" s="2" t="s">
        <v>58</v>
      </c>
      <c r="H992" s="2" t="s">
        <v>25</v>
      </c>
      <c r="I992" s="2" t="s">
        <v>727</v>
      </c>
      <c r="J992" s="2" t="s">
        <v>728</v>
      </c>
      <c r="K992" s="2" t="s">
        <v>147</v>
      </c>
      <c r="L992" s="2" t="s">
        <v>344</v>
      </c>
      <c r="M992" s="2" t="s">
        <v>30</v>
      </c>
      <c r="N992" s="2" t="s">
        <v>42</v>
      </c>
      <c r="O992" s="2" t="s">
        <v>345</v>
      </c>
      <c r="P992" s="4">
        <v>243.26410000000001</v>
      </c>
      <c r="Q992" s="4">
        <v>2</v>
      </c>
      <c r="R992" s="4">
        <v>38.662100000000002</v>
      </c>
      <c r="S992" s="2" t="s">
        <v>85</v>
      </c>
      <c r="T992" s="2" t="s">
        <v>76</v>
      </c>
    </row>
    <row r="993" spans="1:20" x14ac:dyDescent="0.25">
      <c r="A993" s="2" t="s">
        <v>2079</v>
      </c>
      <c r="B993" s="3">
        <v>42635</v>
      </c>
      <c r="C993" s="3">
        <v>42642</v>
      </c>
      <c r="D993" s="2" t="s">
        <v>55</v>
      </c>
      <c r="E993" s="2" t="s">
        <v>95</v>
      </c>
      <c r="F993" s="2" t="s">
        <v>96</v>
      </c>
      <c r="G993" s="2" t="s">
        <v>58</v>
      </c>
      <c r="H993" s="2" t="s">
        <v>25</v>
      </c>
      <c r="I993" s="2" t="s">
        <v>297</v>
      </c>
      <c r="J993" s="2" t="s">
        <v>234</v>
      </c>
      <c r="K993" s="2" t="s">
        <v>82</v>
      </c>
      <c r="L993" s="2" t="s">
        <v>344</v>
      </c>
      <c r="M993" s="2" t="s">
        <v>30</v>
      </c>
      <c r="N993" s="2" t="s">
        <v>42</v>
      </c>
      <c r="O993" s="2" t="s">
        <v>345</v>
      </c>
      <c r="P993" s="4">
        <v>431.94420000000002</v>
      </c>
      <c r="Q993" s="4">
        <v>6</v>
      </c>
      <c r="R993" s="4">
        <v>11.3222</v>
      </c>
      <c r="S993" s="2" t="s">
        <v>107</v>
      </c>
      <c r="T993" s="2" t="s">
        <v>148</v>
      </c>
    </row>
    <row r="994" spans="1:20" x14ac:dyDescent="0.25">
      <c r="A994" s="2" t="s">
        <v>2080</v>
      </c>
      <c r="B994" s="3">
        <v>41704</v>
      </c>
      <c r="C994" s="3">
        <v>41707</v>
      </c>
      <c r="D994" s="2" t="s">
        <v>55</v>
      </c>
      <c r="E994" s="2" t="s">
        <v>621</v>
      </c>
      <c r="F994" s="2" t="s">
        <v>622</v>
      </c>
      <c r="G994" s="2" t="s">
        <v>24</v>
      </c>
      <c r="H994" s="2" t="s">
        <v>25</v>
      </c>
      <c r="I994" s="2" t="s">
        <v>105</v>
      </c>
      <c r="J994" s="2" t="s">
        <v>106</v>
      </c>
      <c r="K994" s="2" t="s">
        <v>61</v>
      </c>
      <c r="L994" s="2" t="s">
        <v>235</v>
      </c>
      <c r="M994" s="2" t="s">
        <v>30</v>
      </c>
      <c r="N994" s="2" t="s">
        <v>31</v>
      </c>
      <c r="O994" s="2" t="s">
        <v>236</v>
      </c>
      <c r="P994" s="4">
        <v>66.461299999999994</v>
      </c>
      <c r="Q994" s="4">
        <v>7</v>
      </c>
      <c r="R994" s="4">
        <v>10.805999999999999</v>
      </c>
      <c r="S994" s="2" t="s">
        <v>92</v>
      </c>
      <c r="T994" s="2" t="s">
        <v>44</v>
      </c>
    </row>
    <row r="995" spans="1:20" x14ac:dyDescent="0.25">
      <c r="A995" s="2" t="s">
        <v>2080</v>
      </c>
      <c r="B995" s="3">
        <v>41704</v>
      </c>
      <c r="C995" s="3">
        <v>41707</v>
      </c>
      <c r="D995" s="2" t="s">
        <v>55</v>
      </c>
      <c r="E995" s="2" t="s">
        <v>621</v>
      </c>
      <c r="F995" s="2" t="s">
        <v>622</v>
      </c>
      <c r="G995" s="2" t="s">
        <v>24</v>
      </c>
      <c r="H995" s="2" t="s">
        <v>25</v>
      </c>
      <c r="I995" s="2" t="s">
        <v>105</v>
      </c>
      <c r="J995" s="2" t="s">
        <v>106</v>
      </c>
      <c r="K995" s="2" t="s">
        <v>61</v>
      </c>
      <c r="L995" s="2" t="s">
        <v>169</v>
      </c>
      <c r="M995" s="2" t="s">
        <v>30</v>
      </c>
      <c r="N995" s="2" t="s">
        <v>162</v>
      </c>
      <c r="O995" s="2" t="s">
        <v>170</v>
      </c>
      <c r="P995" s="4">
        <v>412.51389999999998</v>
      </c>
      <c r="Q995" s="4">
        <v>4</v>
      </c>
      <c r="R995" s="4">
        <v>-155.00149999999999</v>
      </c>
      <c r="S995" s="2" t="s">
        <v>92</v>
      </c>
      <c r="T995" s="2" t="s">
        <v>44</v>
      </c>
    </row>
    <row r="996" spans="1:20" x14ac:dyDescent="0.25">
      <c r="A996" s="2" t="s">
        <v>2081</v>
      </c>
      <c r="B996" s="3">
        <v>42941</v>
      </c>
      <c r="C996" s="3">
        <v>42948</v>
      </c>
      <c r="D996" s="2" t="s">
        <v>55</v>
      </c>
      <c r="E996" s="2" t="s">
        <v>2082</v>
      </c>
      <c r="F996" s="2" t="s">
        <v>2083</v>
      </c>
      <c r="G996" s="2" t="s">
        <v>58</v>
      </c>
      <c r="H996" s="2" t="s">
        <v>25</v>
      </c>
      <c r="I996" s="2" t="s">
        <v>1055</v>
      </c>
      <c r="J996" s="2" t="s">
        <v>106</v>
      </c>
      <c r="K996" s="2" t="s">
        <v>61</v>
      </c>
      <c r="L996" s="2" t="s">
        <v>161</v>
      </c>
      <c r="M996" s="2" t="s">
        <v>30</v>
      </c>
      <c r="N996" s="2" t="s">
        <v>162</v>
      </c>
      <c r="O996" s="2" t="s">
        <v>163</v>
      </c>
      <c r="P996" s="4">
        <v>145.71899999999999</v>
      </c>
      <c r="Q996" s="4">
        <v>5</v>
      </c>
      <c r="R996" s="4">
        <v>-123.1784</v>
      </c>
      <c r="S996" s="2" t="s">
        <v>107</v>
      </c>
      <c r="T996" s="2" t="s">
        <v>86</v>
      </c>
    </row>
    <row r="997" spans="1:20" x14ac:dyDescent="0.25">
      <c r="A997" s="2" t="s">
        <v>2081</v>
      </c>
      <c r="B997" s="3">
        <v>42941</v>
      </c>
      <c r="C997" s="3">
        <v>42948</v>
      </c>
      <c r="D997" s="2" t="s">
        <v>55</v>
      </c>
      <c r="E997" s="2" t="s">
        <v>2082</v>
      </c>
      <c r="F997" s="2" t="s">
        <v>2083</v>
      </c>
      <c r="G997" s="2" t="s">
        <v>58</v>
      </c>
      <c r="H997" s="2" t="s">
        <v>25</v>
      </c>
      <c r="I997" s="2" t="s">
        <v>1055</v>
      </c>
      <c r="J997" s="2" t="s">
        <v>106</v>
      </c>
      <c r="K997" s="2" t="s">
        <v>61</v>
      </c>
      <c r="L997" s="2" t="s">
        <v>323</v>
      </c>
      <c r="M997" s="2" t="s">
        <v>30</v>
      </c>
      <c r="N997" s="2" t="s">
        <v>31</v>
      </c>
      <c r="O997" s="2" t="s">
        <v>324</v>
      </c>
      <c r="P997" s="4">
        <v>19.451899999999998</v>
      </c>
      <c r="Q997" s="4">
        <v>4</v>
      </c>
      <c r="R997" s="4">
        <v>11.1996</v>
      </c>
      <c r="S997" s="2" t="s">
        <v>107</v>
      </c>
      <c r="T997" s="2" t="s">
        <v>86</v>
      </c>
    </row>
    <row r="998" spans="1:20" x14ac:dyDescent="0.25">
      <c r="A998" s="2" t="s">
        <v>2084</v>
      </c>
      <c r="B998" s="3">
        <v>41750</v>
      </c>
      <c r="C998" s="3">
        <v>41756</v>
      </c>
      <c r="D998" s="2" t="s">
        <v>55</v>
      </c>
      <c r="E998" s="2" t="s">
        <v>2085</v>
      </c>
      <c r="F998" s="2" t="s">
        <v>2086</v>
      </c>
      <c r="G998" s="2" t="s">
        <v>58</v>
      </c>
      <c r="H998" s="2" t="s">
        <v>25</v>
      </c>
      <c r="I998" s="2" t="s">
        <v>1184</v>
      </c>
      <c r="J998" s="2" t="s">
        <v>435</v>
      </c>
      <c r="K998" s="2" t="s">
        <v>61</v>
      </c>
      <c r="L998" s="2" t="s">
        <v>677</v>
      </c>
      <c r="M998" s="2" t="s">
        <v>30</v>
      </c>
      <c r="N998" s="2" t="s">
        <v>162</v>
      </c>
      <c r="O998" s="2" t="s">
        <v>678</v>
      </c>
      <c r="P998" s="4">
        <v>476.77620000000002</v>
      </c>
      <c r="Q998" s="4">
        <v>5</v>
      </c>
      <c r="R998" s="4">
        <v>169.8177</v>
      </c>
      <c r="S998" s="2" t="s">
        <v>65</v>
      </c>
      <c r="T998" s="2" t="s">
        <v>108</v>
      </c>
    </row>
    <row r="999" spans="1:20" x14ac:dyDescent="0.25">
      <c r="A999" s="2" t="s">
        <v>2087</v>
      </c>
      <c r="B999" s="3">
        <v>43066</v>
      </c>
      <c r="C999" s="3">
        <v>43070</v>
      </c>
      <c r="D999" s="2" t="s">
        <v>21</v>
      </c>
      <c r="E999" s="2" t="s">
        <v>884</v>
      </c>
      <c r="F999" s="2" t="s">
        <v>885</v>
      </c>
      <c r="G999" s="2" t="s">
        <v>24</v>
      </c>
      <c r="H999" s="2" t="s">
        <v>25</v>
      </c>
      <c r="I999" s="2" t="s">
        <v>297</v>
      </c>
      <c r="J999" s="2" t="s">
        <v>234</v>
      </c>
      <c r="K999" s="2" t="s">
        <v>82</v>
      </c>
      <c r="L999" s="2" t="s">
        <v>29</v>
      </c>
      <c r="M999" s="2" t="s">
        <v>30</v>
      </c>
      <c r="N999" s="2" t="s">
        <v>31</v>
      </c>
      <c r="O999" s="2" t="s">
        <v>32</v>
      </c>
      <c r="P999" s="4">
        <v>20.2469</v>
      </c>
      <c r="Q999" s="4">
        <v>3</v>
      </c>
      <c r="R999" s="4">
        <v>-0.18329999999999999</v>
      </c>
      <c r="S999" s="2" t="s">
        <v>75</v>
      </c>
      <c r="T999" s="2" t="s">
        <v>93</v>
      </c>
    </row>
    <row r="1000" spans="1:20" x14ac:dyDescent="0.25">
      <c r="A1000" s="2" t="s">
        <v>2088</v>
      </c>
      <c r="B1000" s="3">
        <v>42902</v>
      </c>
      <c r="C1000" s="3">
        <v>42902</v>
      </c>
      <c r="D1000" s="2" t="s">
        <v>48</v>
      </c>
      <c r="E1000" s="2" t="s">
        <v>1268</v>
      </c>
      <c r="F1000" s="2" t="s">
        <v>1269</v>
      </c>
      <c r="G1000" s="2" t="s">
        <v>38</v>
      </c>
      <c r="H1000" s="2" t="s">
        <v>25</v>
      </c>
      <c r="I1000" s="2" t="s">
        <v>594</v>
      </c>
      <c r="J1000" s="2" t="s">
        <v>595</v>
      </c>
      <c r="K1000" s="2" t="s">
        <v>61</v>
      </c>
      <c r="L1000" s="2" t="s">
        <v>99</v>
      </c>
      <c r="M1000" s="2" t="s">
        <v>30</v>
      </c>
      <c r="N1000" s="2" t="s">
        <v>42</v>
      </c>
      <c r="O1000" s="2" t="s">
        <v>100</v>
      </c>
      <c r="P1000" s="4">
        <v>341.48250000000002</v>
      </c>
      <c r="Q1000" s="4">
        <v>3</v>
      </c>
      <c r="R1000" s="4">
        <v>65.656700000000001</v>
      </c>
      <c r="S1000" s="2" t="s">
        <v>121</v>
      </c>
      <c r="T1000" s="2" t="s">
        <v>133</v>
      </c>
    </row>
    <row r="1001" spans="1:20" x14ac:dyDescent="0.25">
      <c r="A1001" s="2" t="s">
        <v>2089</v>
      </c>
      <c r="B1001" s="3">
        <v>42472</v>
      </c>
      <c r="C1001" s="3">
        <v>42476</v>
      </c>
      <c r="D1001" s="2" t="s">
        <v>21</v>
      </c>
      <c r="E1001" s="2" t="s">
        <v>1230</v>
      </c>
      <c r="F1001" s="2" t="s">
        <v>1231</v>
      </c>
      <c r="G1001" s="2" t="s">
        <v>38</v>
      </c>
      <c r="H1001" s="2" t="s">
        <v>25</v>
      </c>
      <c r="I1001" s="2" t="s">
        <v>1319</v>
      </c>
      <c r="J1001" s="2" t="s">
        <v>632</v>
      </c>
      <c r="K1001" s="2" t="s">
        <v>82</v>
      </c>
      <c r="L1001" s="2" t="s">
        <v>228</v>
      </c>
      <c r="M1001" s="2" t="s">
        <v>30</v>
      </c>
      <c r="N1001" s="2" t="s">
        <v>42</v>
      </c>
      <c r="O1001" s="2" t="s">
        <v>229</v>
      </c>
      <c r="P1001" s="4">
        <v>263.74059999999997</v>
      </c>
      <c r="Q1001" s="4">
        <v>1</v>
      </c>
      <c r="R1001" s="4">
        <v>50.094000000000001</v>
      </c>
      <c r="S1001" s="2" t="s">
        <v>75</v>
      </c>
      <c r="T1001" s="2" t="s">
        <v>108</v>
      </c>
    </row>
    <row r="1002" spans="1:20" x14ac:dyDescent="0.25">
      <c r="A1002" s="2" t="s">
        <v>2090</v>
      </c>
      <c r="B1002" s="3">
        <v>42500</v>
      </c>
      <c r="C1002" s="3">
        <v>42500</v>
      </c>
      <c r="D1002" s="2" t="s">
        <v>142</v>
      </c>
      <c r="E1002" s="2" t="s">
        <v>2091</v>
      </c>
      <c r="F1002" s="2" t="s">
        <v>2092</v>
      </c>
      <c r="G1002" s="2" t="s">
        <v>58</v>
      </c>
      <c r="H1002" s="2" t="s">
        <v>25</v>
      </c>
      <c r="I1002" s="2" t="s">
        <v>917</v>
      </c>
      <c r="J1002" s="2" t="s">
        <v>120</v>
      </c>
      <c r="K1002" s="2" t="s">
        <v>61</v>
      </c>
      <c r="L1002" s="2" t="s">
        <v>62</v>
      </c>
      <c r="M1002" s="2" t="s">
        <v>30</v>
      </c>
      <c r="N1002" s="2" t="s">
        <v>63</v>
      </c>
      <c r="O1002" s="2" t="s">
        <v>64</v>
      </c>
      <c r="P1002" s="4">
        <v>182.25620000000001</v>
      </c>
      <c r="Q1002" s="4">
        <v>6</v>
      </c>
      <c r="R1002" s="4">
        <v>-38.449399999999997</v>
      </c>
      <c r="S1002" s="2" t="s">
        <v>121</v>
      </c>
      <c r="T1002" s="2" t="s">
        <v>122</v>
      </c>
    </row>
    <row r="1003" spans="1:20" x14ac:dyDescent="0.25">
      <c r="A1003" s="2" t="s">
        <v>2093</v>
      </c>
      <c r="B1003" s="3">
        <v>41673</v>
      </c>
      <c r="C1003" s="3">
        <v>41676</v>
      </c>
      <c r="D1003" s="2" t="s">
        <v>21</v>
      </c>
      <c r="E1003" s="2" t="s">
        <v>2094</v>
      </c>
      <c r="F1003" s="2" t="s">
        <v>2095</v>
      </c>
      <c r="G1003" s="2" t="s">
        <v>58</v>
      </c>
      <c r="H1003" s="2" t="s">
        <v>25</v>
      </c>
      <c r="I1003" s="2" t="s">
        <v>779</v>
      </c>
      <c r="J1003" s="2" t="s">
        <v>356</v>
      </c>
      <c r="K1003" s="2" t="s">
        <v>147</v>
      </c>
      <c r="L1003" s="2" t="s">
        <v>453</v>
      </c>
      <c r="M1003" s="2" t="s">
        <v>30</v>
      </c>
      <c r="N1003" s="2" t="s">
        <v>42</v>
      </c>
      <c r="O1003" s="2" t="s">
        <v>454</v>
      </c>
      <c r="P1003" s="4">
        <v>135.8245</v>
      </c>
      <c r="Q1003" s="4">
        <v>4</v>
      </c>
      <c r="R1003" s="4">
        <v>21.2331</v>
      </c>
      <c r="S1003" s="2" t="s">
        <v>92</v>
      </c>
      <c r="T1003" s="2" t="s">
        <v>101</v>
      </c>
    </row>
    <row r="1004" spans="1:20" x14ac:dyDescent="0.25">
      <c r="A1004" s="2" t="s">
        <v>2096</v>
      </c>
      <c r="B1004" s="3">
        <v>42512</v>
      </c>
      <c r="C1004" s="3">
        <v>42514</v>
      </c>
      <c r="D1004" s="2" t="s">
        <v>55</v>
      </c>
      <c r="E1004" s="2" t="s">
        <v>129</v>
      </c>
      <c r="F1004" s="2" t="s">
        <v>130</v>
      </c>
      <c r="G1004" s="2" t="s">
        <v>24</v>
      </c>
      <c r="H1004" s="2" t="s">
        <v>25</v>
      </c>
      <c r="I1004" s="2" t="s">
        <v>829</v>
      </c>
      <c r="J1004" s="2" t="s">
        <v>199</v>
      </c>
      <c r="K1004" s="2" t="s">
        <v>82</v>
      </c>
      <c r="L1004" s="2" t="s">
        <v>99</v>
      </c>
      <c r="M1004" s="2" t="s">
        <v>30</v>
      </c>
      <c r="N1004" s="2" t="s">
        <v>42</v>
      </c>
      <c r="O1004" s="2" t="s">
        <v>100</v>
      </c>
      <c r="P1004" s="4">
        <v>771.69050000000004</v>
      </c>
      <c r="Q1004" s="4">
        <v>1</v>
      </c>
      <c r="R1004" s="4">
        <v>-168.3485</v>
      </c>
      <c r="S1004" s="2" t="s">
        <v>53</v>
      </c>
      <c r="T1004" s="2" t="s">
        <v>122</v>
      </c>
    </row>
    <row r="1005" spans="1:20" x14ac:dyDescent="0.25">
      <c r="A1005" s="2" t="s">
        <v>2097</v>
      </c>
      <c r="B1005" s="3">
        <v>43050</v>
      </c>
      <c r="C1005" s="3">
        <v>43050</v>
      </c>
      <c r="D1005" s="2" t="s">
        <v>55</v>
      </c>
      <c r="E1005" s="2" t="s">
        <v>987</v>
      </c>
      <c r="F1005" s="2" t="s">
        <v>988</v>
      </c>
      <c r="G1005" s="2" t="s">
        <v>58</v>
      </c>
      <c r="H1005" s="2" t="s">
        <v>25</v>
      </c>
      <c r="I1005" s="2" t="s">
        <v>1212</v>
      </c>
      <c r="J1005" s="2" t="s">
        <v>496</v>
      </c>
      <c r="K1005" s="2" t="s">
        <v>147</v>
      </c>
      <c r="L1005" s="2" t="s">
        <v>200</v>
      </c>
      <c r="M1005" s="2" t="s">
        <v>30</v>
      </c>
      <c r="N1005" s="2" t="s">
        <v>162</v>
      </c>
      <c r="O1005" s="2" t="s">
        <v>201</v>
      </c>
      <c r="P1005" s="4">
        <v>216.2627</v>
      </c>
      <c r="Q1005" s="4">
        <v>2</v>
      </c>
      <c r="R1005" s="4">
        <v>-51.179099999999998</v>
      </c>
      <c r="S1005" s="2" t="s">
        <v>121</v>
      </c>
      <c r="T1005" s="2" t="s">
        <v>93</v>
      </c>
    </row>
    <row r="1006" spans="1:20" x14ac:dyDescent="0.25">
      <c r="A1006" s="2" t="s">
        <v>2098</v>
      </c>
      <c r="B1006" s="3">
        <v>42917</v>
      </c>
      <c r="C1006" s="3">
        <v>42917</v>
      </c>
      <c r="D1006" s="2" t="s">
        <v>48</v>
      </c>
      <c r="E1006" s="2" t="s">
        <v>990</v>
      </c>
      <c r="F1006" s="2" t="s">
        <v>991</v>
      </c>
      <c r="G1006" s="2" t="s">
        <v>58</v>
      </c>
      <c r="H1006" s="2" t="s">
        <v>25</v>
      </c>
      <c r="I1006" s="2" t="s">
        <v>179</v>
      </c>
      <c r="J1006" s="2" t="s">
        <v>180</v>
      </c>
      <c r="K1006" s="2" t="s">
        <v>147</v>
      </c>
      <c r="L1006" s="2" t="s">
        <v>372</v>
      </c>
      <c r="M1006" s="2" t="s">
        <v>30</v>
      </c>
      <c r="N1006" s="2" t="s">
        <v>162</v>
      </c>
      <c r="O1006" s="2" t="s">
        <v>373</v>
      </c>
      <c r="P1006" s="4">
        <v>1213.252</v>
      </c>
      <c r="Q1006" s="4">
        <v>3</v>
      </c>
      <c r="R1006" s="4">
        <v>-243.43170000000001</v>
      </c>
      <c r="S1006" s="2" t="s">
        <v>121</v>
      </c>
      <c r="T1006" s="2" t="s">
        <v>86</v>
      </c>
    </row>
    <row r="1007" spans="1:20" x14ac:dyDescent="0.25">
      <c r="A1007" s="2" t="s">
        <v>2099</v>
      </c>
      <c r="B1007" s="3">
        <v>41874</v>
      </c>
      <c r="C1007" s="3">
        <v>41876</v>
      </c>
      <c r="D1007" s="2" t="s">
        <v>48</v>
      </c>
      <c r="E1007" s="2" t="s">
        <v>241</v>
      </c>
      <c r="F1007" s="2" t="s">
        <v>242</v>
      </c>
      <c r="G1007" s="2" t="s">
        <v>24</v>
      </c>
      <c r="H1007" s="2" t="s">
        <v>25</v>
      </c>
      <c r="I1007" s="2" t="s">
        <v>414</v>
      </c>
      <c r="J1007" s="2" t="s">
        <v>206</v>
      </c>
      <c r="K1007" s="2" t="s">
        <v>61</v>
      </c>
      <c r="L1007" s="2" t="s">
        <v>174</v>
      </c>
      <c r="M1007" s="2" t="s">
        <v>30</v>
      </c>
      <c r="N1007" s="2" t="s">
        <v>31</v>
      </c>
      <c r="O1007" s="2" t="s">
        <v>175</v>
      </c>
      <c r="P1007" s="4">
        <v>153.52869999999999</v>
      </c>
      <c r="Q1007" s="4">
        <v>1</v>
      </c>
      <c r="R1007" s="4">
        <v>-23.575600000000001</v>
      </c>
      <c r="S1007" s="2" t="s">
        <v>53</v>
      </c>
      <c r="T1007" s="2" t="s">
        <v>34</v>
      </c>
    </row>
    <row r="1008" spans="1:20" x14ac:dyDescent="0.25">
      <c r="A1008" s="2" t="s">
        <v>2100</v>
      </c>
      <c r="B1008" s="3">
        <v>42407</v>
      </c>
      <c r="C1008" s="3">
        <v>42407</v>
      </c>
      <c r="D1008" s="2" t="s">
        <v>21</v>
      </c>
      <c r="E1008" s="2" t="s">
        <v>1112</v>
      </c>
      <c r="F1008" s="2" t="s">
        <v>1113</v>
      </c>
      <c r="G1008" s="2" t="s">
        <v>58</v>
      </c>
      <c r="H1008" s="2" t="s">
        <v>25</v>
      </c>
      <c r="I1008" s="2" t="s">
        <v>386</v>
      </c>
      <c r="J1008" s="2" t="s">
        <v>387</v>
      </c>
      <c r="K1008" s="2" t="s">
        <v>61</v>
      </c>
      <c r="L1008" s="2" t="s">
        <v>933</v>
      </c>
      <c r="M1008" s="2" t="s">
        <v>30</v>
      </c>
      <c r="N1008" s="2" t="s">
        <v>162</v>
      </c>
      <c r="O1008" s="2" t="s">
        <v>934</v>
      </c>
      <c r="P1008" s="4">
        <v>1450.874</v>
      </c>
      <c r="Q1008" s="4">
        <v>2</v>
      </c>
      <c r="R1008" s="4">
        <v>138.47190000000001</v>
      </c>
      <c r="S1008" s="2" t="s">
        <v>121</v>
      </c>
      <c r="T1008" s="2" t="s">
        <v>101</v>
      </c>
    </row>
    <row r="1009" spans="1:20" x14ac:dyDescent="0.25">
      <c r="A1009" s="2" t="s">
        <v>2100</v>
      </c>
      <c r="B1009" s="3">
        <v>42407</v>
      </c>
      <c r="C1009" s="3">
        <v>42407</v>
      </c>
      <c r="D1009" s="2" t="s">
        <v>21</v>
      </c>
      <c r="E1009" s="2" t="s">
        <v>1112</v>
      </c>
      <c r="F1009" s="2" t="s">
        <v>1113</v>
      </c>
      <c r="G1009" s="2" t="s">
        <v>58</v>
      </c>
      <c r="H1009" s="2" t="s">
        <v>25</v>
      </c>
      <c r="I1009" s="2" t="s">
        <v>386</v>
      </c>
      <c r="J1009" s="2" t="s">
        <v>387</v>
      </c>
      <c r="K1009" s="2" t="s">
        <v>61</v>
      </c>
      <c r="L1009" s="2" t="s">
        <v>62</v>
      </c>
      <c r="M1009" s="2" t="s">
        <v>30</v>
      </c>
      <c r="N1009" s="2" t="s">
        <v>63</v>
      </c>
      <c r="O1009" s="2" t="s">
        <v>64</v>
      </c>
      <c r="P1009" s="4">
        <v>186.71619999999999</v>
      </c>
      <c r="Q1009" s="4">
        <v>4</v>
      </c>
      <c r="R1009" s="4">
        <v>-25.195699999999999</v>
      </c>
      <c r="S1009" s="2" t="s">
        <v>121</v>
      </c>
      <c r="T1009" s="2" t="s">
        <v>101</v>
      </c>
    </row>
    <row r="1010" spans="1:20" x14ac:dyDescent="0.25">
      <c r="A1010" s="2" t="s">
        <v>2101</v>
      </c>
      <c r="B1010" s="3">
        <v>42702</v>
      </c>
      <c r="C1010" s="3">
        <v>42708</v>
      </c>
      <c r="D1010" s="2" t="s">
        <v>55</v>
      </c>
      <c r="E1010" s="2" t="s">
        <v>1434</v>
      </c>
      <c r="F1010" s="2" t="s">
        <v>1435</v>
      </c>
      <c r="G1010" s="2" t="s">
        <v>58</v>
      </c>
      <c r="H1010" s="2" t="s">
        <v>25</v>
      </c>
      <c r="I1010" s="2" t="s">
        <v>216</v>
      </c>
      <c r="J1010" s="2" t="s">
        <v>217</v>
      </c>
      <c r="K1010" s="2" t="s">
        <v>82</v>
      </c>
      <c r="L1010" s="2" t="s">
        <v>29</v>
      </c>
      <c r="M1010" s="2" t="s">
        <v>30</v>
      </c>
      <c r="N1010" s="2" t="s">
        <v>31</v>
      </c>
      <c r="O1010" s="2" t="s">
        <v>32</v>
      </c>
      <c r="P1010" s="4">
        <v>126.1692</v>
      </c>
      <c r="Q1010" s="4">
        <v>2</v>
      </c>
      <c r="R1010" s="4">
        <v>61.333199999999998</v>
      </c>
      <c r="S1010" s="2" t="s">
        <v>65</v>
      </c>
      <c r="T1010" s="2" t="s">
        <v>93</v>
      </c>
    </row>
    <row r="1011" spans="1:20" x14ac:dyDescent="0.25">
      <c r="A1011" s="2" t="s">
        <v>2101</v>
      </c>
      <c r="B1011" s="3">
        <v>42702</v>
      </c>
      <c r="C1011" s="3">
        <v>42708</v>
      </c>
      <c r="D1011" s="2" t="s">
        <v>55</v>
      </c>
      <c r="E1011" s="2" t="s">
        <v>1434</v>
      </c>
      <c r="F1011" s="2" t="s">
        <v>1435</v>
      </c>
      <c r="G1011" s="2" t="s">
        <v>58</v>
      </c>
      <c r="H1011" s="2" t="s">
        <v>25</v>
      </c>
      <c r="I1011" s="2" t="s">
        <v>216</v>
      </c>
      <c r="J1011" s="2" t="s">
        <v>217</v>
      </c>
      <c r="K1011" s="2" t="s">
        <v>82</v>
      </c>
      <c r="L1011" s="2" t="s">
        <v>161</v>
      </c>
      <c r="M1011" s="2" t="s">
        <v>30</v>
      </c>
      <c r="N1011" s="2" t="s">
        <v>162</v>
      </c>
      <c r="O1011" s="2" t="s">
        <v>163</v>
      </c>
      <c r="P1011" s="4">
        <v>153.75450000000001</v>
      </c>
      <c r="Q1011" s="4">
        <v>4</v>
      </c>
      <c r="R1011" s="4">
        <v>-41.252099999999999</v>
      </c>
      <c r="S1011" s="2" t="s">
        <v>65</v>
      </c>
      <c r="T1011" s="2" t="s">
        <v>93</v>
      </c>
    </row>
    <row r="1012" spans="1:20" x14ac:dyDescent="0.25">
      <c r="A1012" s="2" t="s">
        <v>2102</v>
      </c>
      <c r="B1012" s="3">
        <v>42439</v>
      </c>
      <c r="C1012" s="3">
        <v>42441</v>
      </c>
      <c r="D1012" s="2" t="s">
        <v>55</v>
      </c>
      <c r="E1012" s="2" t="s">
        <v>791</v>
      </c>
      <c r="F1012" s="2" t="s">
        <v>792</v>
      </c>
      <c r="G1012" s="2" t="s">
        <v>24</v>
      </c>
      <c r="H1012" s="2" t="s">
        <v>25</v>
      </c>
      <c r="I1012" s="2" t="s">
        <v>666</v>
      </c>
      <c r="J1012" s="2" t="s">
        <v>667</v>
      </c>
      <c r="K1012" s="2" t="s">
        <v>28</v>
      </c>
      <c r="L1012" s="2" t="s">
        <v>45</v>
      </c>
      <c r="M1012" s="2" t="s">
        <v>30</v>
      </c>
      <c r="N1012" s="2" t="s">
        <v>31</v>
      </c>
      <c r="O1012" s="2" t="s">
        <v>46</v>
      </c>
      <c r="P1012" s="4">
        <v>38.9373</v>
      </c>
      <c r="Q1012" s="4">
        <v>2</v>
      </c>
      <c r="R1012" s="4">
        <v>4.9980000000000002</v>
      </c>
      <c r="S1012" s="2" t="s">
        <v>53</v>
      </c>
      <c r="T1012" s="2" t="s">
        <v>44</v>
      </c>
    </row>
    <row r="1013" spans="1:20" x14ac:dyDescent="0.25">
      <c r="A1013" s="2" t="s">
        <v>2103</v>
      </c>
      <c r="B1013" s="3">
        <v>42924</v>
      </c>
      <c r="C1013" s="3">
        <v>42930</v>
      </c>
      <c r="D1013" s="2" t="s">
        <v>55</v>
      </c>
      <c r="E1013" s="2" t="s">
        <v>1684</v>
      </c>
      <c r="F1013" s="2" t="s">
        <v>1685</v>
      </c>
      <c r="G1013" s="2" t="s">
        <v>58</v>
      </c>
      <c r="H1013" s="2" t="s">
        <v>25</v>
      </c>
      <c r="I1013" s="2" t="s">
        <v>917</v>
      </c>
      <c r="J1013" s="2" t="s">
        <v>120</v>
      </c>
      <c r="K1013" s="2" t="s">
        <v>61</v>
      </c>
      <c r="L1013" s="2" t="s">
        <v>323</v>
      </c>
      <c r="M1013" s="2" t="s">
        <v>30</v>
      </c>
      <c r="N1013" s="2" t="s">
        <v>31</v>
      </c>
      <c r="O1013" s="2" t="s">
        <v>324</v>
      </c>
      <c r="P1013" s="4">
        <v>74.149699999999996</v>
      </c>
      <c r="Q1013" s="4">
        <v>7</v>
      </c>
      <c r="R1013" s="4">
        <v>44.903399999999998</v>
      </c>
      <c r="S1013" s="2" t="s">
        <v>65</v>
      </c>
      <c r="T1013" s="2" t="s">
        <v>86</v>
      </c>
    </row>
    <row r="1014" spans="1:20" x14ac:dyDescent="0.25">
      <c r="A1014" s="2" t="s">
        <v>2104</v>
      </c>
      <c r="B1014" s="3">
        <v>41696</v>
      </c>
      <c r="C1014" s="3">
        <v>41698</v>
      </c>
      <c r="D1014" s="2" t="s">
        <v>21</v>
      </c>
      <c r="E1014" s="2" t="s">
        <v>231</v>
      </c>
      <c r="F1014" s="2" t="s">
        <v>232</v>
      </c>
      <c r="G1014" s="2" t="s">
        <v>58</v>
      </c>
      <c r="H1014" s="2" t="s">
        <v>25</v>
      </c>
      <c r="I1014" s="2" t="s">
        <v>491</v>
      </c>
      <c r="J1014" s="2" t="s">
        <v>310</v>
      </c>
      <c r="K1014" s="2" t="s">
        <v>28</v>
      </c>
      <c r="L1014" s="2" t="s">
        <v>207</v>
      </c>
      <c r="M1014" s="2" t="s">
        <v>30</v>
      </c>
      <c r="N1014" s="2" t="s">
        <v>31</v>
      </c>
      <c r="O1014" s="2" t="s">
        <v>208</v>
      </c>
      <c r="P1014" s="4">
        <v>748.59050000000002</v>
      </c>
      <c r="Q1014" s="4">
        <v>2</v>
      </c>
      <c r="R1014" s="4">
        <v>9.9419000000000004</v>
      </c>
      <c r="S1014" s="2" t="s">
        <v>53</v>
      </c>
      <c r="T1014" s="2" t="s">
        <v>101</v>
      </c>
    </row>
    <row r="1015" spans="1:20" x14ac:dyDescent="0.25">
      <c r="A1015" s="2" t="s">
        <v>2105</v>
      </c>
      <c r="B1015" s="3">
        <v>42248</v>
      </c>
      <c r="C1015" s="3">
        <v>42250</v>
      </c>
      <c r="D1015" s="2" t="s">
        <v>55</v>
      </c>
      <c r="E1015" s="2" t="s">
        <v>2106</v>
      </c>
      <c r="F1015" s="2" t="s">
        <v>2107</v>
      </c>
      <c r="G1015" s="2" t="s">
        <v>24</v>
      </c>
      <c r="H1015" s="2" t="s">
        <v>25</v>
      </c>
      <c r="I1015" s="2" t="s">
        <v>394</v>
      </c>
      <c r="J1015" s="2" t="s">
        <v>289</v>
      </c>
      <c r="K1015" s="2" t="s">
        <v>82</v>
      </c>
      <c r="L1015" s="2" t="s">
        <v>29</v>
      </c>
      <c r="M1015" s="2" t="s">
        <v>30</v>
      </c>
      <c r="N1015" s="2" t="s">
        <v>31</v>
      </c>
      <c r="O1015" s="2" t="s">
        <v>32</v>
      </c>
      <c r="P1015" s="4">
        <v>15.52</v>
      </c>
      <c r="Q1015" s="4">
        <v>1</v>
      </c>
      <c r="R1015" s="4">
        <v>3.9788999999999999</v>
      </c>
      <c r="S1015" s="2" t="s">
        <v>53</v>
      </c>
      <c r="T1015" s="2" t="s">
        <v>148</v>
      </c>
    </row>
    <row r="1016" spans="1:20" x14ac:dyDescent="0.25">
      <c r="A1016" s="2" t="s">
        <v>2108</v>
      </c>
      <c r="B1016" s="3">
        <v>41851</v>
      </c>
      <c r="C1016" s="3">
        <v>41853</v>
      </c>
      <c r="D1016" s="2" t="s">
        <v>55</v>
      </c>
      <c r="E1016" s="2" t="s">
        <v>2109</v>
      </c>
      <c r="F1016" s="2" t="s">
        <v>2110</v>
      </c>
      <c r="G1016" s="2" t="s">
        <v>24</v>
      </c>
      <c r="H1016" s="2" t="s">
        <v>25</v>
      </c>
      <c r="I1016" s="2" t="s">
        <v>1212</v>
      </c>
      <c r="J1016" s="2" t="s">
        <v>496</v>
      </c>
      <c r="K1016" s="2" t="s">
        <v>147</v>
      </c>
      <c r="L1016" s="2" t="s">
        <v>283</v>
      </c>
      <c r="M1016" s="2" t="s">
        <v>30</v>
      </c>
      <c r="N1016" s="2" t="s">
        <v>162</v>
      </c>
      <c r="O1016" s="2" t="s">
        <v>284</v>
      </c>
      <c r="P1016" s="4">
        <v>422.01319999999998</v>
      </c>
      <c r="Q1016" s="4">
        <v>4</v>
      </c>
      <c r="R1016" s="4">
        <v>180.29060000000001</v>
      </c>
      <c r="S1016" s="2" t="s">
        <v>53</v>
      </c>
      <c r="T1016" s="2" t="s">
        <v>86</v>
      </c>
    </row>
    <row r="1017" spans="1:20" x14ac:dyDescent="0.25">
      <c r="A1017" s="2" t="s">
        <v>2111</v>
      </c>
      <c r="B1017" s="3">
        <v>42065</v>
      </c>
      <c r="C1017" s="3">
        <v>42066</v>
      </c>
      <c r="D1017" s="2" t="s">
        <v>55</v>
      </c>
      <c r="E1017" s="2" t="s">
        <v>1986</v>
      </c>
      <c r="F1017" s="2" t="s">
        <v>1987</v>
      </c>
      <c r="G1017" s="2" t="s">
        <v>58</v>
      </c>
      <c r="H1017" s="2" t="s">
        <v>25</v>
      </c>
      <c r="I1017" s="2" t="s">
        <v>847</v>
      </c>
      <c r="J1017" s="2" t="s">
        <v>728</v>
      </c>
      <c r="K1017" s="2" t="s">
        <v>147</v>
      </c>
      <c r="L1017" s="2" t="s">
        <v>283</v>
      </c>
      <c r="M1017" s="2" t="s">
        <v>30</v>
      </c>
      <c r="N1017" s="2" t="s">
        <v>162</v>
      </c>
      <c r="O1017" s="2" t="s">
        <v>284</v>
      </c>
      <c r="P1017" s="4">
        <v>137.7766</v>
      </c>
      <c r="Q1017" s="4">
        <v>3</v>
      </c>
      <c r="R1017" s="4">
        <v>-18.552900000000001</v>
      </c>
      <c r="S1017" s="2" t="s">
        <v>33</v>
      </c>
      <c r="T1017" s="2" t="s">
        <v>44</v>
      </c>
    </row>
    <row r="1018" spans="1:20" x14ac:dyDescent="0.25">
      <c r="A1018" s="2" t="s">
        <v>2112</v>
      </c>
      <c r="B1018" s="3">
        <v>42937</v>
      </c>
      <c r="C1018" s="3">
        <v>42942</v>
      </c>
      <c r="D1018" s="2" t="s">
        <v>55</v>
      </c>
      <c r="E1018" s="2" t="s">
        <v>1057</v>
      </c>
      <c r="F1018" s="2" t="s">
        <v>1058</v>
      </c>
      <c r="G1018" s="2" t="s">
        <v>58</v>
      </c>
      <c r="H1018" s="2" t="s">
        <v>25</v>
      </c>
      <c r="I1018" s="2" t="s">
        <v>152</v>
      </c>
      <c r="J1018" s="2" t="s">
        <v>153</v>
      </c>
      <c r="K1018" s="2" t="s">
        <v>147</v>
      </c>
      <c r="L1018" s="2" t="s">
        <v>612</v>
      </c>
      <c r="M1018" s="2" t="s">
        <v>30</v>
      </c>
      <c r="N1018" s="2" t="s">
        <v>162</v>
      </c>
      <c r="O1018" s="2" t="s">
        <v>613</v>
      </c>
      <c r="P1018" s="4">
        <v>884.22739999999999</v>
      </c>
      <c r="Q1018" s="4">
        <v>4</v>
      </c>
      <c r="R1018" s="4">
        <v>-106.62439999999999</v>
      </c>
      <c r="S1018" s="2" t="s">
        <v>85</v>
      </c>
      <c r="T1018" s="2" t="s">
        <v>86</v>
      </c>
    </row>
    <row r="1019" spans="1:20" x14ac:dyDescent="0.25">
      <c r="A1019" s="2" t="s">
        <v>2112</v>
      </c>
      <c r="B1019" s="3">
        <v>42937</v>
      </c>
      <c r="C1019" s="3">
        <v>42942</v>
      </c>
      <c r="D1019" s="2" t="s">
        <v>55</v>
      </c>
      <c r="E1019" s="2" t="s">
        <v>1057</v>
      </c>
      <c r="F1019" s="2" t="s">
        <v>1058</v>
      </c>
      <c r="G1019" s="2" t="s">
        <v>58</v>
      </c>
      <c r="H1019" s="2" t="s">
        <v>25</v>
      </c>
      <c r="I1019" s="2" t="s">
        <v>152</v>
      </c>
      <c r="J1019" s="2" t="s">
        <v>153</v>
      </c>
      <c r="K1019" s="2" t="s">
        <v>147</v>
      </c>
      <c r="L1019" s="2" t="s">
        <v>174</v>
      </c>
      <c r="M1019" s="2" t="s">
        <v>30</v>
      </c>
      <c r="N1019" s="2" t="s">
        <v>31</v>
      </c>
      <c r="O1019" s="2" t="s">
        <v>175</v>
      </c>
      <c r="P1019" s="4">
        <v>4.6151</v>
      </c>
      <c r="Q1019" s="4">
        <v>3</v>
      </c>
      <c r="R1019" s="4">
        <v>2.7505999999999999</v>
      </c>
      <c r="S1019" s="2" t="s">
        <v>85</v>
      </c>
      <c r="T1019" s="2" t="s">
        <v>86</v>
      </c>
    </row>
    <row r="1020" spans="1:20" x14ac:dyDescent="0.25">
      <c r="A1020" s="2" t="s">
        <v>2112</v>
      </c>
      <c r="B1020" s="3">
        <v>42937</v>
      </c>
      <c r="C1020" s="3">
        <v>42942</v>
      </c>
      <c r="D1020" s="2" t="s">
        <v>55</v>
      </c>
      <c r="E1020" s="2" t="s">
        <v>1057</v>
      </c>
      <c r="F1020" s="2" t="s">
        <v>1058</v>
      </c>
      <c r="G1020" s="2" t="s">
        <v>58</v>
      </c>
      <c r="H1020" s="2" t="s">
        <v>25</v>
      </c>
      <c r="I1020" s="2" t="s">
        <v>152</v>
      </c>
      <c r="J1020" s="2" t="s">
        <v>153</v>
      </c>
      <c r="K1020" s="2" t="s">
        <v>147</v>
      </c>
      <c r="L1020" s="2" t="s">
        <v>154</v>
      </c>
      <c r="M1020" s="2" t="s">
        <v>30</v>
      </c>
      <c r="N1020" s="2" t="s">
        <v>42</v>
      </c>
      <c r="O1020" s="2" t="s">
        <v>155</v>
      </c>
      <c r="P1020" s="4">
        <v>519.69470000000001</v>
      </c>
      <c r="Q1020" s="4">
        <v>2</v>
      </c>
      <c r="R1020" s="4">
        <v>191.79589999999999</v>
      </c>
      <c r="S1020" s="2" t="s">
        <v>85</v>
      </c>
      <c r="T1020" s="2" t="s">
        <v>86</v>
      </c>
    </row>
    <row r="1021" spans="1:20" x14ac:dyDescent="0.25">
      <c r="A1021" s="2" t="s">
        <v>2112</v>
      </c>
      <c r="B1021" s="3">
        <v>42937</v>
      </c>
      <c r="C1021" s="3">
        <v>42942</v>
      </c>
      <c r="D1021" s="2" t="s">
        <v>55</v>
      </c>
      <c r="E1021" s="2" t="s">
        <v>1057</v>
      </c>
      <c r="F1021" s="2" t="s">
        <v>1058</v>
      </c>
      <c r="G1021" s="2" t="s">
        <v>58</v>
      </c>
      <c r="H1021" s="2" t="s">
        <v>25</v>
      </c>
      <c r="I1021" s="2" t="s">
        <v>152</v>
      </c>
      <c r="J1021" s="2" t="s">
        <v>153</v>
      </c>
      <c r="K1021" s="2" t="s">
        <v>147</v>
      </c>
      <c r="L1021" s="2" t="s">
        <v>73</v>
      </c>
      <c r="M1021" s="2" t="s">
        <v>30</v>
      </c>
      <c r="N1021" s="2" t="s">
        <v>42</v>
      </c>
      <c r="O1021" s="2" t="s">
        <v>74</v>
      </c>
      <c r="P1021" s="4">
        <v>264.78280000000001</v>
      </c>
      <c r="Q1021" s="4">
        <v>5</v>
      </c>
      <c r="R1021" s="4">
        <v>32.860799999999998</v>
      </c>
      <c r="S1021" s="2" t="s">
        <v>85</v>
      </c>
      <c r="T1021" s="2" t="s">
        <v>86</v>
      </c>
    </row>
    <row r="1022" spans="1:20" x14ac:dyDescent="0.25">
      <c r="A1022" s="2" t="s">
        <v>2113</v>
      </c>
      <c r="B1022" s="3">
        <v>42034</v>
      </c>
      <c r="C1022" s="3">
        <v>42037</v>
      </c>
      <c r="D1022" s="2" t="s">
        <v>55</v>
      </c>
      <c r="E1022" s="2" t="s">
        <v>2106</v>
      </c>
      <c r="F1022" s="2" t="s">
        <v>2107</v>
      </c>
      <c r="G1022" s="2" t="s">
        <v>58</v>
      </c>
      <c r="H1022" s="2" t="s">
        <v>25</v>
      </c>
      <c r="I1022" s="2" t="s">
        <v>760</v>
      </c>
      <c r="J1022" s="2" t="s">
        <v>112</v>
      </c>
      <c r="K1022" s="2" t="s">
        <v>28</v>
      </c>
      <c r="L1022" s="2" t="s">
        <v>73</v>
      </c>
      <c r="M1022" s="2" t="s">
        <v>30</v>
      </c>
      <c r="N1022" s="2" t="s">
        <v>42</v>
      </c>
      <c r="O1022" s="2" t="s">
        <v>74</v>
      </c>
      <c r="P1022" s="4">
        <v>602.46780000000001</v>
      </c>
      <c r="Q1022" s="4">
        <v>5</v>
      </c>
      <c r="R1022" s="4">
        <v>149.9006</v>
      </c>
      <c r="S1022" s="2" t="s">
        <v>92</v>
      </c>
      <c r="T1022" s="2" t="s">
        <v>115</v>
      </c>
    </row>
    <row r="1023" spans="1:20" x14ac:dyDescent="0.25">
      <c r="A1023" s="2" t="s">
        <v>2114</v>
      </c>
      <c r="B1023" s="3">
        <v>43056</v>
      </c>
      <c r="C1023" s="3">
        <v>43058</v>
      </c>
      <c r="D1023" s="2" t="s">
        <v>21</v>
      </c>
      <c r="E1023" s="2" t="s">
        <v>1812</v>
      </c>
      <c r="F1023" s="2" t="s">
        <v>1813</v>
      </c>
      <c r="G1023" s="2" t="s">
        <v>58</v>
      </c>
      <c r="H1023" s="2" t="s">
        <v>25</v>
      </c>
      <c r="I1023" s="2" t="s">
        <v>51</v>
      </c>
      <c r="J1023" s="2" t="s">
        <v>52</v>
      </c>
      <c r="K1023" s="2" t="s">
        <v>28</v>
      </c>
      <c r="L1023" s="2" t="s">
        <v>45</v>
      </c>
      <c r="M1023" s="2" t="s">
        <v>30</v>
      </c>
      <c r="N1023" s="2" t="s">
        <v>31</v>
      </c>
      <c r="O1023" s="2" t="s">
        <v>46</v>
      </c>
      <c r="P1023" s="4">
        <v>28.206600000000002</v>
      </c>
      <c r="Q1023" s="4">
        <v>3</v>
      </c>
      <c r="R1023" s="4">
        <v>-0.6855</v>
      </c>
      <c r="S1023" s="2" t="s">
        <v>53</v>
      </c>
      <c r="T1023" s="2" t="s">
        <v>93</v>
      </c>
    </row>
    <row r="1024" spans="1:20" x14ac:dyDescent="0.25">
      <c r="A1024" s="2" t="s">
        <v>2115</v>
      </c>
      <c r="B1024" s="3">
        <v>42689</v>
      </c>
      <c r="C1024" s="3">
        <v>42695</v>
      </c>
      <c r="D1024" s="2" t="s">
        <v>55</v>
      </c>
      <c r="E1024" s="2" t="s">
        <v>951</v>
      </c>
      <c r="F1024" s="2" t="s">
        <v>952</v>
      </c>
      <c r="G1024" s="2" t="s">
        <v>58</v>
      </c>
      <c r="H1024" s="2" t="s">
        <v>25</v>
      </c>
      <c r="I1024" s="2" t="s">
        <v>649</v>
      </c>
      <c r="J1024" s="2" t="s">
        <v>279</v>
      </c>
      <c r="K1024" s="2" t="s">
        <v>28</v>
      </c>
      <c r="L1024" s="2" t="s">
        <v>29</v>
      </c>
      <c r="M1024" s="2" t="s">
        <v>30</v>
      </c>
      <c r="N1024" s="2" t="s">
        <v>31</v>
      </c>
      <c r="O1024" s="2" t="s">
        <v>32</v>
      </c>
      <c r="P1024" s="4">
        <v>443.51949999999999</v>
      </c>
      <c r="Q1024" s="4">
        <v>2</v>
      </c>
      <c r="R1024" s="4">
        <v>234.83940000000001</v>
      </c>
      <c r="S1024" s="2" t="s">
        <v>65</v>
      </c>
      <c r="T1024" s="2" t="s">
        <v>93</v>
      </c>
    </row>
    <row r="1025" spans="1:20" x14ac:dyDescent="0.25">
      <c r="A1025" s="2" t="s">
        <v>2116</v>
      </c>
      <c r="B1025" s="3">
        <v>42278</v>
      </c>
      <c r="C1025" s="3">
        <v>42282</v>
      </c>
      <c r="D1025" s="2" t="s">
        <v>55</v>
      </c>
      <c r="E1025" s="2" t="s">
        <v>1799</v>
      </c>
      <c r="F1025" s="2" t="s">
        <v>1800</v>
      </c>
      <c r="G1025" s="2" t="s">
        <v>24</v>
      </c>
      <c r="H1025" s="2" t="s">
        <v>25</v>
      </c>
      <c r="I1025" s="2" t="s">
        <v>829</v>
      </c>
      <c r="J1025" s="2" t="s">
        <v>199</v>
      </c>
      <c r="K1025" s="2" t="s">
        <v>82</v>
      </c>
      <c r="L1025" s="2" t="s">
        <v>29</v>
      </c>
      <c r="M1025" s="2" t="s">
        <v>30</v>
      </c>
      <c r="N1025" s="2" t="s">
        <v>31</v>
      </c>
      <c r="O1025" s="2" t="s">
        <v>32</v>
      </c>
      <c r="P1025" s="4">
        <v>99.495599999999996</v>
      </c>
      <c r="Q1025" s="4">
        <v>2</v>
      </c>
      <c r="R1025" s="4">
        <v>-5.4047000000000001</v>
      </c>
      <c r="S1025" s="2" t="s">
        <v>75</v>
      </c>
      <c r="T1025" s="2" t="s">
        <v>224</v>
      </c>
    </row>
    <row r="1026" spans="1:20" x14ac:dyDescent="0.25">
      <c r="A1026" s="2" t="s">
        <v>2117</v>
      </c>
      <c r="B1026" s="3">
        <v>42424</v>
      </c>
      <c r="C1026" s="3">
        <v>42424</v>
      </c>
      <c r="D1026" s="2" t="s">
        <v>55</v>
      </c>
      <c r="E1026" s="2" t="s">
        <v>920</v>
      </c>
      <c r="F1026" s="2" t="s">
        <v>921</v>
      </c>
      <c r="G1026" s="2" t="s">
        <v>38</v>
      </c>
      <c r="H1026" s="2" t="s">
        <v>25</v>
      </c>
      <c r="I1026" s="2" t="s">
        <v>799</v>
      </c>
      <c r="J1026" s="2" t="s">
        <v>160</v>
      </c>
      <c r="K1026" s="2" t="s">
        <v>61</v>
      </c>
      <c r="L1026" s="2" t="s">
        <v>193</v>
      </c>
      <c r="M1026" s="2" t="s">
        <v>30</v>
      </c>
      <c r="N1026" s="2" t="s">
        <v>42</v>
      </c>
      <c r="O1026" s="2" t="s">
        <v>194</v>
      </c>
      <c r="P1026" s="4">
        <v>167.4426</v>
      </c>
      <c r="Q1026" s="4">
        <v>3</v>
      </c>
      <c r="R1026" s="4">
        <v>88.827699999999993</v>
      </c>
      <c r="S1026" s="2" t="s">
        <v>121</v>
      </c>
      <c r="T1026" s="2" t="s">
        <v>101</v>
      </c>
    </row>
    <row r="1027" spans="1:20" x14ac:dyDescent="0.25">
      <c r="A1027" s="2" t="s">
        <v>2117</v>
      </c>
      <c r="B1027" s="3">
        <v>42424</v>
      </c>
      <c r="C1027" s="3">
        <v>42424</v>
      </c>
      <c r="D1027" s="2" t="s">
        <v>55</v>
      </c>
      <c r="E1027" s="2" t="s">
        <v>920</v>
      </c>
      <c r="F1027" s="2" t="s">
        <v>921</v>
      </c>
      <c r="G1027" s="2" t="s">
        <v>38</v>
      </c>
      <c r="H1027" s="2" t="s">
        <v>25</v>
      </c>
      <c r="I1027" s="2" t="s">
        <v>799</v>
      </c>
      <c r="J1027" s="2" t="s">
        <v>160</v>
      </c>
      <c r="K1027" s="2" t="s">
        <v>61</v>
      </c>
      <c r="L1027" s="2" t="s">
        <v>99</v>
      </c>
      <c r="M1027" s="2" t="s">
        <v>30</v>
      </c>
      <c r="N1027" s="2" t="s">
        <v>42</v>
      </c>
      <c r="O1027" s="2" t="s">
        <v>100</v>
      </c>
      <c r="P1027" s="4">
        <v>343.5813</v>
      </c>
      <c r="Q1027" s="4">
        <v>4</v>
      </c>
      <c r="R1027" s="4">
        <v>33.374600000000001</v>
      </c>
      <c r="S1027" s="2" t="s">
        <v>121</v>
      </c>
      <c r="T1027" s="2" t="s">
        <v>101</v>
      </c>
    </row>
    <row r="1028" spans="1:20" x14ac:dyDescent="0.25">
      <c r="A1028" s="2" t="s">
        <v>2117</v>
      </c>
      <c r="B1028" s="3">
        <v>42424</v>
      </c>
      <c r="C1028" s="3">
        <v>42424</v>
      </c>
      <c r="D1028" s="2" t="s">
        <v>55</v>
      </c>
      <c r="E1028" s="2" t="s">
        <v>920</v>
      </c>
      <c r="F1028" s="2" t="s">
        <v>921</v>
      </c>
      <c r="G1028" s="2" t="s">
        <v>38</v>
      </c>
      <c r="H1028" s="2" t="s">
        <v>25</v>
      </c>
      <c r="I1028" s="2" t="s">
        <v>799</v>
      </c>
      <c r="J1028" s="2" t="s">
        <v>160</v>
      </c>
      <c r="K1028" s="2" t="s">
        <v>61</v>
      </c>
      <c r="L1028" s="2" t="s">
        <v>113</v>
      </c>
      <c r="M1028" s="2" t="s">
        <v>30</v>
      </c>
      <c r="N1028" s="2" t="s">
        <v>31</v>
      </c>
      <c r="O1028" s="2" t="s">
        <v>114</v>
      </c>
      <c r="P1028" s="4">
        <v>148.6319</v>
      </c>
      <c r="Q1028" s="4">
        <v>2</v>
      </c>
      <c r="R1028" s="4">
        <v>58.914700000000003</v>
      </c>
      <c r="S1028" s="2" t="s">
        <v>121</v>
      </c>
      <c r="T1028" s="2" t="s">
        <v>101</v>
      </c>
    </row>
    <row r="1029" spans="1:20" x14ac:dyDescent="0.25">
      <c r="A1029" s="2" t="s">
        <v>2118</v>
      </c>
      <c r="B1029" s="3">
        <v>42361</v>
      </c>
      <c r="C1029" s="3">
        <v>42362</v>
      </c>
      <c r="D1029" s="2" t="s">
        <v>55</v>
      </c>
      <c r="E1029" s="2" t="s">
        <v>2119</v>
      </c>
      <c r="F1029" s="2" t="s">
        <v>2120</v>
      </c>
      <c r="G1029" s="2" t="s">
        <v>58</v>
      </c>
      <c r="H1029" s="2" t="s">
        <v>25</v>
      </c>
      <c r="I1029" s="2" t="s">
        <v>1055</v>
      </c>
      <c r="J1029" s="2" t="s">
        <v>106</v>
      </c>
      <c r="K1029" s="2" t="s">
        <v>61</v>
      </c>
      <c r="L1029" s="2" t="s">
        <v>316</v>
      </c>
      <c r="M1029" s="2" t="s">
        <v>30</v>
      </c>
      <c r="N1029" s="2" t="s">
        <v>42</v>
      </c>
      <c r="O1029" s="2" t="s">
        <v>317</v>
      </c>
      <c r="P1029" s="4">
        <v>295.91129999999998</v>
      </c>
      <c r="Q1029" s="4">
        <v>3</v>
      </c>
      <c r="R1029" s="4">
        <v>84.105199999999996</v>
      </c>
      <c r="S1029" s="2" t="s">
        <v>33</v>
      </c>
      <c r="T1029" s="2" t="s">
        <v>76</v>
      </c>
    </row>
    <row r="1030" spans="1:20" x14ac:dyDescent="0.25">
      <c r="A1030" s="2" t="s">
        <v>2121</v>
      </c>
      <c r="B1030" s="3">
        <v>42283</v>
      </c>
      <c r="C1030" s="3">
        <v>42288</v>
      </c>
      <c r="D1030" s="2" t="s">
        <v>55</v>
      </c>
      <c r="E1030" s="2" t="s">
        <v>1910</v>
      </c>
      <c r="F1030" s="2" t="s">
        <v>1911</v>
      </c>
      <c r="G1030" s="2" t="s">
        <v>58</v>
      </c>
      <c r="H1030" s="2" t="s">
        <v>25</v>
      </c>
      <c r="I1030" s="2" t="s">
        <v>779</v>
      </c>
      <c r="J1030" s="2" t="s">
        <v>356</v>
      </c>
      <c r="K1030" s="2" t="s">
        <v>147</v>
      </c>
      <c r="L1030" s="2" t="s">
        <v>45</v>
      </c>
      <c r="M1030" s="2" t="s">
        <v>30</v>
      </c>
      <c r="N1030" s="2" t="s">
        <v>31</v>
      </c>
      <c r="O1030" s="2" t="s">
        <v>46</v>
      </c>
      <c r="P1030" s="4">
        <v>14.050800000000001</v>
      </c>
      <c r="Q1030" s="4">
        <v>4</v>
      </c>
      <c r="R1030" s="4">
        <v>7.1166</v>
      </c>
      <c r="S1030" s="2" t="s">
        <v>85</v>
      </c>
      <c r="T1030" s="2" t="s">
        <v>224</v>
      </c>
    </row>
    <row r="1031" spans="1:20" x14ac:dyDescent="0.25">
      <c r="A1031" s="2" t="s">
        <v>2121</v>
      </c>
      <c r="B1031" s="3">
        <v>42283</v>
      </c>
      <c r="C1031" s="3">
        <v>42288</v>
      </c>
      <c r="D1031" s="2" t="s">
        <v>55</v>
      </c>
      <c r="E1031" s="2" t="s">
        <v>1910</v>
      </c>
      <c r="F1031" s="2" t="s">
        <v>1911</v>
      </c>
      <c r="G1031" s="2" t="s">
        <v>58</v>
      </c>
      <c r="H1031" s="2" t="s">
        <v>25</v>
      </c>
      <c r="I1031" s="2" t="s">
        <v>779</v>
      </c>
      <c r="J1031" s="2" t="s">
        <v>356</v>
      </c>
      <c r="K1031" s="2" t="s">
        <v>147</v>
      </c>
      <c r="L1031" s="2" t="s">
        <v>228</v>
      </c>
      <c r="M1031" s="2" t="s">
        <v>30</v>
      </c>
      <c r="N1031" s="2" t="s">
        <v>42</v>
      </c>
      <c r="O1031" s="2" t="s">
        <v>229</v>
      </c>
      <c r="P1031" s="4">
        <v>656.14419999999996</v>
      </c>
      <c r="Q1031" s="4">
        <v>7</v>
      </c>
      <c r="R1031" s="4">
        <v>-276.44729999999998</v>
      </c>
      <c r="S1031" s="2" t="s">
        <v>85</v>
      </c>
      <c r="T1031" s="2" t="s">
        <v>224</v>
      </c>
    </row>
    <row r="1032" spans="1:20" x14ac:dyDescent="0.25">
      <c r="A1032" s="2" t="s">
        <v>2122</v>
      </c>
      <c r="B1032" s="3">
        <v>42719</v>
      </c>
      <c r="C1032" s="3">
        <v>42722</v>
      </c>
      <c r="D1032" s="2" t="s">
        <v>21</v>
      </c>
      <c r="E1032" s="2" t="s">
        <v>405</v>
      </c>
      <c r="F1032" s="2" t="s">
        <v>406</v>
      </c>
      <c r="G1032" s="2" t="s">
        <v>38</v>
      </c>
      <c r="H1032" s="2" t="s">
        <v>25</v>
      </c>
      <c r="I1032" s="2" t="s">
        <v>274</v>
      </c>
      <c r="J1032" s="2" t="s">
        <v>146</v>
      </c>
      <c r="K1032" s="2" t="s">
        <v>147</v>
      </c>
      <c r="L1032" s="2" t="s">
        <v>228</v>
      </c>
      <c r="M1032" s="2" t="s">
        <v>30</v>
      </c>
      <c r="N1032" s="2" t="s">
        <v>42</v>
      </c>
      <c r="O1032" s="2" t="s">
        <v>229</v>
      </c>
      <c r="P1032" s="4">
        <v>773.2885</v>
      </c>
      <c r="Q1032" s="4">
        <v>2</v>
      </c>
      <c r="R1032" s="4">
        <v>103.6765</v>
      </c>
      <c r="S1032" s="2" t="s">
        <v>92</v>
      </c>
      <c r="T1032" s="2" t="s">
        <v>76</v>
      </c>
    </row>
    <row r="1033" spans="1:20" x14ac:dyDescent="0.25">
      <c r="A1033" s="2" t="s">
        <v>2123</v>
      </c>
      <c r="B1033" s="3">
        <v>41741</v>
      </c>
      <c r="C1033" s="3">
        <v>41743</v>
      </c>
      <c r="D1033" s="2" t="s">
        <v>55</v>
      </c>
      <c r="E1033" s="2" t="s">
        <v>1031</v>
      </c>
      <c r="F1033" s="2" t="s">
        <v>1032</v>
      </c>
      <c r="G1033" s="2" t="s">
        <v>58</v>
      </c>
      <c r="H1033" s="2" t="s">
        <v>25</v>
      </c>
      <c r="I1033" s="2" t="s">
        <v>1055</v>
      </c>
      <c r="J1033" s="2" t="s">
        <v>106</v>
      </c>
      <c r="K1033" s="2" t="s">
        <v>61</v>
      </c>
      <c r="L1033" s="2" t="s">
        <v>207</v>
      </c>
      <c r="M1033" s="2" t="s">
        <v>30</v>
      </c>
      <c r="N1033" s="2" t="s">
        <v>31</v>
      </c>
      <c r="O1033" s="2" t="s">
        <v>208</v>
      </c>
      <c r="P1033" s="4">
        <v>35.434600000000003</v>
      </c>
      <c r="Q1033" s="4">
        <v>2</v>
      </c>
      <c r="R1033" s="4">
        <v>-12.461600000000001</v>
      </c>
      <c r="S1033" s="2" t="s">
        <v>53</v>
      </c>
      <c r="T1033" s="2" t="s">
        <v>108</v>
      </c>
    </row>
    <row r="1034" spans="1:20" x14ac:dyDescent="0.25">
      <c r="A1034" s="2" t="s">
        <v>2124</v>
      </c>
      <c r="B1034" s="3">
        <v>42820</v>
      </c>
      <c r="C1034" s="3">
        <v>42826</v>
      </c>
      <c r="D1034" s="2" t="s">
        <v>55</v>
      </c>
      <c r="E1034" s="2" t="s">
        <v>1205</v>
      </c>
      <c r="F1034" s="2" t="s">
        <v>1206</v>
      </c>
      <c r="G1034" s="2" t="s">
        <v>58</v>
      </c>
      <c r="H1034" s="2" t="s">
        <v>25</v>
      </c>
      <c r="I1034" s="2" t="s">
        <v>184</v>
      </c>
      <c r="J1034" s="2" t="s">
        <v>185</v>
      </c>
      <c r="K1034" s="2" t="s">
        <v>147</v>
      </c>
      <c r="L1034" s="2" t="s">
        <v>820</v>
      </c>
      <c r="M1034" s="2" t="s">
        <v>30</v>
      </c>
      <c r="N1034" s="2" t="s">
        <v>162</v>
      </c>
      <c r="O1034" s="2" t="s">
        <v>821</v>
      </c>
      <c r="P1034" s="4">
        <v>1572.6960999999999</v>
      </c>
      <c r="Q1034" s="4">
        <v>6</v>
      </c>
      <c r="R1034" s="4">
        <v>-181.9091</v>
      </c>
      <c r="S1034" s="2" t="s">
        <v>65</v>
      </c>
      <c r="T1034" s="2" t="s">
        <v>44</v>
      </c>
    </row>
    <row r="1035" spans="1:20" x14ac:dyDescent="0.25">
      <c r="A1035" s="2" t="s">
        <v>2125</v>
      </c>
      <c r="B1035" s="3">
        <v>41720</v>
      </c>
      <c r="C1035" s="3">
        <v>41722</v>
      </c>
      <c r="D1035" s="2" t="s">
        <v>21</v>
      </c>
      <c r="E1035" s="2" t="s">
        <v>1821</v>
      </c>
      <c r="F1035" s="2" t="s">
        <v>1822</v>
      </c>
      <c r="G1035" s="2" t="s">
        <v>58</v>
      </c>
      <c r="H1035" s="2" t="s">
        <v>25</v>
      </c>
      <c r="I1035" s="2" t="s">
        <v>1381</v>
      </c>
      <c r="J1035" s="2" t="s">
        <v>127</v>
      </c>
      <c r="K1035" s="2" t="s">
        <v>82</v>
      </c>
      <c r="L1035" s="2" t="s">
        <v>73</v>
      </c>
      <c r="M1035" s="2" t="s">
        <v>30</v>
      </c>
      <c r="N1035" s="2" t="s">
        <v>42</v>
      </c>
      <c r="O1035" s="2" t="s">
        <v>74</v>
      </c>
      <c r="P1035" s="4">
        <v>585.36800000000005</v>
      </c>
      <c r="Q1035" s="4">
        <v>4</v>
      </c>
      <c r="R1035" s="4">
        <v>-143.53710000000001</v>
      </c>
      <c r="S1035" s="2" t="s">
        <v>53</v>
      </c>
      <c r="T1035" s="2" t="s">
        <v>44</v>
      </c>
    </row>
    <row r="1036" spans="1:20" x14ac:dyDescent="0.25">
      <c r="A1036" s="2" t="s">
        <v>2126</v>
      </c>
      <c r="B1036" s="3">
        <v>42779</v>
      </c>
      <c r="C1036" s="3">
        <v>42780</v>
      </c>
      <c r="D1036" s="2" t="s">
        <v>55</v>
      </c>
      <c r="E1036" s="2" t="s">
        <v>2127</v>
      </c>
      <c r="F1036" s="2" t="s">
        <v>2128</v>
      </c>
      <c r="G1036" s="2" t="s">
        <v>38</v>
      </c>
      <c r="H1036" s="2" t="s">
        <v>25</v>
      </c>
      <c r="I1036" s="2" t="s">
        <v>288</v>
      </c>
      <c r="J1036" s="2" t="s">
        <v>289</v>
      </c>
      <c r="K1036" s="2" t="s">
        <v>82</v>
      </c>
      <c r="L1036" s="2" t="s">
        <v>252</v>
      </c>
      <c r="M1036" s="2" t="s">
        <v>30</v>
      </c>
      <c r="N1036" s="2" t="s">
        <v>31</v>
      </c>
      <c r="O1036" s="2" t="s">
        <v>253</v>
      </c>
      <c r="P1036" s="4">
        <v>39.476399999999998</v>
      </c>
      <c r="Q1036" s="4">
        <v>4</v>
      </c>
      <c r="R1036" s="4">
        <v>27.374099999999999</v>
      </c>
      <c r="S1036" s="2" t="s">
        <v>33</v>
      </c>
      <c r="T1036" s="2" t="s">
        <v>101</v>
      </c>
    </row>
    <row r="1037" spans="1:20" x14ac:dyDescent="0.25">
      <c r="A1037" s="2" t="s">
        <v>2126</v>
      </c>
      <c r="B1037" s="3">
        <v>42779</v>
      </c>
      <c r="C1037" s="3">
        <v>42780</v>
      </c>
      <c r="D1037" s="2" t="s">
        <v>55</v>
      </c>
      <c r="E1037" s="2" t="s">
        <v>2127</v>
      </c>
      <c r="F1037" s="2" t="s">
        <v>2128</v>
      </c>
      <c r="G1037" s="2" t="s">
        <v>38</v>
      </c>
      <c r="H1037" s="2" t="s">
        <v>25</v>
      </c>
      <c r="I1037" s="2" t="s">
        <v>288</v>
      </c>
      <c r="J1037" s="2" t="s">
        <v>289</v>
      </c>
      <c r="K1037" s="2" t="s">
        <v>82</v>
      </c>
      <c r="L1037" s="2" t="s">
        <v>839</v>
      </c>
      <c r="M1037" s="2" t="s">
        <v>30</v>
      </c>
      <c r="N1037" s="2" t="s">
        <v>63</v>
      </c>
      <c r="O1037" s="2" t="s">
        <v>840</v>
      </c>
      <c r="P1037" s="4">
        <v>176.7587</v>
      </c>
      <c r="Q1037" s="4">
        <v>2</v>
      </c>
      <c r="R1037" s="4">
        <v>30.340199999999999</v>
      </c>
      <c r="S1037" s="2" t="s">
        <v>33</v>
      </c>
      <c r="T1037" s="2" t="s">
        <v>101</v>
      </c>
    </row>
    <row r="1038" spans="1:20" x14ac:dyDescent="0.25">
      <c r="A1038" s="2" t="s">
        <v>2129</v>
      </c>
      <c r="B1038" s="3">
        <v>41661</v>
      </c>
      <c r="C1038" s="3">
        <v>41666</v>
      </c>
      <c r="D1038" s="2" t="s">
        <v>55</v>
      </c>
      <c r="E1038" s="2" t="s">
        <v>2130</v>
      </c>
      <c r="F1038" s="2" t="s">
        <v>2131</v>
      </c>
      <c r="G1038" s="2" t="s">
        <v>24</v>
      </c>
      <c r="H1038" s="2" t="s">
        <v>25</v>
      </c>
      <c r="I1038" s="2" t="s">
        <v>437</v>
      </c>
      <c r="J1038" s="2" t="s">
        <v>217</v>
      </c>
      <c r="K1038" s="2" t="s">
        <v>82</v>
      </c>
      <c r="L1038" s="2" t="s">
        <v>933</v>
      </c>
      <c r="M1038" s="2" t="s">
        <v>30</v>
      </c>
      <c r="N1038" s="2" t="s">
        <v>162</v>
      </c>
      <c r="O1038" s="2" t="s">
        <v>934</v>
      </c>
      <c r="P1038" s="4">
        <v>104.57769999999999</v>
      </c>
      <c r="Q1038" s="4">
        <v>4</v>
      </c>
      <c r="R1038" s="4">
        <v>22.306100000000001</v>
      </c>
      <c r="S1038" s="2" t="s">
        <v>85</v>
      </c>
      <c r="T1038" s="2" t="s">
        <v>115</v>
      </c>
    </row>
    <row r="1039" spans="1:20" x14ac:dyDescent="0.25">
      <c r="A1039" s="2" t="s">
        <v>2132</v>
      </c>
      <c r="B1039" s="3">
        <v>43049</v>
      </c>
      <c r="C1039" s="3">
        <v>43049</v>
      </c>
      <c r="D1039" s="2" t="s">
        <v>142</v>
      </c>
      <c r="E1039" s="2" t="s">
        <v>1544</v>
      </c>
      <c r="F1039" s="2" t="s">
        <v>1545</v>
      </c>
      <c r="G1039" s="2" t="s">
        <v>24</v>
      </c>
      <c r="H1039" s="2" t="s">
        <v>25</v>
      </c>
      <c r="I1039" s="2" t="s">
        <v>1212</v>
      </c>
      <c r="J1039" s="2" t="s">
        <v>496</v>
      </c>
      <c r="K1039" s="2" t="s">
        <v>147</v>
      </c>
      <c r="L1039" s="2" t="s">
        <v>344</v>
      </c>
      <c r="M1039" s="2" t="s">
        <v>30</v>
      </c>
      <c r="N1039" s="2" t="s">
        <v>42</v>
      </c>
      <c r="O1039" s="2" t="s">
        <v>345</v>
      </c>
      <c r="P1039" s="4">
        <v>386.05759999999998</v>
      </c>
      <c r="Q1039" s="4">
        <v>5</v>
      </c>
      <c r="R1039" s="4">
        <v>-6.9911000000000003</v>
      </c>
      <c r="S1039" s="2" t="s">
        <v>121</v>
      </c>
      <c r="T1039" s="2" t="s">
        <v>93</v>
      </c>
    </row>
    <row r="1040" spans="1:20" x14ac:dyDescent="0.25">
      <c r="A1040" s="2" t="s">
        <v>2133</v>
      </c>
      <c r="B1040" s="3">
        <v>42417</v>
      </c>
      <c r="C1040" s="3">
        <v>42419</v>
      </c>
      <c r="D1040" s="2" t="s">
        <v>55</v>
      </c>
      <c r="E1040" s="2" t="s">
        <v>1922</v>
      </c>
      <c r="F1040" s="2" t="s">
        <v>1923</v>
      </c>
      <c r="G1040" s="2" t="s">
        <v>24</v>
      </c>
      <c r="H1040" s="2" t="s">
        <v>25</v>
      </c>
      <c r="I1040" s="2" t="s">
        <v>371</v>
      </c>
      <c r="J1040" s="2" t="s">
        <v>127</v>
      </c>
      <c r="K1040" s="2" t="s">
        <v>82</v>
      </c>
      <c r="L1040" s="2" t="s">
        <v>45</v>
      </c>
      <c r="M1040" s="2" t="s">
        <v>30</v>
      </c>
      <c r="N1040" s="2" t="s">
        <v>31</v>
      </c>
      <c r="O1040" s="2" t="s">
        <v>46</v>
      </c>
      <c r="P1040" s="4">
        <v>23.936800000000002</v>
      </c>
      <c r="Q1040" s="4">
        <v>10</v>
      </c>
      <c r="R1040" s="4">
        <v>12.3941</v>
      </c>
      <c r="S1040" s="2" t="s">
        <v>53</v>
      </c>
      <c r="T1040" s="2" t="s">
        <v>101</v>
      </c>
    </row>
    <row r="1041" spans="1:20" x14ac:dyDescent="0.25">
      <c r="A1041" s="2" t="s">
        <v>2134</v>
      </c>
      <c r="B1041" s="3">
        <v>42944</v>
      </c>
      <c r="C1041" s="3">
        <v>42946</v>
      </c>
      <c r="D1041" s="2" t="s">
        <v>21</v>
      </c>
      <c r="E1041" s="2" t="s">
        <v>2135</v>
      </c>
      <c r="F1041" s="2" t="s">
        <v>2136</v>
      </c>
      <c r="G1041" s="2" t="s">
        <v>58</v>
      </c>
      <c r="H1041" s="2" t="s">
        <v>25</v>
      </c>
      <c r="I1041" s="2" t="s">
        <v>441</v>
      </c>
      <c r="J1041" s="2" t="s">
        <v>40</v>
      </c>
      <c r="K1041" s="2" t="s">
        <v>28</v>
      </c>
      <c r="L1041" s="2" t="s">
        <v>207</v>
      </c>
      <c r="M1041" s="2" t="s">
        <v>30</v>
      </c>
      <c r="N1041" s="2" t="s">
        <v>31</v>
      </c>
      <c r="O1041" s="2" t="s">
        <v>208</v>
      </c>
      <c r="P1041" s="4">
        <v>33.615099999999998</v>
      </c>
      <c r="Q1041" s="4">
        <v>2</v>
      </c>
      <c r="R1041" s="4">
        <v>5.5496999999999996</v>
      </c>
      <c r="S1041" s="2" t="s">
        <v>53</v>
      </c>
      <c r="T1041" s="2" t="s">
        <v>86</v>
      </c>
    </row>
    <row r="1042" spans="1:20" x14ac:dyDescent="0.25">
      <c r="A1042" s="2" t="s">
        <v>2137</v>
      </c>
      <c r="B1042" s="3">
        <v>41828</v>
      </c>
      <c r="C1042" s="3">
        <v>41829</v>
      </c>
      <c r="D1042" s="2" t="s">
        <v>21</v>
      </c>
      <c r="E1042" s="2" t="s">
        <v>2138</v>
      </c>
      <c r="F1042" s="2" t="s">
        <v>2139</v>
      </c>
      <c r="G1042" s="2" t="s">
        <v>38</v>
      </c>
      <c r="H1042" s="2" t="s">
        <v>25</v>
      </c>
      <c r="I1042" s="2" t="s">
        <v>90</v>
      </c>
      <c r="J1042" s="2" t="s">
        <v>91</v>
      </c>
      <c r="K1042" s="2" t="s">
        <v>61</v>
      </c>
      <c r="L1042" s="2" t="s">
        <v>618</v>
      </c>
      <c r="M1042" s="2" t="s">
        <v>30</v>
      </c>
      <c r="N1042" s="2" t="s">
        <v>63</v>
      </c>
      <c r="O1042" s="2" t="s">
        <v>619</v>
      </c>
      <c r="P1042" s="4">
        <v>352.35320000000002</v>
      </c>
      <c r="Q1042" s="4">
        <v>1</v>
      </c>
      <c r="R1042" s="4">
        <v>32.224800000000002</v>
      </c>
      <c r="S1042" s="2" t="s">
        <v>33</v>
      </c>
      <c r="T1042" s="2" t="s">
        <v>86</v>
      </c>
    </row>
    <row r="1043" spans="1:20" x14ac:dyDescent="0.25">
      <c r="A1043" s="2" t="s">
        <v>2140</v>
      </c>
      <c r="B1043" s="3">
        <v>41763</v>
      </c>
      <c r="C1043" s="3">
        <v>41768</v>
      </c>
      <c r="D1043" s="2" t="s">
        <v>55</v>
      </c>
      <c r="E1043" s="2" t="s">
        <v>2141</v>
      </c>
      <c r="F1043" s="2" t="s">
        <v>2142</v>
      </c>
      <c r="G1043" s="2" t="s">
        <v>38</v>
      </c>
      <c r="H1043" s="2" t="s">
        <v>25</v>
      </c>
      <c r="I1043" s="2" t="s">
        <v>198</v>
      </c>
      <c r="J1043" s="2" t="s">
        <v>199</v>
      </c>
      <c r="K1043" s="2" t="s">
        <v>82</v>
      </c>
      <c r="L1043" s="2" t="s">
        <v>113</v>
      </c>
      <c r="M1043" s="2" t="s">
        <v>30</v>
      </c>
      <c r="N1043" s="2" t="s">
        <v>31</v>
      </c>
      <c r="O1043" s="2" t="s">
        <v>114</v>
      </c>
      <c r="P1043" s="4">
        <v>234.48310000000001</v>
      </c>
      <c r="Q1043" s="4">
        <v>7</v>
      </c>
      <c r="R1043" s="4">
        <v>-111.4709</v>
      </c>
      <c r="S1043" s="2" t="s">
        <v>85</v>
      </c>
      <c r="T1043" s="2" t="s">
        <v>122</v>
      </c>
    </row>
    <row r="1044" spans="1:20" x14ac:dyDescent="0.25">
      <c r="A1044" s="2" t="s">
        <v>2143</v>
      </c>
      <c r="B1044" s="3">
        <v>42692</v>
      </c>
      <c r="C1044" s="3">
        <v>42692</v>
      </c>
      <c r="D1044" s="2" t="s">
        <v>48</v>
      </c>
      <c r="E1044" s="2" t="s">
        <v>2144</v>
      </c>
      <c r="F1044" s="2" t="s">
        <v>2145</v>
      </c>
      <c r="G1044" s="2" t="s">
        <v>38</v>
      </c>
      <c r="H1044" s="2" t="s">
        <v>25</v>
      </c>
      <c r="I1044" s="2" t="s">
        <v>26</v>
      </c>
      <c r="J1044" s="2" t="s">
        <v>27</v>
      </c>
      <c r="K1044" s="2" t="s">
        <v>28</v>
      </c>
      <c r="L1044" s="2" t="s">
        <v>139</v>
      </c>
      <c r="M1044" s="2" t="s">
        <v>30</v>
      </c>
      <c r="N1044" s="2" t="s">
        <v>42</v>
      </c>
      <c r="O1044" s="2" t="s">
        <v>140</v>
      </c>
      <c r="P1044" s="4">
        <v>501.49860000000001</v>
      </c>
      <c r="Q1044" s="4">
        <v>1</v>
      </c>
      <c r="R1044" s="4">
        <v>52.832500000000003</v>
      </c>
      <c r="S1044" s="2" t="s">
        <v>121</v>
      </c>
      <c r="T1044" s="2" t="s">
        <v>93</v>
      </c>
    </row>
    <row r="1045" spans="1:20" x14ac:dyDescent="0.25">
      <c r="A1045" s="2" t="s">
        <v>2143</v>
      </c>
      <c r="B1045" s="3">
        <v>42692</v>
      </c>
      <c r="C1045" s="3">
        <v>42692</v>
      </c>
      <c r="D1045" s="2" t="s">
        <v>48</v>
      </c>
      <c r="E1045" s="2" t="s">
        <v>2144</v>
      </c>
      <c r="F1045" s="2" t="s">
        <v>2145</v>
      </c>
      <c r="G1045" s="2" t="s">
        <v>38</v>
      </c>
      <c r="H1045" s="2" t="s">
        <v>25</v>
      </c>
      <c r="I1045" s="2" t="s">
        <v>26</v>
      </c>
      <c r="J1045" s="2" t="s">
        <v>27</v>
      </c>
      <c r="K1045" s="2" t="s">
        <v>28</v>
      </c>
      <c r="L1045" s="2" t="s">
        <v>113</v>
      </c>
      <c r="M1045" s="2" t="s">
        <v>30</v>
      </c>
      <c r="N1045" s="2" t="s">
        <v>31</v>
      </c>
      <c r="O1045" s="2" t="s">
        <v>114</v>
      </c>
      <c r="P1045" s="4">
        <v>435.49450000000002</v>
      </c>
      <c r="Q1045" s="4">
        <v>2</v>
      </c>
      <c r="R1045" s="4">
        <v>119.7859</v>
      </c>
      <c r="S1045" s="2" t="s">
        <v>121</v>
      </c>
      <c r="T1045" s="2" t="s">
        <v>93</v>
      </c>
    </row>
    <row r="1046" spans="1:20" x14ac:dyDescent="0.25">
      <c r="A1046" s="2" t="s">
        <v>2146</v>
      </c>
      <c r="B1046" s="3">
        <v>42055</v>
      </c>
      <c r="C1046" s="3">
        <v>42055</v>
      </c>
      <c r="D1046" s="2" t="s">
        <v>142</v>
      </c>
      <c r="E1046" s="2" t="s">
        <v>1832</v>
      </c>
      <c r="F1046" s="2" t="s">
        <v>1833</v>
      </c>
      <c r="G1046" s="2" t="s">
        <v>58</v>
      </c>
      <c r="H1046" s="2" t="s">
        <v>25</v>
      </c>
      <c r="I1046" s="2" t="s">
        <v>902</v>
      </c>
      <c r="J1046" s="2" t="s">
        <v>632</v>
      </c>
      <c r="K1046" s="2" t="s">
        <v>82</v>
      </c>
      <c r="L1046" s="2" t="s">
        <v>618</v>
      </c>
      <c r="M1046" s="2" t="s">
        <v>30</v>
      </c>
      <c r="N1046" s="2" t="s">
        <v>63</v>
      </c>
      <c r="O1046" s="2" t="s">
        <v>619</v>
      </c>
      <c r="P1046" s="4">
        <v>58.966700000000003</v>
      </c>
      <c r="Q1046" s="4">
        <v>4</v>
      </c>
      <c r="R1046" s="4">
        <v>-5.4424000000000001</v>
      </c>
      <c r="S1046" s="2" t="s">
        <v>121</v>
      </c>
      <c r="T1046" s="2" t="s">
        <v>101</v>
      </c>
    </row>
    <row r="1047" spans="1:20" x14ac:dyDescent="0.25">
      <c r="A1047" s="2" t="s">
        <v>2147</v>
      </c>
      <c r="B1047" s="3">
        <v>41859</v>
      </c>
      <c r="C1047" s="3">
        <v>41866</v>
      </c>
      <c r="D1047" s="2" t="s">
        <v>55</v>
      </c>
      <c r="E1047" s="2" t="s">
        <v>690</v>
      </c>
      <c r="F1047" s="2" t="s">
        <v>691</v>
      </c>
      <c r="G1047" s="2" t="s">
        <v>58</v>
      </c>
      <c r="H1047" s="2" t="s">
        <v>25</v>
      </c>
      <c r="I1047" s="2" t="s">
        <v>902</v>
      </c>
      <c r="J1047" s="2" t="s">
        <v>632</v>
      </c>
      <c r="K1047" s="2" t="s">
        <v>82</v>
      </c>
      <c r="L1047" s="2" t="s">
        <v>453</v>
      </c>
      <c r="M1047" s="2" t="s">
        <v>30</v>
      </c>
      <c r="N1047" s="2" t="s">
        <v>42</v>
      </c>
      <c r="O1047" s="2" t="s">
        <v>454</v>
      </c>
      <c r="P1047" s="4">
        <v>63.665399999999998</v>
      </c>
      <c r="Q1047" s="4">
        <v>3</v>
      </c>
      <c r="R1047" s="4">
        <v>4.6456</v>
      </c>
      <c r="S1047" s="2" t="s">
        <v>107</v>
      </c>
      <c r="T1047" s="2" t="s">
        <v>34</v>
      </c>
    </row>
    <row r="1048" spans="1:20" x14ac:dyDescent="0.25">
      <c r="A1048" s="2" t="s">
        <v>2148</v>
      </c>
      <c r="B1048" s="3">
        <v>41812</v>
      </c>
      <c r="C1048" s="3">
        <v>41812</v>
      </c>
      <c r="D1048" s="2" t="s">
        <v>55</v>
      </c>
      <c r="E1048" s="2" t="s">
        <v>2149</v>
      </c>
      <c r="F1048" s="2" t="s">
        <v>2150</v>
      </c>
      <c r="G1048" s="2" t="s">
        <v>58</v>
      </c>
      <c r="H1048" s="2" t="s">
        <v>25</v>
      </c>
      <c r="I1048" s="2" t="s">
        <v>639</v>
      </c>
      <c r="J1048" s="2" t="s">
        <v>192</v>
      </c>
      <c r="K1048" s="2" t="s">
        <v>82</v>
      </c>
      <c r="L1048" s="2" t="s">
        <v>41</v>
      </c>
      <c r="M1048" s="2" t="s">
        <v>30</v>
      </c>
      <c r="N1048" s="2" t="s">
        <v>42</v>
      </c>
      <c r="O1048" s="2" t="s">
        <v>43</v>
      </c>
      <c r="P1048" s="4">
        <v>232.3954</v>
      </c>
      <c r="Q1048" s="4">
        <v>4</v>
      </c>
      <c r="R1048" s="4">
        <v>4.2477</v>
      </c>
      <c r="S1048" s="2" t="s">
        <v>121</v>
      </c>
      <c r="T1048" s="2" t="s">
        <v>133</v>
      </c>
    </row>
    <row r="1049" spans="1:20" x14ac:dyDescent="0.25">
      <c r="A1049" s="2" t="s">
        <v>2151</v>
      </c>
      <c r="B1049" s="3">
        <v>42968</v>
      </c>
      <c r="C1049" s="3">
        <v>42975</v>
      </c>
      <c r="D1049" s="2" t="s">
        <v>55</v>
      </c>
      <c r="E1049" s="2" t="s">
        <v>1979</v>
      </c>
      <c r="F1049" s="2" t="s">
        <v>1980</v>
      </c>
      <c r="G1049" s="2" t="s">
        <v>58</v>
      </c>
      <c r="H1049" s="2" t="s">
        <v>25</v>
      </c>
      <c r="I1049" s="2" t="s">
        <v>666</v>
      </c>
      <c r="J1049" s="2" t="s">
        <v>667</v>
      </c>
      <c r="K1049" s="2" t="s">
        <v>28</v>
      </c>
      <c r="L1049" s="2" t="s">
        <v>41</v>
      </c>
      <c r="M1049" s="2" t="s">
        <v>30</v>
      </c>
      <c r="N1049" s="2" t="s">
        <v>42</v>
      </c>
      <c r="O1049" s="2" t="s">
        <v>43</v>
      </c>
      <c r="P1049" s="4">
        <v>1502.3721</v>
      </c>
      <c r="Q1049" s="4">
        <v>4</v>
      </c>
      <c r="R1049" s="4">
        <v>1091.4836</v>
      </c>
      <c r="S1049" s="2" t="s">
        <v>107</v>
      </c>
      <c r="T1049" s="2" t="s">
        <v>34</v>
      </c>
    </row>
    <row r="1050" spans="1:20" x14ac:dyDescent="0.25">
      <c r="A1050" s="2" t="s">
        <v>2152</v>
      </c>
      <c r="B1050" s="3">
        <v>42963</v>
      </c>
      <c r="C1050" s="3">
        <v>42964</v>
      </c>
      <c r="D1050" s="2" t="s">
        <v>55</v>
      </c>
      <c r="E1050" s="2" t="s">
        <v>467</v>
      </c>
      <c r="F1050" s="2" t="s">
        <v>468</v>
      </c>
      <c r="G1050" s="2" t="s">
        <v>58</v>
      </c>
      <c r="H1050" s="2" t="s">
        <v>25</v>
      </c>
      <c r="I1050" s="2" t="s">
        <v>752</v>
      </c>
      <c r="J1050" s="2" t="s">
        <v>753</v>
      </c>
      <c r="K1050" s="2" t="s">
        <v>147</v>
      </c>
      <c r="L1050" s="2" t="s">
        <v>218</v>
      </c>
      <c r="M1050" s="2" t="s">
        <v>30</v>
      </c>
      <c r="N1050" s="2" t="s">
        <v>31</v>
      </c>
      <c r="O1050" s="2" t="s">
        <v>219</v>
      </c>
      <c r="P1050" s="4">
        <v>79.014200000000002</v>
      </c>
      <c r="Q1050" s="4">
        <v>3</v>
      </c>
      <c r="R1050" s="4">
        <v>-26.603400000000001</v>
      </c>
      <c r="S1050" s="2" t="s">
        <v>33</v>
      </c>
      <c r="T1050" s="2" t="s">
        <v>34</v>
      </c>
    </row>
    <row r="1051" spans="1:20" x14ac:dyDescent="0.25">
      <c r="A1051" s="2" t="s">
        <v>2153</v>
      </c>
      <c r="B1051" s="3">
        <v>42468</v>
      </c>
      <c r="C1051" s="3">
        <v>42471</v>
      </c>
      <c r="D1051" s="2" t="s">
        <v>55</v>
      </c>
      <c r="E1051" s="2" t="s">
        <v>731</v>
      </c>
      <c r="F1051" s="2" t="s">
        <v>732</v>
      </c>
      <c r="G1051" s="2" t="s">
        <v>58</v>
      </c>
      <c r="H1051" s="2" t="s">
        <v>25</v>
      </c>
      <c r="I1051" s="2" t="s">
        <v>1688</v>
      </c>
      <c r="J1051" s="2" t="s">
        <v>206</v>
      </c>
      <c r="K1051" s="2" t="s">
        <v>61</v>
      </c>
      <c r="L1051" s="2" t="s">
        <v>344</v>
      </c>
      <c r="M1051" s="2" t="s">
        <v>30</v>
      </c>
      <c r="N1051" s="2" t="s">
        <v>42</v>
      </c>
      <c r="O1051" s="2" t="s">
        <v>345</v>
      </c>
      <c r="P1051" s="4">
        <v>244.14</v>
      </c>
      <c r="Q1051" s="4">
        <v>4</v>
      </c>
      <c r="R1051" s="4">
        <v>123.6215</v>
      </c>
      <c r="S1051" s="2" t="s">
        <v>92</v>
      </c>
      <c r="T1051" s="2" t="s">
        <v>108</v>
      </c>
    </row>
    <row r="1052" spans="1:20" x14ac:dyDescent="0.25">
      <c r="A1052" s="2" t="s">
        <v>2154</v>
      </c>
      <c r="B1052" s="3">
        <v>42229</v>
      </c>
      <c r="C1052" s="3">
        <v>42230</v>
      </c>
      <c r="D1052" s="2" t="s">
        <v>55</v>
      </c>
      <c r="E1052" s="2" t="s">
        <v>1272</v>
      </c>
      <c r="F1052" s="2" t="s">
        <v>1273</v>
      </c>
      <c r="G1052" s="2" t="s">
        <v>58</v>
      </c>
      <c r="H1052" s="2" t="s">
        <v>25</v>
      </c>
      <c r="I1052" s="2" t="s">
        <v>394</v>
      </c>
      <c r="J1052" s="2" t="s">
        <v>289</v>
      </c>
      <c r="K1052" s="2" t="s">
        <v>82</v>
      </c>
      <c r="L1052" s="2" t="s">
        <v>139</v>
      </c>
      <c r="M1052" s="2" t="s">
        <v>30</v>
      </c>
      <c r="N1052" s="2" t="s">
        <v>42</v>
      </c>
      <c r="O1052" s="2" t="s">
        <v>140</v>
      </c>
      <c r="P1052" s="4">
        <v>379.36439999999999</v>
      </c>
      <c r="Q1052" s="4">
        <v>3</v>
      </c>
      <c r="R1052" s="4">
        <v>-38.3277</v>
      </c>
      <c r="S1052" s="2" t="s">
        <v>33</v>
      </c>
      <c r="T1052" s="2" t="s">
        <v>34</v>
      </c>
    </row>
    <row r="1053" spans="1:20" x14ac:dyDescent="0.25">
      <c r="A1053" s="2" t="s">
        <v>2155</v>
      </c>
      <c r="B1053" s="3">
        <v>41930</v>
      </c>
      <c r="C1053" s="3">
        <v>41930</v>
      </c>
      <c r="D1053" s="2" t="s">
        <v>142</v>
      </c>
      <c r="E1053" s="2" t="s">
        <v>2156</v>
      </c>
      <c r="F1053" s="2" t="s">
        <v>2157</v>
      </c>
      <c r="G1053" s="2" t="s">
        <v>58</v>
      </c>
      <c r="H1053" s="2" t="s">
        <v>25</v>
      </c>
      <c r="I1053" s="2" t="s">
        <v>594</v>
      </c>
      <c r="J1053" s="2" t="s">
        <v>595</v>
      </c>
      <c r="K1053" s="2" t="s">
        <v>61</v>
      </c>
      <c r="L1053" s="2" t="s">
        <v>41</v>
      </c>
      <c r="M1053" s="2" t="s">
        <v>30</v>
      </c>
      <c r="N1053" s="2" t="s">
        <v>42</v>
      </c>
      <c r="O1053" s="2" t="s">
        <v>43</v>
      </c>
      <c r="P1053" s="4">
        <v>346.04090000000002</v>
      </c>
      <c r="Q1053" s="4">
        <v>2</v>
      </c>
      <c r="R1053" s="4">
        <v>-20.6355</v>
      </c>
      <c r="S1053" s="2" t="s">
        <v>121</v>
      </c>
      <c r="T1053" s="2" t="s">
        <v>224</v>
      </c>
    </row>
    <row r="1054" spans="1:20" x14ac:dyDescent="0.25">
      <c r="A1054" s="2" t="s">
        <v>2155</v>
      </c>
      <c r="B1054" s="3">
        <v>41930</v>
      </c>
      <c r="C1054" s="3">
        <v>41930</v>
      </c>
      <c r="D1054" s="2" t="s">
        <v>142</v>
      </c>
      <c r="E1054" s="2" t="s">
        <v>2156</v>
      </c>
      <c r="F1054" s="2" t="s">
        <v>2157</v>
      </c>
      <c r="G1054" s="2" t="s">
        <v>58</v>
      </c>
      <c r="H1054" s="2" t="s">
        <v>25</v>
      </c>
      <c r="I1054" s="2" t="s">
        <v>594</v>
      </c>
      <c r="J1054" s="2" t="s">
        <v>595</v>
      </c>
      <c r="K1054" s="2" t="s">
        <v>61</v>
      </c>
      <c r="L1054" s="2" t="s">
        <v>66</v>
      </c>
      <c r="M1054" s="2" t="s">
        <v>30</v>
      </c>
      <c r="N1054" s="2" t="s">
        <v>31</v>
      </c>
      <c r="O1054" s="2" t="s">
        <v>67</v>
      </c>
      <c r="P1054" s="4">
        <v>9.1027000000000005</v>
      </c>
      <c r="Q1054" s="4">
        <v>3</v>
      </c>
      <c r="R1054" s="4">
        <v>-0.215</v>
      </c>
      <c r="S1054" s="2" t="s">
        <v>121</v>
      </c>
      <c r="T1054" s="2" t="s">
        <v>224</v>
      </c>
    </row>
    <row r="1055" spans="1:20" x14ac:dyDescent="0.25">
      <c r="A1055" s="2" t="s">
        <v>2158</v>
      </c>
      <c r="B1055" s="3">
        <v>42834</v>
      </c>
      <c r="C1055" s="3">
        <v>42836</v>
      </c>
      <c r="D1055" s="2" t="s">
        <v>48</v>
      </c>
      <c r="E1055" s="2" t="s">
        <v>2159</v>
      </c>
      <c r="F1055" s="2" t="s">
        <v>2160</v>
      </c>
      <c r="G1055" s="2" t="s">
        <v>24</v>
      </c>
      <c r="H1055" s="2" t="s">
        <v>25</v>
      </c>
      <c r="I1055" s="2" t="s">
        <v>126</v>
      </c>
      <c r="J1055" s="2" t="s">
        <v>127</v>
      </c>
      <c r="K1055" s="2" t="s">
        <v>82</v>
      </c>
      <c r="L1055" s="2" t="s">
        <v>228</v>
      </c>
      <c r="M1055" s="2" t="s">
        <v>30</v>
      </c>
      <c r="N1055" s="2" t="s">
        <v>42</v>
      </c>
      <c r="O1055" s="2" t="s">
        <v>229</v>
      </c>
      <c r="P1055" s="4">
        <v>76.356300000000005</v>
      </c>
      <c r="Q1055" s="4">
        <v>5</v>
      </c>
      <c r="R1055" s="4">
        <v>0.48820000000000002</v>
      </c>
      <c r="S1055" s="2" t="s">
        <v>53</v>
      </c>
      <c r="T1055" s="2" t="s">
        <v>108</v>
      </c>
    </row>
    <row r="1056" spans="1:20" x14ac:dyDescent="0.25">
      <c r="A1056" s="2" t="s">
        <v>2161</v>
      </c>
      <c r="B1056" s="3">
        <v>42715</v>
      </c>
      <c r="C1056" s="3">
        <v>42722</v>
      </c>
      <c r="D1056" s="2" t="s">
        <v>55</v>
      </c>
      <c r="E1056" s="2" t="s">
        <v>2162</v>
      </c>
      <c r="F1056" s="2" t="s">
        <v>2163</v>
      </c>
      <c r="G1056" s="2" t="s">
        <v>38</v>
      </c>
      <c r="H1056" s="2" t="s">
        <v>25</v>
      </c>
      <c r="I1056" s="2" t="s">
        <v>293</v>
      </c>
      <c r="J1056" s="2" t="s">
        <v>260</v>
      </c>
      <c r="K1056" s="2" t="s">
        <v>147</v>
      </c>
      <c r="L1056" s="2" t="s">
        <v>131</v>
      </c>
      <c r="M1056" s="2" t="s">
        <v>30</v>
      </c>
      <c r="N1056" s="2" t="s">
        <v>31</v>
      </c>
      <c r="O1056" s="2" t="s">
        <v>132</v>
      </c>
      <c r="P1056" s="4">
        <v>21.171600000000002</v>
      </c>
      <c r="Q1056" s="4">
        <v>4</v>
      </c>
      <c r="R1056" s="4">
        <v>0.93179999999999996</v>
      </c>
      <c r="S1056" s="2" t="s">
        <v>107</v>
      </c>
      <c r="T1056" s="2" t="s">
        <v>76</v>
      </c>
    </row>
    <row r="1057" spans="1:20" x14ac:dyDescent="0.25">
      <c r="A1057" s="2" t="s">
        <v>2164</v>
      </c>
      <c r="B1057" s="3">
        <v>42998</v>
      </c>
      <c r="C1057" s="3">
        <v>43002</v>
      </c>
      <c r="D1057" s="2" t="s">
        <v>21</v>
      </c>
      <c r="E1057" s="2" t="s">
        <v>1155</v>
      </c>
      <c r="F1057" s="2" t="s">
        <v>1156</v>
      </c>
      <c r="G1057" s="2" t="s">
        <v>58</v>
      </c>
      <c r="H1057" s="2" t="s">
        <v>25</v>
      </c>
      <c r="I1057" s="2" t="s">
        <v>350</v>
      </c>
      <c r="J1057" s="2" t="s">
        <v>351</v>
      </c>
      <c r="K1057" s="2" t="s">
        <v>147</v>
      </c>
      <c r="L1057" s="2" t="s">
        <v>29</v>
      </c>
      <c r="M1057" s="2" t="s">
        <v>30</v>
      </c>
      <c r="N1057" s="2" t="s">
        <v>31</v>
      </c>
      <c r="O1057" s="2" t="s">
        <v>32</v>
      </c>
      <c r="P1057" s="4">
        <v>304.25049999999999</v>
      </c>
      <c r="Q1057" s="4">
        <v>5</v>
      </c>
      <c r="R1057" s="4">
        <v>-23.304300000000001</v>
      </c>
      <c r="S1057" s="2" t="s">
        <v>75</v>
      </c>
      <c r="T1057" s="2" t="s">
        <v>148</v>
      </c>
    </row>
    <row r="1058" spans="1:20" x14ac:dyDescent="0.25">
      <c r="A1058" s="2" t="s">
        <v>2165</v>
      </c>
      <c r="B1058" s="3">
        <v>42631</v>
      </c>
      <c r="C1058" s="3">
        <v>42633</v>
      </c>
      <c r="D1058" s="2" t="s">
        <v>48</v>
      </c>
      <c r="E1058" s="2" t="s">
        <v>1490</v>
      </c>
      <c r="F1058" s="2" t="s">
        <v>1491</v>
      </c>
      <c r="G1058" s="2" t="s">
        <v>38</v>
      </c>
      <c r="H1058" s="2" t="s">
        <v>25</v>
      </c>
      <c r="I1058" s="2" t="s">
        <v>343</v>
      </c>
      <c r="J1058" s="2" t="s">
        <v>153</v>
      </c>
      <c r="K1058" s="2" t="s">
        <v>147</v>
      </c>
      <c r="L1058" s="2" t="s">
        <v>41</v>
      </c>
      <c r="M1058" s="2" t="s">
        <v>30</v>
      </c>
      <c r="N1058" s="2" t="s">
        <v>42</v>
      </c>
      <c r="O1058" s="2" t="s">
        <v>43</v>
      </c>
      <c r="P1058" s="4">
        <v>2310.8274000000001</v>
      </c>
      <c r="Q1058" s="4">
        <v>7</v>
      </c>
      <c r="R1058" s="4">
        <v>116.6236</v>
      </c>
      <c r="S1058" s="2" t="s">
        <v>53</v>
      </c>
      <c r="T1058" s="2" t="s">
        <v>148</v>
      </c>
    </row>
    <row r="1059" spans="1:20" x14ac:dyDescent="0.25">
      <c r="A1059" s="2" t="s">
        <v>2165</v>
      </c>
      <c r="B1059" s="3">
        <v>42631</v>
      </c>
      <c r="C1059" s="3">
        <v>42633</v>
      </c>
      <c r="D1059" s="2" t="s">
        <v>48</v>
      </c>
      <c r="E1059" s="2" t="s">
        <v>1490</v>
      </c>
      <c r="F1059" s="2" t="s">
        <v>1491</v>
      </c>
      <c r="G1059" s="2" t="s">
        <v>38</v>
      </c>
      <c r="H1059" s="2" t="s">
        <v>25</v>
      </c>
      <c r="I1059" s="2" t="s">
        <v>343</v>
      </c>
      <c r="J1059" s="2" t="s">
        <v>153</v>
      </c>
      <c r="K1059" s="2" t="s">
        <v>147</v>
      </c>
      <c r="L1059" s="2" t="s">
        <v>154</v>
      </c>
      <c r="M1059" s="2" t="s">
        <v>30</v>
      </c>
      <c r="N1059" s="2" t="s">
        <v>42</v>
      </c>
      <c r="O1059" s="2" t="s">
        <v>155</v>
      </c>
      <c r="P1059" s="4">
        <v>575.13789999999995</v>
      </c>
      <c r="Q1059" s="4">
        <v>3</v>
      </c>
      <c r="R1059" s="4">
        <v>182.24950000000001</v>
      </c>
      <c r="S1059" s="2" t="s">
        <v>53</v>
      </c>
      <c r="T1059" s="2" t="s">
        <v>148</v>
      </c>
    </row>
    <row r="1060" spans="1:20" x14ac:dyDescent="0.25">
      <c r="A1060" s="2" t="s">
        <v>2165</v>
      </c>
      <c r="B1060" s="3">
        <v>42631</v>
      </c>
      <c r="C1060" s="3">
        <v>42633</v>
      </c>
      <c r="D1060" s="2" t="s">
        <v>48</v>
      </c>
      <c r="E1060" s="2" t="s">
        <v>1490</v>
      </c>
      <c r="F1060" s="2" t="s">
        <v>1491</v>
      </c>
      <c r="G1060" s="2" t="s">
        <v>38</v>
      </c>
      <c r="H1060" s="2" t="s">
        <v>25</v>
      </c>
      <c r="I1060" s="2" t="s">
        <v>343</v>
      </c>
      <c r="J1060" s="2" t="s">
        <v>153</v>
      </c>
      <c r="K1060" s="2" t="s">
        <v>147</v>
      </c>
      <c r="L1060" s="2" t="s">
        <v>45</v>
      </c>
      <c r="M1060" s="2" t="s">
        <v>30</v>
      </c>
      <c r="N1060" s="2" t="s">
        <v>31</v>
      </c>
      <c r="O1060" s="2" t="s">
        <v>46</v>
      </c>
      <c r="P1060" s="4">
        <v>50.392299999999999</v>
      </c>
      <c r="Q1060" s="4">
        <v>5</v>
      </c>
      <c r="R1060" s="4">
        <v>40.4786</v>
      </c>
      <c r="S1060" s="2" t="s">
        <v>53</v>
      </c>
      <c r="T1060" s="2" t="s">
        <v>148</v>
      </c>
    </row>
    <row r="1061" spans="1:20" x14ac:dyDescent="0.25">
      <c r="A1061" s="2" t="s">
        <v>2165</v>
      </c>
      <c r="B1061" s="3">
        <v>42631</v>
      </c>
      <c r="C1061" s="3">
        <v>42633</v>
      </c>
      <c r="D1061" s="2" t="s">
        <v>48</v>
      </c>
      <c r="E1061" s="2" t="s">
        <v>1490</v>
      </c>
      <c r="F1061" s="2" t="s">
        <v>1491</v>
      </c>
      <c r="G1061" s="2" t="s">
        <v>38</v>
      </c>
      <c r="H1061" s="2" t="s">
        <v>25</v>
      </c>
      <c r="I1061" s="2" t="s">
        <v>343</v>
      </c>
      <c r="J1061" s="2" t="s">
        <v>153</v>
      </c>
      <c r="K1061" s="2" t="s">
        <v>147</v>
      </c>
      <c r="L1061" s="2" t="s">
        <v>154</v>
      </c>
      <c r="M1061" s="2" t="s">
        <v>30</v>
      </c>
      <c r="N1061" s="2" t="s">
        <v>42</v>
      </c>
      <c r="O1061" s="2" t="s">
        <v>155</v>
      </c>
      <c r="P1061" s="4">
        <v>819.56989999999996</v>
      </c>
      <c r="Q1061" s="4">
        <v>2</v>
      </c>
      <c r="R1061" s="4">
        <v>-141.7235</v>
      </c>
      <c r="S1061" s="2" t="s">
        <v>53</v>
      </c>
      <c r="T1061" s="2" t="s">
        <v>148</v>
      </c>
    </row>
    <row r="1062" spans="1:20" x14ac:dyDescent="0.25">
      <c r="A1062" s="2" t="s">
        <v>2166</v>
      </c>
      <c r="B1062" s="3">
        <v>41822</v>
      </c>
      <c r="C1062" s="3">
        <v>41829</v>
      </c>
      <c r="D1062" s="2" t="s">
        <v>55</v>
      </c>
      <c r="E1062" s="2" t="s">
        <v>1716</v>
      </c>
      <c r="F1062" s="2" t="s">
        <v>1717</v>
      </c>
      <c r="G1062" s="2" t="s">
        <v>38</v>
      </c>
      <c r="H1062" s="2" t="s">
        <v>25</v>
      </c>
      <c r="I1062" s="2" t="s">
        <v>159</v>
      </c>
      <c r="J1062" s="2" t="s">
        <v>160</v>
      </c>
      <c r="K1062" s="2" t="s">
        <v>61</v>
      </c>
      <c r="L1062" s="2" t="s">
        <v>323</v>
      </c>
      <c r="M1062" s="2" t="s">
        <v>30</v>
      </c>
      <c r="N1062" s="2" t="s">
        <v>31</v>
      </c>
      <c r="O1062" s="2" t="s">
        <v>324</v>
      </c>
      <c r="P1062" s="4">
        <v>54.142299999999999</v>
      </c>
      <c r="Q1062" s="4">
        <v>6</v>
      </c>
      <c r="R1062" s="4">
        <v>-18.834099999999999</v>
      </c>
      <c r="S1062" s="2" t="s">
        <v>107</v>
      </c>
      <c r="T1062" s="2" t="s">
        <v>86</v>
      </c>
    </row>
    <row r="1063" spans="1:20" x14ac:dyDescent="0.25">
      <c r="A1063" s="2" t="s">
        <v>2166</v>
      </c>
      <c r="B1063" s="3">
        <v>41822</v>
      </c>
      <c r="C1063" s="3">
        <v>41829</v>
      </c>
      <c r="D1063" s="2" t="s">
        <v>55</v>
      </c>
      <c r="E1063" s="2" t="s">
        <v>1716</v>
      </c>
      <c r="F1063" s="2" t="s">
        <v>1717</v>
      </c>
      <c r="G1063" s="2" t="s">
        <v>38</v>
      </c>
      <c r="H1063" s="2" t="s">
        <v>25</v>
      </c>
      <c r="I1063" s="2" t="s">
        <v>159</v>
      </c>
      <c r="J1063" s="2" t="s">
        <v>160</v>
      </c>
      <c r="K1063" s="2" t="s">
        <v>61</v>
      </c>
      <c r="L1063" s="2" t="s">
        <v>99</v>
      </c>
      <c r="M1063" s="2" t="s">
        <v>30</v>
      </c>
      <c r="N1063" s="2" t="s">
        <v>42</v>
      </c>
      <c r="O1063" s="2" t="s">
        <v>100</v>
      </c>
      <c r="P1063" s="4">
        <v>548.01310000000001</v>
      </c>
      <c r="Q1063" s="4">
        <v>4</v>
      </c>
      <c r="R1063" s="4">
        <v>77.060699999999997</v>
      </c>
      <c r="S1063" s="2" t="s">
        <v>107</v>
      </c>
      <c r="T1063" s="2" t="s">
        <v>86</v>
      </c>
    </row>
    <row r="1064" spans="1:20" x14ac:dyDescent="0.25">
      <c r="A1064" s="2" t="s">
        <v>2166</v>
      </c>
      <c r="B1064" s="3">
        <v>41822</v>
      </c>
      <c r="C1064" s="3">
        <v>41829</v>
      </c>
      <c r="D1064" s="2" t="s">
        <v>55</v>
      </c>
      <c r="E1064" s="2" t="s">
        <v>1716</v>
      </c>
      <c r="F1064" s="2" t="s">
        <v>1717</v>
      </c>
      <c r="G1064" s="2" t="s">
        <v>38</v>
      </c>
      <c r="H1064" s="2" t="s">
        <v>25</v>
      </c>
      <c r="I1064" s="2" t="s">
        <v>159</v>
      </c>
      <c r="J1064" s="2" t="s">
        <v>160</v>
      </c>
      <c r="K1064" s="2" t="s">
        <v>61</v>
      </c>
      <c r="L1064" s="2" t="s">
        <v>245</v>
      </c>
      <c r="M1064" s="2" t="s">
        <v>30</v>
      </c>
      <c r="N1064" s="2" t="s">
        <v>42</v>
      </c>
      <c r="O1064" s="2" t="s">
        <v>246</v>
      </c>
      <c r="P1064" s="4">
        <v>156.46360000000001</v>
      </c>
      <c r="Q1064" s="4">
        <v>2</v>
      </c>
      <c r="R1064" s="4">
        <v>72.940200000000004</v>
      </c>
      <c r="S1064" s="2" t="s">
        <v>107</v>
      </c>
      <c r="T1064" s="2" t="s">
        <v>86</v>
      </c>
    </row>
    <row r="1065" spans="1:20" x14ac:dyDescent="0.25">
      <c r="A1065" s="2" t="s">
        <v>2167</v>
      </c>
      <c r="B1065" s="3">
        <v>42440</v>
      </c>
      <c r="C1065" s="3">
        <v>42440</v>
      </c>
      <c r="D1065" s="2" t="s">
        <v>48</v>
      </c>
      <c r="E1065" s="2" t="s">
        <v>221</v>
      </c>
      <c r="F1065" s="2" t="s">
        <v>222</v>
      </c>
      <c r="G1065" s="2" t="s">
        <v>58</v>
      </c>
      <c r="H1065" s="2" t="s">
        <v>25</v>
      </c>
      <c r="I1065" s="2" t="s">
        <v>274</v>
      </c>
      <c r="J1065" s="2" t="s">
        <v>146</v>
      </c>
      <c r="K1065" s="2" t="s">
        <v>147</v>
      </c>
      <c r="L1065" s="2" t="s">
        <v>283</v>
      </c>
      <c r="M1065" s="2" t="s">
        <v>30</v>
      </c>
      <c r="N1065" s="2" t="s">
        <v>162</v>
      </c>
      <c r="O1065" s="2" t="s">
        <v>284</v>
      </c>
      <c r="P1065" s="4">
        <v>858.30290000000002</v>
      </c>
      <c r="Q1065" s="4">
        <v>4</v>
      </c>
      <c r="R1065" s="4">
        <v>-189.4186</v>
      </c>
      <c r="S1065" s="2" t="s">
        <v>121</v>
      </c>
      <c r="T1065" s="2" t="s">
        <v>44</v>
      </c>
    </row>
    <row r="1066" spans="1:20" x14ac:dyDescent="0.25">
      <c r="A1066" s="2" t="s">
        <v>2168</v>
      </c>
      <c r="B1066" s="3">
        <v>42230</v>
      </c>
      <c r="C1066" s="3">
        <v>42234</v>
      </c>
      <c r="D1066" s="2" t="s">
        <v>55</v>
      </c>
      <c r="E1066" s="2" t="s">
        <v>272</v>
      </c>
      <c r="F1066" s="2" t="s">
        <v>273</v>
      </c>
      <c r="G1066" s="2" t="s">
        <v>58</v>
      </c>
      <c r="H1066" s="2" t="s">
        <v>25</v>
      </c>
      <c r="I1066" s="2" t="s">
        <v>491</v>
      </c>
      <c r="J1066" s="2" t="s">
        <v>310</v>
      </c>
      <c r="K1066" s="2" t="s">
        <v>28</v>
      </c>
      <c r="L1066" s="2" t="s">
        <v>131</v>
      </c>
      <c r="M1066" s="2" t="s">
        <v>30</v>
      </c>
      <c r="N1066" s="2" t="s">
        <v>31</v>
      </c>
      <c r="O1066" s="2" t="s">
        <v>132</v>
      </c>
      <c r="P1066" s="4">
        <v>22.336500000000001</v>
      </c>
      <c r="Q1066" s="4">
        <v>5</v>
      </c>
      <c r="R1066" s="4">
        <v>10.7263</v>
      </c>
      <c r="S1066" s="2" t="s">
        <v>75</v>
      </c>
      <c r="T1066" s="2" t="s">
        <v>34</v>
      </c>
    </row>
    <row r="1067" spans="1:20" x14ac:dyDescent="0.25">
      <c r="A1067" s="2" t="s">
        <v>2169</v>
      </c>
      <c r="B1067" s="3">
        <v>42637</v>
      </c>
      <c r="C1067" s="3">
        <v>42638</v>
      </c>
      <c r="D1067" s="2" t="s">
        <v>55</v>
      </c>
      <c r="E1067" s="2" t="s">
        <v>1770</v>
      </c>
      <c r="F1067" s="2" t="s">
        <v>1771</v>
      </c>
      <c r="G1067" s="2" t="s">
        <v>38</v>
      </c>
      <c r="H1067" s="2" t="s">
        <v>25</v>
      </c>
      <c r="I1067" s="2" t="s">
        <v>212</v>
      </c>
      <c r="J1067" s="2" t="s">
        <v>185</v>
      </c>
      <c r="K1067" s="2" t="s">
        <v>147</v>
      </c>
      <c r="L1067" s="2" t="s">
        <v>193</v>
      </c>
      <c r="M1067" s="2" t="s">
        <v>30</v>
      </c>
      <c r="N1067" s="2" t="s">
        <v>42</v>
      </c>
      <c r="O1067" s="2" t="s">
        <v>194</v>
      </c>
      <c r="P1067" s="4">
        <v>602.7749</v>
      </c>
      <c r="Q1067" s="4">
        <v>2</v>
      </c>
      <c r="R1067" s="4">
        <v>140.47460000000001</v>
      </c>
      <c r="S1067" s="2" t="s">
        <v>33</v>
      </c>
      <c r="T1067" s="2" t="s">
        <v>148</v>
      </c>
    </row>
    <row r="1068" spans="1:20" x14ac:dyDescent="0.25">
      <c r="A1068" s="2" t="s">
        <v>2170</v>
      </c>
      <c r="B1068" s="3">
        <v>42361</v>
      </c>
      <c r="C1068" s="3">
        <v>42365</v>
      </c>
      <c r="D1068" s="2" t="s">
        <v>21</v>
      </c>
      <c r="E1068" s="2" t="s">
        <v>541</v>
      </c>
      <c r="F1068" s="2" t="s">
        <v>542</v>
      </c>
      <c r="G1068" s="2" t="s">
        <v>58</v>
      </c>
      <c r="H1068" s="2" t="s">
        <v>25</v>
      </c>
      <c r="I1068" s="2" t="s">
        <v>969</v>
      </c>
      <c r="J1068" s="2" t="s">
        <v>387</v>
      </c>
      <c r="K1068" s="2" t="s">
        <v>61</v>
      </c>
      <c r="L1068" s="2" t="s">
        <v>328</v>
      </c>
      <c r="M1068" s="2" t="s">
        <v>30</v>
      </c>
      <c r="N1068" s="2" t="s">
        <v>63</v>
      </c>
      <c r="O1068" s="2" t="s">
        <v>329</v>
      </c>
      <c r="P1068" s="4">
        <v>85.373599999999996</v>
      </c>
      <c r="Q1068" s="4">
        <v>3</v>
      </c>
      <c r="R1068" s="4">
        <v>-9.2784999999999993</v>
      </c>
      <c r="S1068" s="2" t="s">
        <v>75</v>
      </c>
      <c r="T1068" s="2" t="s">
        <v>76</v>
      </c>
    </row>
    <row r="1069" spans="1:20" x14ac:dyDescent="0.25">
      <c r="A1069" s="2" t="s">
        <v>2171</v>
      </c>
      <c r="B1069" s="3">
        <v>41932</v>
      </c>
      <c r="C1069" s="3">
        <v>41937</v>
      </c>
      <c r="D1069" s="2" t="s">
        <v>55</v>
      </c>
      <c r="E1069" s="2" t="s">
        <v>2172</v>
      </c>
      <c r="F1069" s="2" t="s">
        <v>2173</v>
      </c>
      <c r="G1069" s="2" t="s">
        <v>38</v>
      </c>
      <c r="H1069" s="2" t="s">
        <v>25</v>
      </c>
      <c r="I1069" s="2" t="s">
        <v>910</v>
      </c>
      <c r="J1069" s="2" t="s">
        <v>260</v>
      </c>
      <c r="K1069" s="2" t="s">
        <v>147</v>
      </c>
      <c r="L1069" s="2" t="s">
        <v>45</v>
      </c>
      <c r="M1069" s="2" t="s">
        <v>30</v>
      </c>
      <c r="N1069" s="2" t="s">
        <v>31</v>
      </c>
      <c r="O1069" s="2" t="s">
        <v>46</v>
      </c>
      <c r="P1069" s="4">
        <v>33.945</v>
      </c>
      <c r="Q1069" s="4">
        <v>3</v>
      </c>
      <c r="R1069" s="4">
        <v>0.67159999999999997</v>
      </c>
      <c r="S1069" s="2" t="s">
        <v>85</v>
      </c>
      <c r="T1069" s="2" t="s">
        <v>224</v>
      </c>
    </row>
    <row r="1070" spans="1:20" x14ac:dyDescent="0.25">
      <c r="A1070" s="2" t="s">
        <v>2174</v>
      </c>
      <c r="B1070" s="3">
        <v>42505</v>
      </c>
      <c r="C1070" s="3">
        <v>42511</v>
      </c>
      <c r="D1070" s="2" t="s">
        <v>55</v>
      </c>
      <c r="E1070" s="2" t="s">
        <v>2175</v>
      </c>
      <c r="F1070" s="2" t="s">
        <v>2176</v>
      </c>
      <c r="G1070" s="2" t="s">
        <v>24</v>
      </c>
      <c r="H1070" s="2" t="s">
        <v>25</v>
      </c>
      <c r="I1070" s="2" t="s">
        <v>270</v>
      </c>
      <c r="J1070" s="2" t="s">
        <v>72</v>
      </c>
      <c r="K1070" s="2" t="s">
        <v>61</v>
      </c>
      <c r="L1070" s="2" t="s">
        <v>344</v>
      </c>
      <c r="M1070" s="2" t="s">
        <v>30</v>
      </c>
      <c r="N1070" s="2" t="s">
        <v>42</v>
      </c>
      <c r="O1070" s="2" t="s">
        <v>345</v>
      </c>
      <c r="P1070" s="4">
        <v>1297.5041000000001</v>
      </c>
      <c r="Q1070" s="4">
        <v>3</v>
      </c>
      <c r="R1070" s="4">
        <v>122.49890000000001</v>
      </c>
      <c r="S1070" s="2" t="s">
        <v>65</v>
      </c>
      <c r="T1070" s="2" t="s">
        <v>122</v>
      </c>
    </row>
    <row r="1071" spans="1:20" x14ac:dyDescent="0.25">
      <c r="A1071" s="2" t="s">
        <v>2177</v>
      </c>
      <c r="B1071" s="3">
        <v>41925</v>
      </c>
      <c r="C1071" s="3">
        <v>41932</v>
      </c>
      <c r="D1071" s="2" t="s">
        <v>55</v>
      </c>
      <c r="E1071" s="2" t="s">
        <v>451</v>
      </c>
      <c r="F1071" s="2" t="s">
        <v>452</v>
      </c>
      <c r="G1071" s="2" t="s">
        <v>58</v>
      </c>
      <c r="H1071" s="2" t="s">
        <v>25</v>
      </c>
      <c r="I1071" s="2" t="s">
        <v>487</v>
      </c>
      <c r="J1071" s="2" t="s">
        <v>470</v>
      </c>
      <c r="K1071" s="2" t="s">
        <v>28</v>
      </c>
      <c r="L1071" s="2" t="s">
        <v>193</v>
      </c>
      <c r="M1071" s="2" t="s">
        <v>30</v>
      </c>
      <c r="N1071" s="2" t="s">
        <v>42</v>
      </c>
      <c r="O1071" s="2" t="s">
        <v>194</v>
      </c>
      <c r="P1071" s="4">
        <v>1131.8607</v>
      </c>
      <c r="Q1071" s="4">
        <v>3</v>
      </c>
      <c r="R1071" s="4">
        <v>116.0545</v>
      </c>
      <c r="S1071" s="2" t="s">
        <v>107</v>
      </c>
      <c r="T1071" s="2" t="s">
        <v>224</v>
      </c>
    </row>
    <row r="1072" spans="1:20" x14ac:dyDescent="0.25">
      <c r="A1072" s="2" t="s">
        <v>2178</v>
      </c>
      <c r="B1072" s="3">
        <v>41836</v>
      </c>
      <c r="C1072" s="3">
        <v>41839</v>
      </c>
      <c r="D1072" s="2" t="s">
        <v>21</v>
      </c>
      <c r="E1072" s="2" t="s">
        <v>1413</v>
      </c>
      <c r="F1072" s="2" t="s">
        <v>1414</v>
      </c>
      <c r="G1072" s="2" t="s">
        <v>58</v>
      </c>
      <c r="H1072" s="2" t="s">
        <v>25</v>
      </c>
      <c r="I1072" s="2" t="s">
        <v>539</v>
      </c>
      <c r="J1072" s="2" t="s">
        <v>91</v>
      </c>
      <c r="K1072" s="2" t="s">
        <v>61</v>
      </c>
      <c r="L1072" s="2" t="s">
        <v>372</v>
      </c>
      <c r="M1072" s="2" t="s">
        <v>30</v>
      </c>
      <c r="N1072" s="2" t="s">
        <v>162</v>
      </c>
      <c r="O1072" s="2" t="s">
        <v>373</v>
      </c>
      <c r="P1072" s="4">
        <v>236.36189999999999</v>
      </c>
      <c r="Q1072" s="4">
        <v>3</v>
      </c>
      <c r="R1072" s="4">
        <v>40.774700000000003</v>
      </c>
      <c r="S1072" s="2" t="s">
        <v>92</v>
      </c>
      <c r="T1072" s="2" t="s">
        <v>86</v>
      </c>
    </row>
    <row r="1073" spans="1:20" x14ac:dyDescent="0.25">
      <c r="A1073" s="2" t="s">
        <v>2179</v>
      </c>
      <c r="B1073" s="3">
        <v>42584</v>
      </c>
      <c r="C1073" s="3">
        <v>42586</v>
      </c>
      <c r="D1073" s="2" t="s">
        <v>21</v>
      </c>
      <c r="E1073" s="2" t="s">
        <v>1286</v>
      </c>
      <c r="F1073" s="2" t="s">
        <v>1287</v>
      </c>
      <c r="G1073" s="2" t="s">
        <v>58</v>
      </c>
      <c r="H1073" s="2" t="s">
        <v>25</v>
      </c>
      <c r="I1073" s="2" t="s">
        <v>371</v>
      </c>
      <c r="J1073" s="2" t="s">
        <v>127</v>
      </c>
      <c r="K1073" s="2" t="s">
        <v>82</v>
      </c>
      <c r="L1073" s="2" t="s">
        <v>186</v>
      </c>
      <c r="M1073" s="2" t="s">
        <v>30</v>
      </c>
      <c r="N1073" s="2" t="s">
        <v>31</v>
      </c>
      <c r="O1073" s="2" t="s">
        <v>187</v>
      </c>
      <c r="P1073" s="4">
        <v>15.4986</v>
      </c>
      <c r="Q1073" s="4">
        <v>7</v>
      </c>
      <c r="R1073" s="4">
        <v>-2.0365000000000002</v>
      </c>
      <c r="S1073" s="2" t="s">
        <v>53</v>
      </c>
      <c r="T1073" s="2" t="s">
        <v>34</v>
      </c>
    </row>
    <row r="1074" spans="1:20" x14ac:dyDescent="0.25">
      <c r="A1074" s="2" t="s">
        <v>2180</v>
      </c>
      <c r="B1074" s="3">
        <v>41900</v>
      </c>
      <c r="C1074" s="3">
        <v>41903</v>
      </c>
      <c r="D1074" s="2" t="s">
        <v>21</v>
      </c>
      <c r="E1074" s="2" t="s">
        <v>1645</v>
      </c>
      <c r="F1074" s="2" t="s">
        <v>1646</v>
      </c>
      <c r="G1074" s="2" t="s">
        <v>38</v>
      </c>
      <c r="H1074" s="2" t="s">
        <v>25</v>
      </c>
      <c r="I1074" s="2" t="s">
        <v>1319</v>
      </c>
      <c r="J1074" s="2" t="s">
        <v>632</v>
      </c>
      <c r="K1074" s="2" t="s">
        <v>82</v>
      </c>
      <c r="L1074" s="2" t="s">
        <v>66</v>
      </c>
      <c r="M1074" s="2" t="s">
        <v>30</v>
      </c>
      <c r="N1074" s="2" t="s">
        <v>31</v>
      </c>
      <c r="O1074" s="2" t="s">
        <v>67</v>
      </c>
      <c r="P1074" s="4">
        <v>13.574400000000001</v>
      </c>
      <c r="Q1074" s="4">
        <v>5</v>
      </c>
      <c r="R1074" s="4">
        <v>5.0643000000000002</v>
      </c>
      <c r="S1074" s="2" t="s">
        <v>92</v>
      </c>
      <c r="T1074" s="2" t="s">
        <v>148</v>
      </c>
    </row>
    <row r="1075" spans="1:20" x14ac:dyDescent="0.25">
      <c r="A1075" s="2" t="s">
        <v>2181</v>
      </c>
      <c r="B1075" s="3">
        <v>41751</v>
      </c>
      <c r="C1075" s="3">
        <v>41755</v>
      </c>
      <c r="D1075" s="2" t="s">
        <v>55</v>
      </c>
      <c r="E1075" s="2" t="s">
        <v>2182</v>
      </c>
      <c r="F1075" s="2" t="s">
        <v>2183</v>
      </c>
      <c r="G1075" s="2" t="s">
        <v>58</v>
      </c>
      <c r="H1075" s="2" t="s">
        <v>25</v>
      </c>
      <c r="I1075" s="2" t="s">
        <v>805</v>
      </c>
      <c r="J1075" s="2" t="s">
        <v>351</v>
      </c>
      <c r="K1075" s="2" t="s">
        <v>147</v>
      </c>
      <c r="L1075" s="2" t="s">
        <v>174</v>
      </c>
      <c r="M1075" s="2" t="s">
        <v>30</v>
      </c>
      <c r="N1075" s="2" t="s">
        <v>31</v>
      </c>
      <c r="O1075" s="2" t="s">
        <v>175</v>
      </c>
      <c r="P1075" s="4">
        <v>100.554</v>
      </c>
      <c r="Q1075" s="4">
        <v>2</v>
      </c>
      <c r="R1075" s="4">
        <v>9.4050999999999991</v>
      </c>
      <c r="S1075" s="2" t="s">
        <v>75</v>
      </c>
      <c r="T1075" s="2" t="s">
        <v>108</v>
      </c>
    </row>
    <row r="1076" spans="1:20" x14ac:dyDescent="0.25">
      <c r="A1076" s="2" t="s">
        <v>2184</v>
      </c>
      <c r="B1076" s="3">
        <v>41888</v>
      </c>
      <c r="C1076" s="3">
        <v>41890</v>
      </c>
      <c r="D1076" s="2" t="s">
        <v>48</v>
      </c>
      <c r="E1076" s="2" t="s">
        <v>2185</v>
      </c>
      <c r="F1076" s="2" t="s">
        <v>2186</v>
      </c>
      <c r="G1076" s="2" t="s">
        <v>38</v>
      </c>
      <c r="H1076" s="2" t="s">
        <v>25</v>
      </c>
      <c r="I1076" s="2" t="s">
        <v>631</v>
      </c>
      <c r="J1076" s="2" t="s">
        <v>632</v>
      </c>
      <c r="K1076" s="2" t="s">
        <v>82</v>
      </c>
      <c r="L1076" s="2" t="s">
        <v>83</v>
      </c>
      <c r="M1076" s="2" t="s">
        <v>30</v>
      </c>
      <c r="N1076" s="2" t="s">
        <v>42</v>
      </c>
      <c r="O1076" s="2" t="s">
        <v>84</v>
      </c>
      <c r="P1076" s="4">
        <v>217.30449999999999</v>
      </c>
      <c r="Q1076" s="4">
        <v>2</v>
      </c>
      <c r="R1076" s="4">
        <v>-46.312899999999999</v>
      </c>
      <c r="S1076" s="2" t="s">
        <v>53</v>
      </c>
      <c r="T1076" s="2" t="s">
        <v>148</v>
      </c>
    </row>
    <row r="1077" spans="1:20" x14ac:dyDescent="0.25">
      <c r="A1077" s="2" t="s">
        <v>2184</v>
      </c>
      <c r="B1077" s="3">
        <v>41888</v>
      </c>
      <c r="C1077" s="3">
        <v>41890</v>
      </c>
      <c r="D1077" s="2" t="s">
        <v>48</v>
      </c>
      <c r="E1077" s="2" t="s">
        <v>2185</v>
      </c>
      <c r="F1077" s="2" t="s">
        <v>2186</v>
      </c>
      <c r="G1077" s="2" t="s">
        <v>38</v>
      </c>
      <c r="H1077" s="2" t="s">
        <v>25</v>
      </c>
      <c r="I1077" s="2" t="s">
        <v>631</v>
      </c>
      <c r="J1077" s="2" t="s">
        <v>632</v>
      </c>
      <c r="K1077" s="2" t="s">
        <v>82</v>
      </c>
      <c r="L1077" s="2" t="s">
        <v>174</v>
      </c>
      <c r="M1077" s="2" t="s">
        <v>30</v>
      </c>
      <c r="N1077" s="2" t="s">
        <v>31</v>
      </c>
      <c r="O1077" s="2" t="s">
        <v>175</v>
      </c>
      <c r="P1077" s="4">
        <v>231.52799999999999</v>
      </c>
      <c r="Q1077" s="4">
        <v>5</v>
      </c>
      <c r="R1077" s="4">
        <v>117.0716</v>
      </c>
      <c r="S1077" s="2" t="s">
        <v>53</v>
      </c>
      <c r="T1077" s="2" t="s">
        <v>148</v>
      </c>
    </row>
    <row r="1078" spans="1:20" x14ac:dyDescent="0.25">
      <c r="A1078" s="2" t="s">
        <v>2187</v>
      </c>
      <c r="B1078" s="3">
        <v>42633</v>
      </c>
      <c r="C1078" s="3">
        <v>42636</v>
      </c>
      <c r="D1078" s="2" t="s">
        <v>55</v>
      </c>
      <c r="E1078" s="2" t="s">
        <v>1101</v>
      </c>
      <c r="F1078" s="2" t="s">
        <v>1102</v>
      </c>
      <c r="G1078" s="2" t="s">
        <v>58</v>
      </c>
      <c r="H1078" s="2" t="s">
        <v>25</v>
      </c>
      <c r="I1078" s="2" t="s">
        <v>39</v>
      </c>
      <c r="J1078" s="2" t="s">
        <v>40</v>
      </c>
      <c r="K1078" s="2" t="s">
        <v>28</v>
      </c>
      <c r="L1078" s="2" t="s">
        <v>820</v>
      </c>
      <c r="M1078" s="2" t="s">
        <v>30</v>
      </c>
      <c r="N1078" s="2" t="s">
        <v>162</v>
      </c>
      <c r="O1078" s="2" t="s">
        <v>821</v>
      </c>
      <c r="P1078" s="4">
        <v>316.95350000000002</v>
      </c>
      <c r="Q1078" s="4">
        <v>6</v>
      </c>
      <c r="R1078" s="4">
        <v>-47.397599999999997</v>
      </c>
      <c r="S1078" s="2" t="s">
        <v>92</v>
      </c>
      <c r="T1078" s="2" t="s">
        <v>148</v>
      </c>
    </row>
    <row r="1079" spans="1:20" x14ac:dyDescent="0.25">
      <c r="A1079" s="2" t="s">
        <v>2188</v>
      </c>
      <c r="B1079" s="3">
        <v>42548</v>
      </c>
      <c r="C1079" s="3">
        <v>42548</v>
      </c>
      <c r="D1079" s="2" t="s">
        <v>142</v>
      </c>
      <c r="E1079" s="2" t="s">
        <v>2182</v>
      </c>
      <c r="F1079" s="2" t="s">
        <v>2183</v>
      </c>
      <c r="G1079" s="2" t="s">
        <v>24</v>
      </c>
      <c r="H1079" s="2" t="s">
        <v>25</v>
      </c>
      <c r="I1079" s="2" t="s">
        <v>105</v>
      </c>
      <c r="J1079" s="2" t="s">
        <v>106</v>
      </c>
      <c r="K1079" s="2" t="s">
        <v>61</v>
      </c>
      <c r="L1079" s="2" t="s">
        <v>113</v>
      </c>
      <c r="M1079" s="2" t="s">
        <v>30</v>
      </c>
      <c r="N1079" s="2" t="s">
        <v>31</v>
      </c>
      <c r="O1079" s="2" t="s">
        <v>114</v>
      </c>
      <c r="P1079" s="4">
        <v>184.63419999999999</v>
      </c>
      <c r="Q1079" s="4">
        <v>2</v>
      </c>
      <c r="R1079" s="4">
        <v>-33.836599999999997</v>
      </c>
      <c r="S1079" s="2" t="s">
        <v>121</v>
      </c>
      <c r="T1079" s="2" t="s">
        <v>133</v>
      </c>
    </row>
    <row r="1080" spans="1:20" x14ac:dyDescent="0.25">
      <c r="A1080" s="2" t="s">
        <v>2188</v>
      </c>
      <c r="B1080" s="3">
        <v>42548</v>
      </c>
      <c r="C1080" s="3">
        <v>42548</v>
      </c>
      <c r="D1080" s="2" t="s">
        <v>142</v>
      </c>
      <c r="E1080" s="2" t="s">
        <v>2182</v>
      </c>
      <c r="F1080" s="2" t="s">
        <v>2183</v>
      </c>
      <c r="G1080" s="2" t="s">
        <v>24</v>
      </c>
      <c r="H1080" s="2" t="s">
        <v>25</v>
      </c>
      <c r="I1080" s="2" t="s">
        <v>105</v>
      </c>
      <c r="J1080" s="2" t="s">
        <v>106</v>
      </c>
      <c r="K1080" s="2" t="s">
        <v>61</v>
      </c>
      <c r="L1080" s="2" t="s">
        <v>344</v>
      </c>
      <c r="M1080" s="2" t="s">
        <v>30</v>
      </c>
      <c r="N1080" s="2" t="s">
        <v>42</v>
      </c>
      <c r="O1080" s="2" t="s">
        <v>345</v>
      </c>
      <c r="P1080" s="4">
        <v>2249.152</v>
      </c>
      <c r="Q1080" s="4">
        <v>2</v>
      </c>
      <c r="R1080" s="4">
        <v>637.60419999999999</v>
      </c>
      <c r="S1080" s="2" t="s">
        <v>121</v>
      </c>
      <c r="T1080" s="2" t="s">
        <v>133</v>
      </c>
    </row>
    <row r="1081" spans="1:20" x14ac:dyDescent="0.25">
      <c r="A1081" s="2" t="s">
        <v>2189</v>
      </c>
      <c r="B1081" s="3">
        <v>43035</v>
      </c>
      <c r="C1081" s="3">
        <v>43038</v>
      </c>
      <c r="D1081" s="2" t="s">
        <v>55</v>
      </c>
      <c r="E1081" s="2" t="s">
        <v>196</v>
      </c>
      <c r="F1081" s="2" t="s">
        <v>197</v>
      </c>
      <c r="G1081" s="2" t="s">
        <v>38</v>
      </c>
      <c r="H1081" s="2" t="s">
        <v>25</v>
      </c>
      <c r="I1081" s="2" t="s">
        <v>682</v>
      </c>
      <c r="J1081" s="2" t="s">
        <v>632</v>
      </c>
      <c r="K1081" s="2" t="s">
        <v>82</v>
      </c>
      <c r="L1081" s="2" t="s">
        <v>113</v>
      </c>
      <c r="M1081" s="2" t="s">
        <v>30</v>
      </c>
      <c r="N1081" s="2" t="s">
        <v>31</v>
      </c>
      <c r="O1081" s="2" t="s">
        <v>114</v>
      </c>
      <c r="P1081" s="4">
        <v>39.865299999999998</v>
      </c>
      <c r="Q1081" s="4">
        <v>1</v>
      </c>
      <c r="R1081" s="4">
        <v>-8.1918000000000006</v>
      </c>
      <c r="S1081" s="2" t="s">
        <v>92</v>
      </c>
      <c r="T1081" s="2" t="s">
        <v>224</v>
      </c>
    </row>
    <row r="1082" spans="1:20" x14ac:dyDescent="0.25">
      <c r="A1082" s="2" t="s">
        <v>2190</v>
      </c>
      <c r="B1082" s="3">
        <v>42050</v>
      </c>
      <c r="C1082" s="3">
        <v>42054</v>
      </c>
      <c r="D1082" s="2" t="s">
        <v>55</v>
      </c>
      <c r="E1082" s="2" t="s">
        <v>2191</v>
      </c>
      <c r="F1082" s="2" t="s">
        <v>2192</v>
      </c>
      <c r="G1082" s="2" t="s">
        <v>58</v>
      </c>
      <c r="H1082" s="2" t="s">
        <v>25</v>
      </c>
      <c r="I1082" s="2" t="s">
        <v>274</v>
      </c>
      <c r="J1082" s="2" t="s">
        <v>146</v>
      </c>
      <c r="K1082" s="2" t="s">
        <v>147</v>
      </c>
      <c r="L1082" s="2" t="s">
        <v>252</v>
      </c>
      <c r="M1082" s="2" t="s">
        <v>30</v>
      </c>
      <c r="N1082" s="2" t="s">
        <v>31</v>
      </c>
      <c r="O1082" s="2" t="s">
        <v>253</v>
      </c>
      <c r="P1082" s="4">
        <v>8.1440000000000001</v>
      </c>
      <c r="Q1082" s="4">
        <v>3</v>
      </c>
      <c r="R1082" s="4">
        <v>-0.39600000000000002</v>
      </c>
      <c r="S1082" s="2" t="s">
        <v>75</v>
      </c>
      <c r="T1082" s="2" t="s">
        <v>101</v>
      </c>
    </row>
    <row r="1083" spans="1:20" x14ac:dyDescent="0.25">
      <c r="A1083" s="2" t="s">
        <v>2193</v>
      </c>
      <c r="B1083" s="3">
        <v>42590</v>
      </c>
      <c r="C1083" s="3">
        <v>42590</v>
      </c>
      <c r="D1083" s="2" t="s">
        <v>55</v>
      </c>
      <c r="E1083" s="2" t="s">
        <v>1146</v>
      </c>
      <c r="F1083" s="2" t="s">
        <v>1147</v>
      </c>
      <c r="G1083" s="2" t="s">
        <v>58</v>
      </c>
      <c r="H1083" s="2" t="s">
        <v>25</v>
      </c>
      <c r="I1083" s="2" t="s">
        <v>1688</v>
      </c>
      <c r="J1083" s="2" t="s">
        <v>206</v>
      </c>
      <c r="K1083" s="2" t="s">
        <v>61</v>
      </c>
      <c r="L1083" s="2" t="s">
        <v>311</v>
      </c>
      <c r="M1083" s="2" t="s">
        <v>30</v>
      </c>
      <c r="N1083" s="2" t="s">
        <v>63</v>
      </c>
      <c r="O1083" s="2" t="s">
        <v>312</v>
      </c>
      <c r="P1083" s="4">
        <v>421.72910000000002</v>
      </c>
      <c r="Q1083" s="4">
        <v>2</v>
      </c>
      <c r="R1083" s="4">
        <v>216.4222</v>
      </c>
      <c r="S1083" s="2" t="s">
        <v>121</v>
      </c>
      <c r="T1083" s="2" t="s">
        <v>34</v>
      </c>
    </row>
    <row r="1084" spans="1:20" x14ac:dyDescent="0.25">
      <c r="A1084" s="2" t="s">
        <v>2194</v>
      </c>
      <c r="B1084" s="3">
        <v>42985</v>
      </c>
      <c r="C1084" s="3">
        <v>42986</v>
      </c>
      <c r="D1084" s="2" t="s">
        <v>48</v>
      </c>
      <c r="E1084" s="2" t="s">
        <v>1123</v>
      </c>
      <c r="F1084" s="2" t="s">
        <v>1124</v>
      </c>
      <c r="G1084" s="2" t="s">
        <v>24</v>
      </c>
      <c r="H1084" s="2" t="s">
        <v>25</v>
      </c>
      <c r="I1084" s="2" t="s">
        <v>1118</v>
      </c>
      <c r="J1084" s="2" t="s">
        <v>435</v>
      </c>
      <c r="K1084" s="2" t="s">
        <v>61</v>
      </c>
      <c r="L1084" s="2" t="s">
        <v>186</v>
      </c>
      <c r="M1084" s="2" t="s">
        <v>30</v>
      </c>
      <c r="N1084" s="2" t="s">
        <v>31</v>
      </c>
      <c r="O1084" s="2" t="s">
        <v>187</v>
      </c>
      <c r="P1084" s="4">
        <v>24.5778</v>
      </c>
      <c r="Q1084" s="4">
        <v>3</v>
      </c>
      <c r="R1084" s="4">
        <v>-15.8331</v>
      </c>
      <c r="S1084" s="2" t="s">
        <v>33</v>
      </c>
      <c r="T1084" s="2" t="s">
        <v>148</v>
      </c>
    </row>
    <row r="1085" spans="1:20" x14ac:dyDescent="0.25">
      <c r="A1085" s="2" t="s">
        <v>2195</v>
      </c>
      <c r="B1085" s="3">
        <v>42665</v>
      </c>
      <c r="C1085" s="3">
        <v>42667</v>
      </c>
      <c r="D1085" s="2" t="s">
        <v>55</v>
      </c>
      <c r="E1085" s="2" t="s">
        <v>2196</v>
      </c>
      <c r="F1085" s="2" t="s">
        <v>2197</v>
      </c>
      <c r="G1085" s="2" t="s">
        <v>24</v>
      </c>
      <c r="H1085" s="2" t="s">
        <v>25</v>
      </c>
      <c r="I1085" s="2" t="s">
        <v>191</v>
      </c>
      <c r="J1085" s="2" t="s">
        <v>192</v>
      </c>
      <c r="K1085" s="2" t="s">
        <v>82</v>
      </c>
      <c r="L1085" s="2" t="s">
        <v>186</v>
      </c>
      <c r="M1085" s="2" t="s">
        <v>30</v>
      </c>
      <c r="N1085" s="2" t="s">
        <v>31</v>
      </c>
      <c r="O1085" s="2" t="s">
        <v>187</v>
      </c>
      <c r="P1085" s="4">
        <v>169.84020000000001</v>
      </c>
      <c r="Q1085" s="4">
        <v>6</v>
      </c>
      <c r="R1085" s="4">
        <v>31.9664</v>
      </c>
      <c r="S1085" s="2" t="s">
        <v>53</v>
      </c>
      <c r="T1085" s="2" t="s">
        <v>224</v>
      </c>
    </row>
    <row r="1086" spans="1:20" x14ac:dyDescent="0.25">
      <c r="A1086" s="2" t="s">
        <v>2198</v>
      </c>
      <c r="B1086" s="3">
        <v>42581</v>
      </c>
      <c r="C1086" s="3">
        <v>42583</v>
      </c>
      <c r="D1086" s="2" t="s">
        <v>48</v>
      </c>
      <c r="E1086" s="2" t="s">
        <v>2199</v>
      </c>
      <c r="F1086" s="2" t="s">
        <v>2200</v>
      </c>
      <c r="G1086" s="2" t="s">
        <v>38</v>
      </c>
      <c r="H1086" s="2" t="s">
        <v>25</v>
      </c>
      <c r="I1086" s="2" t="s">
        <v>1055</v>
      </c>
      <c r="J1086" s="2" t="s">
        <v>106</v>
      </c>
      <c r="K1086" s="2" t="s">
        <v>61</v>
      </c>
      <c r="L1086" s="2" t="s">
        <v>29</v>
      </c>
      <c r="M1086" s="2" t="s">
        <v>30</v>
      </c>
      <c r="N1086" s="2" t="s">
        <v>31</v>
      </c>
      <c r="O1086" s="2" t="s">
        <v>32</v>
      </c>
      <c r="P1086" s="4">
        <v>49.731099999999998</v>
      </c>
      <c r="Q1086" s="4">
        <v>3</v>
      </c>
      <c r="R1086" s="4">
        <v>-33.417900000000003</v>
      </c>
      <c r="S1086" s="2" t="s">
        <v>53</v>
      </c>
      <c r="T1086" s="2" t="s">
        <v>86</v>
      </c>
    </row>
    <row r="1087" spans="1:20" x14ac:dyDescent="0.25">
      <c r="A1087" s="2" t="s">
        <v>2201</v>
      </c>
      <c r="B1087" s="3">
        <v>42989</v>
      </c>
      <c r="C1087" s="3">
        <v>42994</v>
      </c>
      <c r="D1087" s="2" t="s">
        <v>55</v>
      </c>
      <c r="E1087" s="2" t="s">
        <v>1928</v>
      </c>
      <c r="F1087" s="2" t="s">
        <v>1929</v>
      </c>
      <c r="G1087" s="2" t="s">
        <v>38</v>
      </c>
      <c r="H1087" s="2" t="s">
        <v>25</v>
      </c>
      <c r="I1087" s="2" t="s">
        <v>531</v>
      </c>
      <c r="J1087" s="2" t="s">
        <v>435</v>
      </c>
      <c r="K1087" s="2" t="s">
        <v>61</v>
      </c>
      <c r="L1087" s="2" t="s">
        <v>252</v>
      </c>
      <c r="M1087" s="2" t="s">
        <v>30</v>
      </c>
      <c r="N1087" s="2" t="s">
        <v>31</v>
      </c>
      <c r="O1087" s="2" t="s">
        <v>253</v>
      </c>
      <c r="P1087" s="4">
        <v>103.1845</v>
      </c>
      <c r="Q1087" s="4">
        <v>7</v>
      </c>
      <c r="R1087" s="4">
        <v>10.6052</v>
      </c>
      <c r="S1087" s="2" t="s">
        <v>85</v>
      </c>
      <c r="T1087" s="2" t="s">
        <v>148</v>
      </c>
    </row>
    <row r="1088" spans="1:20" x14ac:dyDescent="0.25">
      <c r="A1088" s="2" t="s">
        <v>2202</v>
      </c>
      <c r="B1088" s="3">
        <v>41732</v>
      </c>
      <c r="C1088" s="3">
        <v>41735</v>
      </c>
      <c r="D1088" s="2" t="s">
        <v>55</v>
      </c>
      <c r="E1088" s="2" t="s">
        <v>2203</v>
      </c>
      <c r="F1088" s="2" t="s">
        <v>2204</v>
      </c>
      <c r="G1088" s="2" t="s">
        <v>58</v>
      </c>
      <c r="H1088" s="2" t="s">
        <v>25</v>
      </c>
      <c r="I1088" s="2" t="s">
        <v>184</v>
      </c>
      <c r="J1088" s="2" t="s">
        <v>185</v>
      </c>
      <c r="K1088" s="2" t="s">
        <v>147</v>
      </c>
      <c r="L1088" s="2" t="s">
        <v>218</v>
      </c>
      <c r="M1088" s="2" t="s">
        <v>30</v>
      </c>
      <c r="N1088" s="2" t="s">
        <v>31</v>
      </c>
      <c r="O1088" s="2" t="s">
        <v>219</v>
      </c>
      <c r="P1088" s="4">
        <v>176.44749999999999</v>
      </c>
      <c r="Q1088" s="4">
        <v>2</v>
      </c>
      <c r="R1088" s="4">
        <v>-15.481999999999999</v>
      </c>
      <c r="S1088" s="2" t="s">
        <v>92</v>
      </c>
      <c r="T1088" s="2" t="s">
        <v>108</v>
      </c>
    </row>
    <row r="1089" spans="1:20" x14ac:dyDescent="0.25">
      <c r="A1089" s="2" t="s">
        <v>2202</v>
      </c>
      <c r="B1089" s="3">
        <v>41732</v>
      </c>
      <c r="C1089" s="3">
        <v>41735</v>
      </c>
      <c r="D1089" s="2" t="s">
        <v>55</v>
      </c>
      <c r="E1089" s="2" t="s">
        <v>2203</v>
      </c>
      <c r="F1089" s="2" t="s">
        <v>2204</v>
      </c>
      <c r="G1089" s="2" t="s">
        <v>58</v>
      </c>
      <c r="H1089" s="2" t="s">
        <v>25</v>
      </c>
      <c r="I1089" s="2" t="s">
        <v>184</v>
      </c>
      <c r="J1089" s="2" t="s">
        <v>185</v>
      </c>
      <c r="K1089" s="2" t="s">
        <v>147</v>
      </c>
      <c r="L1089" s="2" t="s">
        <v>252</v>
      </c>
      <c r="M1089" s="2" t="s">
        <v>30</v>
      </c>
      <c r="N1089" s="2" t="s">
        <v>31</v>
      </c>
      <c r="O1089" s="2" t="s">
        <v>253</v>
      </c>
      <c r="P1089" s="4">
        <v>50.163699999999999</v>
      </c>
      <c r="Q1089" s="4">
        <v>1</v>
      </c>
      <c r="R1089" s="4">
        <v>26.982600000000001</v>
      </c>
      <c r="S1089" s="2" t="s">
        <v>92</v>
      </c>
      <c r="T1089" s="2" t="s">
        <v>108</v>
      </c>
    </row>
    <row r="1090" spans="1:20" x14ac:dyDescent="0.25">
      <c r="A1090" s="2" t="s">
        <v>2202</v>
      </c>
      <c r="B1090" s="3">
        <v>41732</v>
      </c>
      <c r="C1090" s="3">
        <v>41735</v>
      </c>
      <c r="D1090" s="2" t="s">
        <v>55</v>
      </c>
      <c r="E1090" s="2" t="s">
        <v>2203</v>
      </c>
      <c r="F1090" s="2" t="s">
        <v>2204</v>
      </c>
      <c r="G1090" s="2" t="s">
        <v>58</v>
      </c>
      <c r="H1090" s="2" t="s">
        <v>25</v>
      </c>
      <c r="I1090" s="2" t="s">
        <v>184</v>
      </c>
      <c r="J1090" s="2" t="s">
        <v>185</v>
      </c>
      <c r="K1090" s="2" t="s">
        <v>147</v>
      </c>
      <c r="L1090" s="2" t="s">
        <v>323</v>
      </c>
      <c r="M1090" s="2" t="s">
        <v>30</v>
      </c>
      <c r="N1090" s="2" t="s">
        <v>31</v>
      </c>
      <c r="O1090" s="2" t="s">
        <v>324</v>
      </c>
      <c r="P1090" s="4">
        <v>93.184700000000007</v>
      </c>
      <c r="Q1090" s="4">
        <v>2</v>
      </c>
      <c r="R1090" s="4">
        <v>-38.819400000000002</v>
      </c>
      <c r="S1090" s="2" t="s">
        <v>92</v>
      </c>
      <c r="T1090" s="2" t="s">
        <v>108</v>
      </c>
    </row>
    <row r="1091" spans="1:20" x14ac:dyDescent="0.25">
      <c r="A1091" s="2" t="s">
        <v>2205</v>
      </c>
      <c r="B1091" s="3">
        <v>42426</v>
      </c>
      <c r="C1091" s="3">
        <v>42426</v>
      </c>
      <c r="D1091" s="2" t="s">
        <v>48</v>
      </c>
      <c r="E1091" s="2" t="s">
        <v>2206</v>
      </c>
      <c r="F1091" s="2" t="s">
        <v>2207</v>
      </c>
      <c r="G1091" s="2" t="s">
        <v>58</v>
      </c>
      <c r="H1091" s="2" t="s">
        <v>25</v>
      </c>
      <c r="I1091" s="2" t="s">
        <v>1300</v>
      </c>
      <c r="J1091" s="2" t="s">
        <v>60</v>
      </c>
      <c r="K1091" s="2" t="s">
        <v>61</v>
      </c>
      <c r="L1091" s="2" t="s">
        <v>99</v>
      </c>
      <c r="M1091" s="2" t="s">
        <v>30</v>
      </c>
      <c r="N1091" s="2" t="s">
        <v>42</v>
      </c>
      <c r="O1091" s="2" t="s">
        <v>100</v>
      </c>
      <c r="P1091" s="4">
        <v>407.36110000000002</v>
      </c>
      <c r="Q1091" s="4">
        <v>6</v>
      </c>
      <c r="R1091" s="4">
        <v>22.219000000000001</v>
      </c>
      <c r="S1091" s="2" t="s">
        <v>121</v>
      </c>
      <c r="T1091" s="2" t="s">
        <v>101</v>
      </c>
    </row>
    <row r="1092" spans="1:20" x14ac:dyDescent="0.25">
      <c r="A1092" s="2" t="s">
        <v>2208</v>
      </c>
      <c r="B1092" s="3">
        <v>41700</v>
      </c>
      <c r="C1092" s="3">
        <v>41700</v>
      </c>
      <c r="D1092" s="2" t="s">
        <v>142</v>
      </c>
      <c r="E1092" s="2" t="s">
        <v>1586</v>
      </c>
      <c r="F1092" s="2" t="s">
        <v>1587</v>
      </c>
      <c r="G1092" s="2" t="s">
        <v>58</v>
      </c>
      <c r="H1092" s="2" t="s">
        <v>25</v>
      </c>
      <c r="I1092" s="2" t="s">
        <v>198</v>
      </c>
      <c r="J1092" s="2" t="s">
        <v>199</v>
      </c>
      <c r="K1092" s="2" t="s">
        <v>82</v>
      </c>
      <c r="L1092" s="2" t="s">
        <v>83</v>
      </c>
      <c r="M1092" s="2" t="s">
        <v>30</v>
      </c>
      <c r="N1092" s="2" t="s">
        <v>42</v>
      </c>
      <c r="O1092" s="2" t="s">
        <v>84</v>
      </c>
      <c r="P1092" s="4">
        <v>287.28269999999998</v>
      </c>
      <c r="Q1092" s="4">
        <v>3</v>
      </c>
      <c r="R1092" s="4">
        <v>11.4169</v>
      </c>
      <c r="S1092" s="2" t="s">
        <v>121</v>
      </c>
      <c r="T1092" s="2" t="s">
        <v>44</v>
      </c>
    </row>
    <row r="1093" spans="1:20" x14ac:dyDescent="0.25">
      <c r="A1093" s="2" t="s">
        <v>2209</v>
      </c>
      <c r="B1093" s="3">
        <v>42645</v>
      </c>
      <c r="C1093" s="3">
        <v>42648</v>
      </c>
      <c r="D1093" s="2" t="s">
        <v>55</v>
      </c>
      <c r="E1093" s="2" t="s">
        <v>503</v>
      </c>
      <c r="F1093" s="2" t="s">
        <v>504</v>
      </c>
      <c r="G1093" s="2" t="s">
        <v>58</v>
      </c>
      <c r="H1093" s="2" t="s">
        <v>25</v>
      </c>
      <c r="I1093" s="2" t="s">
        <v>474</v>
      </c>
      <c r="J1093" s="2" t="s">
        <v>475</v>
      </c>
      <c r="K1093" s="2" t="s">
        <v>28</v>
      </c>
      <c r="L1093" s="2" t="s">
        <v>311</v>
      </c>
      <c r="M1093" s="2" t="s">
        <v>30</v>
      </c>
      <c r="N1093" s="2" t="s">
        <v>63</v>
      </c>
      <c r="O1093" s="2" t="s">
        <v>312</v>
      </c>
      <c r="P1093" s="4">
        <v>1365.9386</v>
      </c>
      <c r="Q1093" s="4">
        <v>2</v>
      </c>
      <c r="R1093" s="4">
        <v>-254.14060000000001</v>
      </c>
      <c r="S1093" s="2" t="s">
        <v>92</v>
      </c>
      <c r="T1093" s="2" t="s">
        <v>224</v>
      </c>
    </row>
    <row r="1094" spans="1:20" x14ac:dyDescent="0.25">
      <c r="A1094" s="2" t="s">
        <v>2210</v>
      </c>
      <c r="B1094" s="3">
        <v>41837</v>
      </c>
      <c r="C1094" s="3">
        <v>41838</v>
      </c>
      <c r="D1094" s="2" t="s">
        <v>55</v>
      </c>
      <c r="E1094" s="2" t="s">
        <v>2211</v>
      </c>
      <c r="F1094" s="2" t="s">
        <v>2212</v>
      </c>
      <c r="G1094" s="2" t="s">
        <v>24</v>
      </c>
      <c r="H1094" s="2" t="s">
        <v>25</v>
      </c>
      <c r="I1094" s="2" t="s">
        <v>350</v>
      </c>
      <c r="J1094" s="2" t="s">
        <v>351</v>
      </c>
      <c r="K1094" s="2" t="s">
        <v>147</v>
      </c>
      <c r="L1094" s="2" t="s">
        <v>218</v>
      </c>
      <c r="M1094" s="2" t="s">
        <v>30</v>
      </c>
      <c r="N1094" s="2" t="s">
        <v>31</v>
      </c>
      <c r="O1094" s="2" t="s">
        <v>219</v>
      </c>
      <c r="P1094" s="4">
        <v>42.9405</v>
      </c>
      <c r="Q1094" s="4">
        <v>4</v>
      </c>
      <c r="R1094" s="4">
        <v>-11.0252</v>
      </c>
      <c r="S1094" s="2" t="s">
        <v>33</v>
      </c>
      <c r="T1094" s="2" t="s">
        <v>86</v>
      </c>
    </row>
    <row r="1095" spans="1:20" x14ac:dyDescent="0.25">
      <c r="A1095" s="2" t="s">
        <v>2213</v>
      </c>
      <c r="B1095" s="3">
        <v>42955</v>
      </c>
      <c r="C1095" s="3">
        <v>42957</v>
      </c>
      <c r="D1095" s="2" t="s">
        <v>55</v>
      </c>
      <c r="E1095" s="2" t="s">
        <v>1249</v>
      </c>
      <c r="F1095" s="2" t="s">
        <v>1250</v>
      </c>
      <c r="G1095" s="2" t="s">
        <v>24</v>
      </c>
      <c r="H1095" s="2" t="s">
        <v>25</v>
      </c>
      <c r="I1095" s="2" t="s">
        <v>639</v>
      </c>
      <c r="J1095" s="2" t="s">
        <v>192</v>
      </c>
      <c r="K1095" s="2" t="s">
        <v>82</v>
      </c>
      <c r="L1095" s="2" t="s">
        <v>161</v>
      </c>
      <c r="M1095" s="2" t="s">
        <v>30</v>
      </c>
      <c r="N1095" s="2" t="s">
        <v>162</v>
      </c>
      <c r="O1095" s="2" t="s">
        <v>163</v>
      </c>
      <c r="P1095" s="4">
        <v>448.06299999999999</v>
      </c>
      <c r="Q1095" s="4">
        <v>3</v>
      </c>
      <c r="R1095" s="4">
        <v>110.1028</v>
      </c>
      <c r="S1095" s="2" t="s">
        <v>53</v>
      </c>
      <c r="T1095" s="2" t="s">
        <v>34</v>
      </c>
    </row>
    <row r="1096" spans="1:20" x14ac:dyDescent="0.25">
      <c r="A1096" s="2" t="s">
        <v>2214</v>
      </c>
      <c r="B1096" s="3">
        <v>42410</v>
      </c>
      <c r="C1096" s="3">
        <v>42410</v>
      </c>
      <c r="D1096" s="2" t="s">
        <v>55</v>
      </c>
      <c r="E1096" s="2" t="s">
        <v>1275</v>
      </c>
      <c r="F1096" s="2" t="s">
        <v>1276</v>
      </c>
      <c r="G1096" s="2" t="s">
        <v>58</v>
      </c>
      <c r="H1096" s="2" t="s">
        <v>25</v>
      </c>
      <c r="I1096" s="2" t="s">
        <v>1300</v>
      </c>
      <c r="J1096" s="2" t="s">
        <v>60</v>
      </c>
      <c r="K1096" s="2" t="s">
        <v>61</v>
      </c>
      <c r="L1096" s="2" t="s">
        <v>228</v>
      </c>
      <c r="M1096" s="2" t="s">
        <v>30</v>
      </c>
      <c r="N1096" s="2" t="s">
        <v>42</v>
      </c>
      <c r="O1096" s="2" t="s">
        <v>229</v>
      </c>
      <c r="P1096" s="4">
        <v>469.29180000000002</v>
      </c>
      <c r="Q1096" s="4">
        <v>2</v>
      </c>
      <c r="R1096" s="4">
        <v>25.616599999999998</v>
      </c>
      <c r="S1096" s="2" t="s">
        <v>121</v>
      </c>
      <c r="T1096" s="2" t="s">
        <v>101</v>
      </c>
    </row>
    <row r="1097" spans="1:20" x14ac:dyDescent="0.25">
      <c r="A1097" s="2" t="s">
        <v>2215</v>
      </c>
      <c r="B1097" s="3">
        <v>42233</v>
      </c>
      <c r="C1097" s="3">
        <v>42236</v>
      </c>
      <c r="D1097" s="2" t="s">
        <v>55</v>
      </c>
      <c r="E1097" s="2" t="s">
        <v>2216</v>
      </c>
      <c r="F1097" s="2" t="s">
        <v>2217</v>
      </c>
      <c r="G1097" s="2" t="s">
        <v>38</v>
      </c>
      <c r="H1097" s="2" t="s">
        <v>25</v>
      </c>
      <c r="I1097" s="2" t="s">
        <v>343</v>
      </c>
      <c r="J1097" s="2" t="s">
        <v>153</v>
      </c>
      <c r="K1097" s="2" t="s">
        <v>147</v>
      </c>
      <c r="L1097" s="2" t="s">
        <v>113</v>
      </c>
      <c r="M1097" s="2" t="s">
        <v>30</v>
      </c>
      <c r="N1097" s="2" t="s">
        <v>31</v>
      </c>
      <c r="O1097" s="2" t="s">
        <v>114</v>
      </c>
      <c r="P1097" s="4">
        <v>15.3399</v>
      </c>
      <c r="Q1097" s="4">
        <v>1</v>
      </c>
      <c r="R1097" s="4">
        <v>11.080299999999999</v>
      </c>
      <c r="S1097" s="2" t="s">
        <v>92</v>
      </c>
      <c r="T1097" s="2" t="s">
        <v>34</v>
      </c>
    </row>
    <row r="1098" spans="1:20" x14ac:dyDescent="0.25">
      <c r="A1098" s="2" t="s">
        <v>2215</v>
      </c>
      <c r="B1098" s="3">
        <v>42233</v>
      </c>
      <c r="C1098" s="3">
        <v>42236</v>
      </c>
      <c r="D1098" s="2" t="s">
        <v>55</v>
      </c>
      <c r="E1098" s="2" t="s">
        <v>2216</v>
      </c>
      <c r="F1098" s="2" t="s">
        <v>2217</v>
      </c>
      <c r="G1098" s="2" t="s">
        <v>38</v>
      </c>
      <c r="H1098" s="2" t="s">
        <v>25</v>
      </c>
      <c r="I1098" s="2" t="s">
        <v>343</v>
      </c>
      <c r="J1098" s="2" t="s">
        <v>153</v>
      </c>
      <c r="K1098" s="2" t="s">
        <v>147</v>
      </c>
      <c r="L1098" s="2" t="s">
        <v>344</v>
      </c>
      <c r="M1098" s="2" t="s">
        <v>30</v>
      </c>
      <c r="N1098" s="2" t="s">
        <v>42</v>
      </c>
      <c r="O1098" s="2" t="s">
        <v>345</v>
      </c>
      <c r="P1098" s="4">
        <v>518.70820000000003</v>
      </c>
      <c r="Q1098" s="4">
        <v>4</v>
      </c>
      <c r="R1098" s="4">
        <v>-197.2088</v>
      </c>
      <c r="S1098" s="2" t="s">
        <v>92</v>
      </c>
      <c r="T1098" s="2" t="s">
        <v>34</v>
      </c>
    </row>
    <row r="1099" spans="1:20" x14ac:dyDescent="0.25">
      <c r="A1099" s="2" t="s">
        <v>2218</v>
      </c>
      <c r="B1099" s="3">
        <v>41756</v>
      </c>
      <c r="C1099" s="3">
        <v>41762</v>
      </c>
      <c r="D1099" s="2" t="s">
        <v>55</v>
      </c>
      <c r="E1099" s="2" t="s">
        <v>2219</v>
      </c>
      <c r="F1099" s="2" t="s">
        <v>2220</v>
      </c>
      <c r="G1099" s="2" t="s">
        <v>58</v>
      </c>
      <c r="H1099" s="2" t="s">
        <v>25</v>
      </c>
      <c r="I1099" s="2" t="s">
        <v>799</v>
      </c>
      <c r="J1099" s="2" t="s">
        <v>160</v>
      </c>
      <c r="K1099" s="2" t="s">
        <v>61</v>
      </c>
      <c r="L1099" s="2" t="s">
        <v>41</v>
      </c>
      <c r="M1099" s="2" t="s">
        <v>30</v>
      </c>
      <c r="N1099" s="2" t="s">
        <v>42</v>
      </c>
      <c r="O1099" s="2" t="s">
        <v>43</v>
      </c>
      <c r="P1099" s="4">
        <v>3506.5014999999999</v>
      </c>
      <c r="Q1099" s="4">
        <v>5</v>
      </c>
      <c r="R1099" s="4">
        <v>42.187199999999997</v>
      </c>
      <c r="S1099" s="2" t="s">
        <v>65</v>
      </c>
      <c r="T1099" s="2" t="s">
        <v>108</v>
      </c>
    </row>
    <row r="1100" spans="1:20" x14ac:dyDescent="0.25">
      <c r="A1100" s="2" t="s">
        <v>2221</v>
      </c>
      <c r="B1100" s="3">
        <v>41925</v>
      </c>
      <c r="C1100" s="3">
        <v>41926</v>
      </c>
      <c r="D1100" s="2" t="s">
        <v>55</v>
      </c>
      <c r="E1100" s="2" t="s">
        <v>912</v>
      </c>
      <c r="F1100" s="2" t="s">
        <v>913</v>
      </c>
      <c r="G1100" s="2" t="s">
        <v>24</v>
      </c>
      <c r="H1100" s="2" t="s">
        <v>25</v>
      </c>
      <c r="I1100" s="2" t="s">
        <v>799</v>
      </c>
      <c r="J1100" s="2" t="s">
        <v>160</v>
      </c>
      <c r="K1100" s="2" t="s">
        <v>61</v>
      </c>
      <c r="L1100" s="2" t="s">
        <v>29</v>
      </c>
      <c r="M1100" s="2" t="s">
        <v>30</v>
      </c>
      <c r="N1100" s="2" t="s">
        <v>31</v>
      </c>
      <c r="O1100" s="2" t="s">
        <v>32</v>
      </c>
      <c r="P1100" s="4">
        <v>174.96549999999999</v>
      </c>
      <c r="Q1100" s="4">
        <v>1</v>
      </c>
      <c r="R1100" s="4">
        <v>25.4161</v>
      </c>
      <c r="S1100" s="2" t="s">
        <v>33</v>
      </c>
      <c r="T1100" s="2" t="s">
        <v>224</v>
      </c>
    </row>
    <row r="1101" spans="1:20" x14ac:dyDescent="0.25">
      <c r="A1101" s="2" t="s">
        <v>2222</v>
      </c>
      <c r="B1101" s="3">
        <v>43079</v>
      </c>
      <c r="C1101" s="3">
        <v>43079</v>
      </c>
      <c r="D1101" s="2" t="s">
        <v>21</v>
      </c>
      <c r="E1101" s="2" t="s">
        <v>2223</v>
      </c>
      <c r="F1101" s="2" t="s">
        <v>2224</v>
      </c>
      <c r="G1101" s="2" t="s">
        <v>24</v>
      </c>
      <c r="H1101" s="2" t="s">
        <v>25</v>
      </c>
      <c r="I1101" s="2" t="s">
        <v>137</v>
      </c>
      <c r="J1101" s="2" t="s">
        <v>138</v>
      </c>
      <c r="K1101" s="2" t="s">
        <v>82</v>
      </c>
      <c r="L1101" s="2" t="s">
        <v>677</v>
      </c>
      <c r="M1101" s="2" t="s">
        <v>30</v>
      </c>
      <c r="N1101" s="2" t="s">
        <v>162</v>
      </c>
      <c r="O1101" s="2" t="s">
        <v>678</v>
      </c>
      <c r="P1101" s="4">
        <v>737.7627</v>
      </c>
      <c r="Q1101" s="4">
        <v>1</v>
      </c>
      <c r="R1101" s="4">
        <v>-156.5779</v>
      </c>
      <c r="S1101" s="2" t="s">
        <v>121</v>
      </c>
      <c r="T1101" s="2" t="s">
        <v>76</v>
      </c>
    </row>
    <row r="1102" spans="1:20" x14ac:dyDescent="0.25">
      <c r="A1102" s="2" t="s">
        <v>2222</v>
      </c>
      <c r="B1102" s="3">
        <v>43079</v>
      </c>
      <c r="C1102" s="3">
        <v>43079</v>
      </c>
      <c r="D1102" s="2" t="s">
        <v>21</v>
      </c>
      <c r="E1102" s="2" t="s">
        <v>2223</v>
      </c>
      <c r="F1102" s="2" t="s">
        <v>2224</v>
      </c>
      <c r="G1102" s="2" t="s">
        <v>24</v>
      </c>
      <c r="H1102" s="2" t="s">
        <v>25</v>
      </c>
      <c r="I1102" s="2" t="s">
        <v>137</v>
      </c>
      <c r="J1102" s="2" t="s">
        <v>138</v>
      </c>
      <c r="K1102" s="2" t="s">
        <v>82</v>
      </c>
      <c r="L1102" s="2" t="s">
        <v>41</v>
      </c>
      <c r="M1102" s="2" t="s">
        <v>30</v>
      </c>
      <c r="N1102" s="2" t="s">
        <v>42</v>
      </c>
      <c r="O1102" s="2" t="s">
        <v>43</v>
      </c>
      <c r="P1102" s="4">
        <v>455.6173</v>
      </c>
      <c r="Q1102" s="4">
        <v>2</v>
      </c>
      <c r="R1102" s="4">
        <v>-46.231400000000001</v>
      </c>
      <c r="S1102" s="2" t="s">
        <v>121</v>
      </c>
      <c r="T1102" s="2" t="s">
        <v>76</v>
      </c>
    </row>
    <row r="1103" spans="1:20" x14ac:dyDescent="0.25">
      <c r="A1103" s="2" t="s">
        <v>2225</v>
      </c>
      <c r="B1103" s="3">
        <v>41853</v>
      </c>
      <c r="C1103" s="3">
        <v>41856</v>
      </c>
      <c r="D1103" s="2" t="s">
        <v>55</v>
      </c>
      <c r="E1103" s="2" t="s">
        <v>835</v>
      </c>
      <c r="F1103" s="2" t="s">
        <v>836</v>
      </c>
      <c r="G1103" s="2" t="s">
        <v>58</v>
      </c>
      <c r="H1103" s="2" t="s">
        <v>25</v>
      </c>
      <c r="I1103" s="2" t="s">
        <v>105</v>
      </c>
      <c r="J1103" s="2" t="s">
        <v>106</v>
      </c>
      <c r="K1103" s="2" t="s">
        <v>61</v>
      </c>
      <c r="L1103" s="2" t="s">
        <v>1476</v>
      </c>
      <c r="M1103" s="2" t="s">
        <v>30</v>
      </c>
      <c r="N1103" s="2" t="s">
        <v>63</v>
      </c>
      <c r="O1103" s="2" t="s">
        <v>1477</v>
      </c>
      <c r="P1103" s="4">
        <v>67.005099999999999</v>
      </c>
      <c r="Q1103" s="4">
        <v>2</v>
      </c>
      <c r="R1103" s="4">
        <v>1.1922999999999999</v>
      </c>
      <c r="S1103" s="2" t="s">
        <v>92</v>
      </c>
      <c r="T1103" s="2" t="s">
        <v>34</v>
      </c>
    </row>
    <row r="1104" spans="1:20" x14ac:dyDescent="0.25">
      <c r="A1104" s="2" t="s">
        <v>2226</v>
      </c>
      <c r="B1104" s="3">
        <v>42734</v>
      </c>
      <c r="C1104" s="3">
        <v>42740</v>
      </c>
      <c r="D1104" s="2" t="s">
        <v>55</v>
      </c>
      <c r="E1104" s="2" t="s">
        <v>2075</v>
      </c>
      <c r="F1104" s="2" t="s">
        <v>2076</v>
      </c>
      <c r="G1104" s="2" t="s">
        <v>38</v>
      </c>
      <c r="H1104" s="2" t="s">
        <v>25</v>
      </c>
      <c r="I1104" s="2" t="s">
        <v>861</v>
      </c>
      <c r="J1104" s="2" t="s">
        <v>403</v>
      </c>
      <c r="K1104" s="2" t="s">
        <v>147</v>
      </c>
      <c r="L1104" s="2" t="s">
        <v>372</v>
      </c>
      <c r="M1104" s="2" t="s">
        <v>30</v>
      </c>
      <c r="N1104" s="2" t="s">
        <v>162</v>
      </c>
      <c r="O1104" s="2" t="s">
        <v>373</v>
      </c>
      <c r="P1104" s="4">
        <v>699.19140000000004</v>
      </c>
      <c r="Q1104" s="4">
        <v>1</v>
      </c>
      <c r="R1104" s="4">
        <v>-198.1936</v>
      </c>
      <c r="S1104" s="2" t="s">
        <v>65</v>
      </c>
      <c r="T1104" s="2" t="s">
        <v>76</v>
      </c>
    </row>
    <row r="1105" spans="1:20" x14ac:dyDescent="0.25">
      <c r="A1105" s="2" t="s">
        <v>2227</v>
      </c>
      <c r="B1105" s="3">
        <v>42765</v>
      </c>
      <c r="C1105" s="3">
        <v>42765</v>
      </c>
      <c r="D1105" s="2" t="s">
        <v>55</v>
      </c>
      <c r="E1105" s="2" t="s">
        <v>1430</v>
      </c>
      <c r="F1105" s="2" t="s">
        <v>1431</v>
      </c>
      <c r="G1105" s="2" t="s">
        <v>58</v>
      </c>
      <c r="H1105" s="2" t="s">
        <v>25</v>
      </c>
      <c r="I1105" s="2" t="s">
        <v>1366</v>
      </c>
      <c r="J1105" s="2" t="s">
        <v>244</v>
      </c>
      <c r="K1105" s="2" t="s">
        <v>61</v>
      </c>
      <c r="L1105" s="2" t="s">
        <v>839</v>
      </c>
      <c r="M1105" s="2" t="s">
        <v>30</v>
      </c>
      <c r="N1105" s="2" t="s">
        <v>63</v>
      </c>
      <c r="O1105" s="2" t="s">
        <v>840</v>
      </c>
      <c r="P1105" s="4">
        <v>242.38939999999999</v>
      </c>
      <c r="Q1105" s="4">
        <v>3</v>
      </c>
      <c r="R1105" s="4">
        <v>26.086200000000002</v>
      </c>
      <c r="S1105" s="2" t="s">
        <v>121</v>
      </c>
      <c r="T1105" s="2" t="s">
        <v>115</v>
      </c>
    </row>
    <row r="1106" spans="1:20" x14ac:dyDescent="0.25">
      <c r="A1106" s="2" t="s">
        <v>2228</v>
      </c>
      <c r="B1106" s="3">
        <v>42105</v>
      </c>
      <c r="C1106" s="3">
        <v>42105</v>
      </c>
      <c r="D1106" s="2" t="s">
        <v>48</v>
      </c>
      <c r="E1106" s="2" t="s">
        <v>831</v>
      </c>
      <c r="F1106" s="2" t="s">
        <v>832</v>
      </c>
      <c r="G1106" s="2" t="s">
        <v>38</v>
      </c>
      <c r="H1106" s="2" t="s">
        <v>25</v>
      </c>
      <c r="I1106" s="2" t="s">
        <v>509</v>
      </c>
      <c r="J1106" s="2" t="s">
        <v>356</v>
      </c>
      <c r="K1106" s="2" t="s">
        <v>147</v>
      </c>
      <c r="L1106" s="2" t="s">
        <v>169</v>
      </c>
      <c r="M1106" s="2" t="s">
        <v>30</v>
      </c>
      <c r="N1106" s="2" t="s">
        <v>162</v>
      </c>
      <c r="O1106" s="2" t="s">
        <v>170</v>
      </c>
      <c r="P1106" s="4">
        <v>488.05560000000003</v>
      </c>
      <c r="Q1106" s="4">
        <v>4</v>
      </c>
      <c r="R1106" s="4">
        <v>-98.2654</v>
      </c>
      <c r="S1106" s="2" t="s">
        <v>121</v>
      </c>
      <c r="T1106" s="2" t="s">
        <v>108</v>
      </c>
    </row>
    <row r="1107" spans="1:20" x14ac:dyDescent="0.25">
      <c r="A1107" s="2" t="s">
        <v>2229</v>
      </c>
      <c r="B1107" s="3">
        <v>41729</v>
      </c>
      <c r="C1107" s="3">
        <v>41732</v>
      </c>
      <c r="D1107" s="2" t="s">
        <v>21</v>
      </c>
      <c r="E1107" s="2" t="s">
        <v>2230</v>
      </c>
      <c r="F1107" s="2" t="s">
        <v>2231</v>
      </c>
      <c r="G1107" s="2" t="s">
        <v>38</v>
      </c>
      <c r="H1107" s="2" t="s">
        <v>25</v>
      </c>
      <c r="I1107" s="2" t="s">
        <v>469</v>
      </c>
      <c r="J1107" s="2" t="s">
        <v>470</v>
      </c>
      <c r="K1107" s="2" t="s">
        <v>28</v>
      </c>
      <c r="L1107" s="2" t="s">
        <v>252</v>
      </c>
      <c r="M1107" s="2" t="s">
        <v>30</v>
      </c>
      <c r="N1107" s="2" t="s">
        <v>31</v>
      </c>
      <c r="O1107" s="2" t="s">
        <v>253</v>
      </c>
      <c r="P1107" s="4">
        <v>8.5024999999999995</v>
      </c>
      <c r="Q1107" s="4">
        <v>6</v>
      </c>
      <c r="R1107" s="4">
        <v>3.5118</v>
      </c>
      <c r="S1107" s="2" t="s">
        <v>92</v>
      </c>
      <c r="T1107" s="2" t="s">
        <v>44</v>
      </c>
    </row>
    <row r="1108" spans="1:20" x14ac:dyDescent="0.25">
      <c r="A1108" s="2" t="s">
        <v>2232</v>
      </c>
      <c r="B1108" s="3">
        <v>42152</v>
      </c>
      <c r="C1108" s="3">
        <v>42154</v>
      </c>
      <c r="D1108" s="2" t="s">
        <v>21</v>
      </c>
      <c r="E1108" s="2" t="s">
        <v>1393</v>
      </c>
      <c r="F1108" s="2" t="s">
        <v>1394</v>
      </c>
      <c r="G1108" s="2" t="s">
        <v>38</v>
      </c>
      <c r="H1108" s="2" t="s">
        <v>25</v>
      </c>
      <c r="I1108" s="2" t="s">
        <v>119</v>
      </c>
      <c r="J1108" s="2" t="s">
        <v>120</v>
      </c>
      <c r="K1108" s="2" t="s">
        <v>61</v>
      </c>
      <c r="L1108" s="2" t="s">
        <v>99</v>
      </c>
      <c r="M1108" s="2" t="s">
        <v>30</v>
      </c>
      <c r="N1108" s="2" t="s">
        <v>42</v>
      </c>
      <c r="O1108" s="2" t="s">
        <v>100</v>
      </c>
      <c r="P1108" s="4">
        <v>488.1046</v>
      </c>
      <c r="Q1108" s="4">
        <v>1</v>
      </c>
      <c r="R1108" s="4">
        <v>-115.4492</v>
      </c>
      <c r="S1108" s="2" t="s">
        <v>53</v>
      </c>
      <c r="T1108" s="2" t="s">
        <v>122</v>
      </c>
    </row>
    <row r="1109" spans="1:20" x14ac:dyDescent="0.25">
      <c r="A1109" s="2" t="s">
        <v>2233</v>
      </c>
      <c r="B1109" s="3">
        <v>42140</v>
      </c>
      <c r="C1109" s="3">
        <v>42142</v>
      </c>
      <c r="D1109" s="2" t="s">
        <v>48</v>
      </c>
      <c r="E1109" s="2" t="s">
        <v>2234</v>
      </c>
      <c r="F1109" s="2" t="s">
        <v>2235</v>
      </c>
      <c r="G1109" s="2" t="s">
        <v>38</v>
      </c>
      <c r="H1109" s="2" t="s">
        <v>25</v>
      </c>
      <c r="I1109" s="2" t="s">
        <v>752</v>
      </c>
      <c r="J1109" s="2" t="s">
        <v>753</v>
      </c>
      <c r="K1109" s="2" t="s">
        <v>147</v>
      </c>
      <c r="L1109" s="2" t="s">
        <v>301</v>
      </c>
      <c r="M1109" s="2" t="s">
        <v>30</v>
      </c>
      <c r="N1109" s="2" t="s">
        <v>162</v>
      </c>
      <c r="O1109" s="2" t="s">
        <v>302</v>
      </c>
      <c r="P1109" s="4">
        <v>359.66570000000002</v>
      </c>
      <c r="Q1109" s="4">
        <v>11</v>
      </c>
      <c r="R1109" s="4">
        <v>-35.89</v>
      </c>
      <c r="S1109" s="2" t="s">
        <v>53</v>
      </c>
      <c r="T1109" s="2" t="s">
        <v>122</v>
      </c>
    </row>
    <row r="1110" spans="1:20" x14ac:dyDescent="0.25">
      <c r="A1110" s="2" t="s">
        <v>2233</v>
      </c>
      <c r="B1110" s="3">
        <v>42140</v>
      </c>
      <c r="C1110" s="3">
        <v>42142</v>
      </c>
      <c r="D1110" s="2" t="s">
        <v>48</v>
      </c>
      <c r="E1110" s="2" t="s">
        <v>2234</v>
      </c>
      <c r="F1110" s="2" t="s">
        <v>2235</v>
      </c>
      <c r="G1110" s="2" t="s">
        <v>38</v>
      </c>
      <c r="H1110" s="2" t="s">
        <v>25</v>
      </c>
      <c r="I1110" s="2" t="s">
        <v>752</v>
      </c>
      <c r="J1110" s="2" t="s">
        <v>753</v>
      </c>
      <c r="K1110" s="2" t="s">
        <v>147</v>
      </c>
      <c r="L1110" s="2" t="s">
        <v>316</v>
      </c>
      <c r="M1110" s="2" t="s">
        <v>30</v>
      </c>
      <c r="N1110" s="2" t="s">
        <v>42</v>
      </c>
      <c r="O1110" s="2" t="s">
        <v>317</v>
      </c>
      <c r="P1110" s="4">
        <v>1820.6874</v>
      </c>
      <c r="Q1110" s="4">
        <v>4</v>
      </c>
      <c r="R1110" s="4">
        <v>779.9624</v>
      </c>
      <c r="S1110" s="2" t="s">
        <v>53</v>
      </c>
      <c r="T1110" s="2" t="s">
        <v>122</v>
      </c>
    </row>
    <row r="1111" spans="1:20" x14ac:dyDescent="0.25">
      <c r="A1111" s="2" t="s">
        <v>2233</v>
      </c>
      <c r="B1111" s="3">
        <v>42140</v>
      </c>
      <c r="C1111" s="3">
        <v>42142</v>
      </c>
      <c r="D1111" s="2" t="s">
        <v>48</v>
      </c>
      <c r="E1111" s="2" t="s">
        <v>2234</v>
      </c>
      <c r="F1111" s="2" t="s">
        <v>2235</v>
      </c>
      <c r="G1111" s="2" t="s">
        <v>38</v>
      </c>
      <c r="H1111" s="2" t="s">
        <v>25</v>
      </c>
      <c r="I1111" s="2" t="s">
        <v>752</v>
      </c>
      <c r="J1111" s="2" t="s">
        <v>753</v>
      </c>
      <c r="K1111" s="2" t="s">
        <v>147</v>
      </c>
      <c r="L1111" s="2" t="s">
        <v>113</v>
      </c>
      <c r="M1111" s="2" t="s">
        <v>30</v>
      </c>
      <c r="N1111" s="2" t="s">
        <v>31</v>
      </c>
      <c r="O1111" s="2" t="s">
        <v>114</v>
      </c>
      <c r="P1111" s="4">
        <v>26.578399999999998</v>
      </c>
      <c r="Q1111" s="4">
        <v>2</v>
      </c>
      <c r="R1111" s="4">
        <v>-5.2431000000000001</v>
      </c>
      <c r="S1111" s="2" t="s">
        <v>53</v>
      </c>
      <c r="T1111" s="2" t="s">
        <v>122</v>
      </c>
    </row>
    <row r="1112" spans="1:20" x14ac:dyDescent="0.25">
      <c r="A1112" s="2" t="s">
        <v>2236</v>
      </c>
      <c r="B1112" s="3">
        <v>42112</v>
      </c>
      <c r="C1112" s="3">
        <v>42112</v>
      </c>
      <c r="D1112" s="2" t="s">
        <v>142</v>
      </c>
      <c r="E1112" s="2" t="s">
        <v>1684</v>
      </c>
      <c r="F1112" s="2" t="s">
        <v>1685</v>
      </c>
      <c r="G1112" s="2" t="s">
        <v>58</v>
      </c>
      <c r="H1112" s="2" t="s">
        <v>25</v>
      </c>
      <c r="I1112" s="2" t="s">
        <v>434</v>
      </c>
      <c r="J1112" s="2" t="s">
        <v>435</v>
      </c>
      <c r="K1112" s="2" t="s">
        <v>61</v>
      </c>
      <c r="L1112" s="2" t="s">
        <v>66</v>
      </c>
      <c r="M1112" s="2" t="s">
        <v>30</v>
      </c>
      <c r="N1112" s="2" t="s">
        <v>31</v>
      </c>
      <c r="O1112" s="2" t="s">
        <v>67</v>
      </c>
      <c r="P1112" s="4">
        <v>254.0257</v>
      </c>
      <c r="Q1112" s="4">
        <v>3</v>
      </c>
      <c r="R1112" s="4">
        <v>63.158299999999997</v>
      </c>
      <c r="S1112" s="2" t="s">
        <v>121</v>
      </c>
      <c r="T1112" s="2" t="s">
        <v>108</v>
      </c>
    </row>
    <row r="1113" spans="1:20" x14ac:dyDescent="0.25">
      <c r="A1113" s="2" t="s">
        <v>2237</v>
      </c>
      <c r="B1113" s="3">
        <v>41873</v>
      </c>
      <c r="C1113" s="3">
        <v>41874</v>
      </c>
      <c r="D1113" s="2" t="s">
        <v>55</v>
      </c>
      <c r="E1113" s="2" t="s">
        <v>1031</v>
      </c>
      <c r="F1113" s="2" t="s">
        <v>1032</v>
      </c>
      <c r="G1113" s="2" t="s">
        <v>24</v>
      </c>
      <c r="H1113" s="2" t="s">
        <v>25</v>
      </c>
      <c r="I1113" s="2" t="s">
        <v>969</v>
      </c>
      <c r="J1113" s="2" t="s">
        <v>387</v>
      </c>
      <c r="K1113" s="2" t="s">
        <v>61</v>
      </c>
      <c r="L1113" s="2" t="s">
        <v>45</v>
      </c>
      <c r="M1113" s="2" t="s">
        <v>30</v>
      </c>
      <c r="N1113" s="2" t="s">
        <v>31</v>
      </c>
      <c r="O1113" s="2" t="s">
        <v>46</v>
      </c>
      <c r="P1113" s="4">
        <v>235.4365</v>
      </c>
      <c r="Q1113" s="4">
        <v>6</v>
      </c>
      <c r="R1113" s="4">
        <v>-5.1896000000000004</v>
      </c>
      <c r="S1113" s="2" t="s">
        <v>33</v>
      </c>
      <c r="T1113" s="2" t="s">
        <v>34</v>
      </c>
    </row>
    <row r="1114" spans="1:20" x14ac:dyDescent="0.25">
      <c r="A1114" s="2" t="s">
        <v>2238</v>
      </c>
      <c r="B1114" s="3">
        <v>42654</v>
      </c>
      <c r="C1114" s="3">
        <v>42660</v>
      </c>
      <c r="D1114" s="2" t="s">
        <v>55</v>
      </c>
      <c r="E1114" s="2" t="s">
        <v>1742</v>
      </c>
      <c r="F1114" s="2" t="s">
        <v>1743</v>
      </c>
      <c r="G1114" s="2" t="s">
        <v>58</v>
      </c>
      <c r="H1114" s="2" t="s">
        <v>25</v>
      </c>
      <c r="I1114" s="2" t="s">
        <v>485</v>
      </c>
      <c r="J1114" s="2" t="s">
        <v>251</v>
      </c>
      <c r="K1114" s="2" t="s">
        <v>147</v>
      </c>
      <c r="L1114" s="2" t="s">
        <v>174</v>
      </c>
      <c r="M1114" s="2" t="s">
        <v>30</v>
      </c>
      <c r="N1114" s="2" t="s">
        <v>31</v>
      </c>
      <c r="O1114" s="2" t="s">
        <v>175</v>
      </c>
      <c r="P1114" s="4">
        <v>53.582599999999999</v>
      </c>
      <c r="Q1114" s="4">
        <v>1</v>
      </c>
      <c r="R1114" s="4">
        <v>-39.079900000000002</v>
      </c>
      <c r="S1114" s="2" t="s">
        <v>65</v>
      </c>
      <c r="T1114" s="2" t="s">
        <v>224</v>
      </c>
    </row>
    <row r="1115" spans="1:20" x14ac:dyDescent="0.25">
      <c r="A1115" s="2" t="s">
        <v>2239</v>
      </c>
      <c r="B1115" s="3">
        <v>42749</v>
      </c>
      <c r="C1115" s="3">
        <v>42749</v>
      </c>
      <c r="D1115" s="2" t="s">
        <v>55</v>
      </c>
      <c r="E1115" s="2" t="s">
        <v>2240</v>
      </c>
      <c r="F1115" s="2" t="s">
        <v>2241</v>
      </c>
      <c r="G1115" s="2" t="s">
        <v>24</v>
      </c>
      <c r="H1115" s="2" t="s">
        <v>25</v>
      </c>
      <c r="I1115" s="2" t="s">
        <v>969</v>
      </c>
      <c r="J1115" s="2" t="s">
        <v>387</v>
      </c>
      <c r="K1115" s="2" t="s">
        <v>61</v>
      </c>
      <c r="L1115" s="2" t="s">
        <v>45</v>
      </c>
      <c r="M1115" s="2" t="s">
        <v>30</v>
      </c>
      <c r="N1115" s="2" t="s">
        <v>31</v>
      </c>
      <c r="O1115" s="2" t="s">
        <v>46</v>
      </c>
      <c r="P1115" s="4">
        <v>100.1027</v>
      </c>
      <c r="Q1115" s="4">
        <v>3</v>
      </c>
      <c r="R1115" s="4">
        <v>28.372299999999999</v>
      </c>
      <c r="S1115" s="2" t="s">
        <v>121</v>
      </c>
      <c r="T1115" s="2" t="s">
        <v>115</v>
      </c>
    </row>
    <row r="1116" spans="1:20" x14ac:dyDescent="0.25">
      <c r="A1116" s="2" t="s">
        <v>2242</v>
      </c>
      <c r="B1116" s="3">
        <v>42515</v>
      </c>
      <c r="C1116" s="3">
        <v>42519</v>
      </c>
      <c r="D1116" s="2" t="s">
        <v>55</v>
      </c>
      <c r="E1116" s="2" t="s">
        <v>741</v>
      </c>
      <c r="F1116" s="2" t="s">
        <v>742</v>
      </c>
      <c r="G1116" s="2" t="s">
        <v>38</v>
      </c>
      <c r="H1116" s="2" t="s">
        <v>25</v>
      </c>
      <c r="I1116" s="2" t="s">
        <v>26</v>
      </c>
      <c r="J1116" s="2" t="s">
        <v>91</v>
      </c>
      <c r="K1116" s="2" t="s">
        <v>61</v>
      </c>
      <c r="L1116" s="2" t="s">
        <v>154</v>
      </c>
      <c r="M1116" s="2" t="s">
        <v>30</v>
      </c>
      <c r="N1116" s="2" t="s">
        <v>42</v>
      </c>
      <c r="O1116" s="2" t="s">
        <v>155</v>
      </c>
      <c r="P1116" s="4">
        <v>442.55560000000003</v>
      </c>
      <c r="Q1116" s="4">
        <v>2</v>
      </c>
      <c r="R1116" s="4">
        <v>230.80350000000001</v>
      </c>
      <c r="S1116" s="2" t="s">
        <v>75</v>
      </c>
      <c r="T1116" s="2" t="s">
        <v>122</v>
      </c>
    </row>
    <row r="1117" spans="1:20" x14ac:dyDescent="0.25">
      <c r="A1117" s="2" t="s">
        <v>2243</v>
      </c>
      <c r="B1117" s="3">
        <v>42127</v>
      </c>
      <c r="C1117" s="3">
        <v>42129</v>
      </c>
      <c r="D1117" s="2" t="s">
        <v>21</v>
      </c>
      <c r="E1117" s="2" t="s">
        <v>1234</v>
      </c>
      <c r="F1117" s="2" t="s">
        <v>1235</v>
      </c>
      <c r="G1117" s="2" t="s">
        <v>58</v>
      </c>
      <c r="H1117" s="2" t="s">
        <v>25</v>
      </c>
      <c r="I1117" s="2" t="s">
        <v>1300</v>
      </c>
      <c r="J1117" s="2" t="s">
        <v>60</v>
      </c>
      <c r="K1117" s="2" t="s">
        <v>61</v>
      </c>
      <c r="L1117" s="2" t="s">
        <v>344</v>
      </c>
      <c r="M1117" s="2" t="s">
        <v>30</v>
      </c>
      <c r="N1117" s="2" t="s">
        <v>42</v>
      </c>
      <c r="O1117" s="2" t="s">
        <v>345</v>
      </c>
      <c r="P1117" s="4">
        <v>628.98860000000002</v>
      </c>
      <c r="Q1117" s="4">
        <v>2</v>
      </c>
      <c r="R1117" s="4">
        <v>10.5783</v>
      </c>
      <c r="S1117" s="2" t="s">
        <v>53</v>
      </c>
      <c r="T1117" s="2" t="s">
        <v>122</v>
      </c>
    </row>
    <row r="1118" spans="1:20" x14ac:dyDescent="0.25">
      <c r="A1118" s="2" t="s">
        <v>2244</v>
      </c>
      <c r="B1118" s="3">
        <v>42201</v>
      </c>
      <c r="C1118" s="3">
        <v>42206</v>
      </c>
      <c r="D1118" s="2" t="s">
        <v>55</v>
      </c>
      <c r="E1118" s="2" t="s">
        <v>2245</v>
      </c>
      <c r="F1118" s="2" t="s">
        <v>1439</v>
      </c>
      <c r="G1118" s="2" t="s">
        <v>38</v>
      </c>
      <c r="H1118" s="2" t="s">
        <v>25</v>
      </c>
      <c r="I1118" s="2" t="s">
        <v>495</v>
      </c>
      <c r="J1118" s="2" t="s">
        <v>496</v>
      </c>
      <c r="K1118" s="2" t="s">
        <v>147</v>
      </c>
      <c r="L1118" s="2" t="s">
        <v>66</v>
      </c>
      <c r="M1118" s="2" t="s">
        <v>30</v>
      </c>
      <c r="N1118" s="2" t="s">
        <v>31</v>
      </c>
      <c r="O1118" s="2" t="s">
        <v>67</v>
      </c>
      <c r="P1118" s="4">
        <v>156.738</v>
      </c>
      <c r="Q1118" s="4">
        <v>3</v>
      </c>
      <c r="R1118" s="4">
        <v>-13.026199999999999</v>
      </c>
      <c r="S1118" s="2" t="s">
        <v>85</v>
      </c>
      <c r="T1118" s="2" t="s">
        <v>86</v>
      </c>
    </row>
    <row r="1119" spans="1:20" x14ac:dyDescent="0.25">
      <c r="A1119" s="2" t="s">
        <v>2244</v>
      </c>
      <c r="B1119" s="3">
        <v>42201</v>
      </c>
      <c r="C1119" s="3">
        <v>42206</v>
      </c>
      <c r="D1119" s="2" t="s">
        <v>55</v>
      </c>
      <c r="E1119" s="2" t="s">
        <v>2245</v>
      </c>
      <c r="F1119" s="2" t="s">
        <v>1439</v>
      </c>
      <c r="G1119" s="2" t="s">
        <v>38</v>
      </c>
      <c r="H1119" s="2" t="s">
        <v>25</v>
      </c>
      <c r="I1119" s="2" t="s">
        <v>495</v>
      </c>
      <c r="J1119" s="2" t="s">
        <v>496</v>
      </c>
      <c r="K1119" s="2" t="s">
        <v>147</v>
      </c>
      <c r="L1119" s="2" t="s">
        <v>200</v>
      </c>
      <c r="M1119" s="2" t="s">
        <v>30</v>
      </c>
      <c r="N1119" s="2" t="s">
        <v>162</v>
      </c>
      <c r="O1119" s="2" t="s">
        <v>201</v>
      </c>
      <c r="P1119" s="4">
        <v>173.3287</v>
      </c>
      <c r="Q1119" s="4">
        <v>1</v>
      </c>
      <c r="R1119" s="4">
        <v>-50.054200000000002</v>
      </c>
      <c r="S1119" s="2" t="s">
        <v>85</v>
      </c>
      <c r="T1119" s="2" t="s">
        <v>86</v>
      </c>
    </row>
    <row r="1120" spans="1:20" x14ac:dyDescent="0.25">
      <c r="A1120" s="2" t="s">
        <v>2246</v>
      </c>
      <c r="B1120" s="3">
        <v>41658</v>
      </c>
      <c r="C1120" s="3">
        <v>41659</v>
      </c>
      <c r="D1120" s="2" t="s">
        <v>55</v>
      </c>
      <c r="E1120" s="2" t="s">
        <v>238</v>
      </c>
      <c r="F1120" s="2" t="s">
        <v>239</v>
      </c>
      <c r="G1120" s="2" t="s">
        <v>24</v>
      </c>
      <c r="H1120" s="2" t="s">
        <v>25</v>
      </c>
      <c r="I1120" s="2" t="s">
        <v>338</v>
      </c>
      <c r="J1120" s="2" t="s">
        <v>339</v>
      </c>
      <c r="K1120" s="2" t="s">
        <v>82</v>
      </c>
      <c r="L1120" s="2" t="s">
        <v>186</v>
      </c>
      <c r="M1120" s="2" t="s">
        <v>30</v>
      </c>
      <c r="N1120" s="2" t="s">
        <v>31</v>
      </c>
      <c r="O1120" s="2" t="s">
        <v>187</v>
      </c>
      <c r="P1120" s="4">
        <v>15.116300000000001</v>
      </c>
      <c r="Q1120" s="4">
        <v>5</v>
      </c>
      <c r="R1120" s="4">
        <v>-4.9889000000000001</v>
      </c>
      <c r="S1120" s="2" t="s">
        <v>33</v>
      </c>
      <c r="T1120" s="2" t="s">
        <v>115</v>
      </c>
    </row>
    <row r="1121" spans="1:20" x14ac:dyDescent="0.25">
      <c r="A1121" s="2" t="s">
        <v>2247</v>
      </c>
      <c r="B1121" s="3">
        <v>41771</v>
      </c>
      <c r="C1121" s="3">
        <v>41773</v>
      </c>
      <c r="D1121" s="2" t="s">
        <v>55</v>
      </c>
      <c r="E1121" s="2" t="s">
        <v>1350</v>
      </c>
      <c r="F1121" s="2" t="s">
        <v>1351</v>
      </c>
      <c r="G1121" s="2" t="s">
        <v>58</v>
      </c>
      <c r="H1121" s="2" t="s">
        <v>25</v>
      </c>
      <c r="I1121" s="2" t="s">
        <v>386</v>
      </c>
      <c r="J1121" s="2" t="s">
        <v>387</v>
      </c>
      <c r="K1121" s="2" t="s">
        <v>61</v>
      </c>
      <c r="L1121" s="2" t="s">
        <v>174</v>
      </c>
      <c r="M1121" s="2" t="s">
        <v>30</v>
      </c>
      <c r="N1121" s="2" t="s">
        <v>31</v>
      </c>
      <c r="O1121" s="2" t="s">
        <v>175</v>
      </c>
      <c r="P1121" s="4">
        <v>13.539099999999999</v>
      </c>
      <c r="Q1121" s="4">
        <v>3</v>
      </c>
      <c r="R1121" s="4">
        <v>-6.1771000000000003</v>
      </c>
      <c r="S1121" s="2" t="s">
        <v>53</v>
      </c>
      <c r="T1121" s="2" t="s">
        <v>122</v>
      </c>
    </row>
    <row r="1122" spans="1:20" x14ac:dyDescent="0.25">
      <c r="A1122" s="2" t="s">
        <v>2248</v>
      </c>
      <c r="B1122" s="3">
        <v>42116</v>
      </c>
      <c r="C1122" s="3">
        <v>42119</v>
      </c>
      <c r="D1122" s="2" t="s">
        <v>55</v>
      </c>
      <c r="E1122" s="2" t="s">
        <v>2249</v>
      </c>
      <c r="F1122" s="2" t="s">
        <v>2250</v>
      </c>
      <c r="G1122" s="2" t="s">
        <v>58</v>
      </c>
      <c r="H1122" s="2" t="s">
        <v>25</v>
      </c>
      <c r="I1122" s="2" t="s">
        <v>445</v>
      </c>
      <c r="J1122" s="2" t="s">
        <v>138</v>
      </c>
      <c r="K1122" s="2" t="s">
        <v>82</v>
      </c>
      <c r="L1122" s="2" t="s">
        <v>131</v>
      </c>
      <c r="M1122" s="2" t="s">
        <v>30</v>
      </c>
      <c r="N1122" s="2" t="s">
        <v>31</v>
      </c>
      <c r="O1122" s="2" t="s">
        <v>132</v>
      </c>
      <c r="P1122" s="4">
        <v>26.9194</v>
      </c>
      <c r="Q1122" s="4">
        <v>2</v>
      </c>
      <c r="R1122" s="4">
        <v>-6.8449999999999998</v>
      </c>
      <c r="S1122" s="2" t="s">
        <v>92</v>
      </c>
      <c r="T1122" s="2" t="s">
        <v>108</v>
      </c>
    </row>
    <row r="1123" spans="1:20" x14ac:dyDescent="0.25">
      <c r="A1123" s="2" t="s">
        <v>2251</v>
      </c>
      <c r="B1123" s="3">
        <v>42167</v>
      </c>
      <c r="C1123" s="3">
        <v>42170</v>
      </c>
      <c r="D1123" s="2" t="s">
        <v>55</v>
      </c>
      <c r="E1123" s="2" t="s">
        <v>447</v>
      </c>
      <c r="F1123" s="2" t="s">
        <v>448</v>
      </c>
      <c r="G1123" s="2" t="s">
        <v>24</v>
      </c>
      <c r="H1123" s="2" t="s">
        <v>25</v>
      </c>
      <c r="I1123" s="2" t="s">
        <v>539</v>
      </c>
      <c r="J1123" s="2" t="s">
        <v>91</v>
      </c>
      <c r="K1123" s="2" t="s">
        <v>61</v>
      </c>
      <c r="L1123" s="2" t="s">
        <v>618</v>
      </c>
      <c r="M1123" s="2" t="s">
        <v>30</v>
      </c>
      <c r="N1123" s="2" t="s">
        <v>63</v>
      </c>
      <c r="O1123" s="2" t="s">
        <v>619</v>
      </c>
      <c r="P1123" s="4">
        <v>39.029400000000003</v>
      </c>
      <c r="Q1123" s="4">
        <v>4</v>
      </c>
      <c r="R1123" s="4">
        <v>-0.59799999999999998</v>
      </c>
      <c r="S1123" s="2" t="s">
        <v>92</v>
      </c>
      <c r="T1123" s="2" t="s">
        <v>133</v>
      </c>
    </row>
    <row r="1124" spans="1:20" x14ac:dyDescent="0.25">
      <c r="A1124" s="2" t="s">
        <v>2252</v>
      </c>
      <c r="B1124" s="3">
        <v>41871</v>
      </c>
      <c r="C1124" s="3">
        <v>41877</v>
      </c>
      <c r="D1124" s="2" t="s">
        <v>55</v>
      </c>
      <c r="E1124" s="2" t="s">
        <v>647</v>
      </c>
      <c r="F1124" s="2" t="s">
        <v>648</v>
      </c>
      <c r="G1124" s="2" t="s">
        <v>58</v>
      </c>
      <c r="H1124" s="2" t="s">
        <v>25</v>
      </c>
      <c r="I1124" s="2" t="s">
        <v>360</v>
      </c>
      <c r="J1124" s="2" t="s">
        <v>160</v>
      </c>
      <c r="K1124" s="2" t="s">
        <v>61</v>
      </c>
      <c r="L1124" s="2" t="s">
        <v>245</v>
      </c>
      <c r="M1124" s="2" t="s">
        <v>30</v>
      </c>
      <c r="N1124" s="2" t="s">
        <v>42</v>
      </c>
      <c r="O1124" s="2" t="s">
        <v>246</v>
      </c>
      <c r="P1124" s="4">
        <v>994.49260000000004</v>
      </c>
      <c r="Q1124" s="4">
        <v>5</v>
      </c>
      <c r="R1124" s="4">
        <v>150.96199999999999</v>
      </c>
      <c r="S1124" s="2" t="s">
        <v>65</v>
      </c>
      <c r="T1124" s="2" t="s">
        <v>34</v>
      </c>
    </row>
    <row r="1125" spans="1:20" x14ac:dyDescent="0.25">
      <c r="A1125" s="2" t="s">
        <v>2252</v>
      </c>
      <c r="B1125" s="3">
        <v>41871</v>
      </c>
      <c r="C1125" s="3">
        <v>41877</v>
      </c>
      <c r="D1125" s="2" t="s">
        <v>55</v>
      </c>
      <c r="E1125" s="2" t="s">
        <v>647</v>
      </c>
      <c r="F1125" s="2" t="s">
        <v>648</v>
      </c>
      <c r="G1125" s="2" t="s">
        <v>58</v>
      </c>
      <c r="H1125" s="2" t="s">
        <v>25</v>
      </c>
      <c r="I1125" s="2" t="s">
        <v>360</v>
      </c>
      <c r="J1125" s="2" t="s">
        <v>160</v>
      </c>
      <c r="K1125" s="2" t="s">
        <v>61</v>
      </c>
      <c r="L1125" s="2" t="s">
        <v>186</v>
      </c>
      <c r="M1125" s="2" t="s">
        <v>30</v>
      </c>
      <c r="N1125" s="2" t="s">
        <v>31</v>
      </c>
      <c r="O1125" s="2" t="s">
        <v>187</v>
      </c>
      <c r="P1125" s="4">
        <v>26.579799999999999</v>
      </c>
      <c r="Q1125" s="4">
        <v>3</v>
      </c>
      <c r="R1125" s="4">
        <v>-1.4708000000000001</v>
      </c>
      <c r="S1125" s="2" t="s">
        <v>65</v>
      </c>
      <c r="T1125" s="2" t="s">
        <v>34</v>
      </c>
    </row>
    <row r="1126" spans="1:20" x14ac:dyDescent="0.25">
      <c r="A1126" s="2" t="s">
        <v>2253</v>
      </c>
      <c r="B1126" s="3">
        <v>42326</v>
      </c>
      <c r="C1126" s="3">
        <v>42326</v>
      </c>
      <c r="D1126" s="2" t="s">
        <v>55</v>
      </c>
      <c r="E1126" s="2" t="s">
        <v>2254</v>
      </c>
      <c r="F1126" s="2" t="s">
        <v>2255</v>
      </c>
      <c r="G1126" s="2" t="s">
        <v>58</v>
      </c>
      <c r="H1126" s="2" t="s">
        <v>25</v>
      </c>
      <c r="I1126" s="2" t="s">
        <v>533</v>
      </c>
      <c r="J1126" s="2" t="s">
        <v>72</v>
      </c>
      <c r="K1126" s="2" t="s">
        <v>61</v>
      </c>
      <c r="L1126" s="2" t="s">
        <v>344</v>
      </c>
      <c r="M1126" s="2" t="s">
        <v>30</v>
      </c>
      <c r="N1126" s="2" t="s">
        <v>42</v>
      </c>
      <c r="O1126" s="2" t="s">
        <v>345</v>
      </c>
      <c r="P1126" s="4">
        <v>571.06460000000004</v>
      </c>
      <c r="Q1126" s="4">
        <v>2</v>
      </c>
      <c r="R1126" s="4">
        <v>24.816400000000002</v>
      </c>
      <c r="S1126" s="2" t="s">
        <v>121</v>
      </c>
      <c r="T1126" s="2" t="s">
        <v>93</v>
      </c>
    </row>
    <row r="1127" spans="1:20" x14ac:dyDescent="0.25">
      <c r="A1127" s="2" t="s">
        <v>2256</v>
      </c>
      <c r="B1127" s="3">
        <v>41692</v>
      </c>
      <c r="C1127" s="3">
        <v>41696</v>
      </c>
      <c r="D1127" s="2" t="s">
        <v>21</v>
      </c>
      <c r="E1127" s="2" t="s">
        <v>2257</v>
      </c>
      <c r="F1127" s="2" t="s">
        <v>2258</v>
      </c>
      <c r="G1127" s="2" t="s">
        <v>58</v>
      </c>
      <c r="H1127" s="2" t="s">
        <v>25</v>
      </c>
      <c r="I1127" s="2" t="s">
        <v>539</v>
      </c>
      <c r="J1127" s="2" t="s">
        <v>91</v>
      </c>
      <c r="K1127" s="2" t="s">
        <v>61</v>
      </c>
      <c r="L1127" s="2" t="s">
        <v>207</v>
      </c>
      <c r="M1127" s="2" t="s">
        <v>30</v>
      </c>
      <c r="N1127" s="2" t="s">
        <v>31</v>
      </c>
      <c r="O1127" s="2" t="s">
        <v>208</v>
      </c>
      <c r="P1127" s="4">
        <v>197.07259999999999</v>
      </c>
      <c r="Q1127" s="4">
        <v>2</v>
      </c>
      <c r="R1127" s="4">
        <v>7.8135000000000003</v>
      </c>
      <c r="S1127" s="2" t="s">
        <v>75</v>
      </c>
      <c r="T1127" s="2" t="s">
        <v>101</v>
      </c>
    </row>
    <row r="1128" spans="1:20" x14ac:dyDescent="0.25">
      <c r="A1128" s="2" t="s">
        <v>2259</v>
      </c>
      <c r="B1128" s="3">
        <v>42415</v>
      </c>
      <c r="C1128" s="3">
        <v>42415</v>
      </c>
      <c r="D1128" s="2" t="s">
        <v>142</v>
      </c>
      <c r="E1128" s="2" t="s">
        <v>2260</v>
      </c>
      <c r="F1128" s="2" t="s">
        <v>2261</v>
      </c>
      <c r="G1128" s="2" t="s">
        <v>38</v>
      </c>
      <c r="H1128" s="2" t="s">
        <v>25</v>
      </c>
      <c r="I1128" s="2" t="s">
        <v>338</v>
      </c>
      <c r="J1128" s="2" t="s">
        <v>339</v>
      </c>
      <c r="K1128" s="2" t="s">
        <v>82</v>
      </c>
      <c r="L1128" s="2" t="s">
        <v>29</v>
      </c>
      <c r="M1128" s="2" t="s">
        <v>30</v>
      </c>
      <c r="N1128" s="2" t="s">
        <v>31</v>
      </c>
      <c r="O1128" s="2" t="s">
        <v>32</v>
      </c>
      <c r="P1128" s="4">
        <v>197.40190000000001</v>
      </c>
      <c r="Q1128" s="4">
        <v>1</v>
      </c>
      <c r="R1128" s="4">
        <v>5.3954000000000004</v>
      </c>
      <c r="S1128" s="2" t="s">
        <v>121</v>
      </c>
      <c r="T1128" s="2" t="s">
        <v>101</v>
      </c>
    </row>
    <row r="1129" spans="1:20" x14ac:dyDescent="0.25">
      <c r="A1129" s="2" t="s">
        <v>2259</v>
      </c>
      <c r="B1129" s="3">
        <v>42415</v>
      </c>
      <c r="C1129" s="3">
        <v>42415</v>
      </c>
      <c r="D1129" s="2" t="s">
        <v>142</v>
      </c>
      <c r="E1129" s="2" t="s">
        <v>2260</v>
      </c>
      <c r="F1129" s="2" t="s">
        <v>2261</v>
      </c>
      <c r="G1129" s="2" t="s">
        <v>38</v>
      </c>
      <c r="H1129" s="2" t="s">
        <v>25</v>
      </c>
      <c r="I1129" s="2" t="s">
        <v>338</v>
      </c>
      <c r="J1129" s="2" t="s">
        <v>339</v>
      </c>
      <c r="K1129" s="2" t="s">
        <v>82</v>
      </c>
      <c r="L1129" s="2" t="s">
        <v>612</v>
      </c>
      <c r="M1129" s="2" t="s">
        <v>30</v>
      </c>
      <c r="N1129" s="2" t="s">
        <v>162</v>
      </c>
      <c r="O1129" s="2" t="s">
        <v>613</v>
      </c>
      <c r="P1129" s="4">
        <v>272.76420000000002</v>
      </c>
      <c r="Q1129" s="4">
        <v>2</v>
      </c>
      <c r="R1129" s="4">
        <v>-86.496099999999998</v>
      </c>
      <c r="S1129" s="2" t="s">
        <v>121</v>
      </c>
      <c r="T1129" s="2" t="s">
        <v>101</v>
      </c>
    </row>
    <row r="1130" spans="1:20" x14ac:dyDescent="0.25">
      <c r="A1130" s="2" t="s">
        <v>2259</v>
      </c>
      <c r="B1130" s="3">
        <v>42415</v>
      </c>
      <c r="C1130" s="3">
        <v>42415</v>
      </c>
      <c r="D1130" s="2" t="s">
        <v>142</v>
      </c>
      <c r="E1130" s="2" t="s">
        <v>2260</v>
      </c>
      <c r="F1130" s="2" t="s">
        <v>2261</v>
      </c>
      <c r="G1130" s="2" t="s">
        <v>38</v>
      </c>
      <c r="H1130" s="2" t="s">
        <v>25</v>
      </c>
      <c r="I1130" s="2" t="s">
        <v>338</v>
      </c>
      <c r="J1130" s="2" t="s">
        <v>339</v>
      </c>
      <c r="K1130" s="2" t="s">
        <v>82</v>
      </c>
      <c r="L1130" s="2" t="s">
        <v>218</v>
      </c>
      <c r="M1130" s="2" t="s">
        <v>30</v>
      </c>
      <c r="N1130" s="2" t="s">
        <v>31</v>
      </c>
      <c r="O1130" s="2" t="s">
        <v>219</v>
      </c>
      <c r="P1130" s="4">
        <v>17.781700000000001</v>
      </c>
      <c r="Q1130" s="4">
        <v>5</v>
      </c>
      <c r="R1130" s="4">
        <v>4.0914999999999999</v>
      </c>
      <c r="S1130" s="2" t="s">
        <v>121</v>
      </c>
      <c r="T1130" s="2" t="s">
        <v>101</v>
      </c>
    </row>
    <row r="1131" spans="1:20" x14ac:dyDescent="0.25">
      <c r="A1131" s="2" t="s">
        <v>2262</v>
      </c>
      <c r="B1131" s="3">
        <v>42496</v>
      </c>
      <c r="C1131" s="3">
        <v>42499</v>
      </c>
      <c r="D1131" s="2" t="s">
        <v>55</v>
      </c>
      <c r="E1131" s="2" t="s">
        <v>2263</v>
      </c>
      <c r="F1131" s="2" t="s">
        <v>2264</v>
      </c>
      <c r="G1131" s="2" t="s">
        <v>38</v>
      </c>
      <c r="H1131" s="2" t="s">
        <v>25</v>
      </c>
      <c r="I1131" s="2" t="s">
        <v>699</v>
      </c>
      <c r="J1131" s="2" t="s">
        <v>339</v>
      </c>
      <c r="K1131" s="2" t="s">
        <v>82</v>
      </c>
      <c r="L1131" s="2" t="s">
        <v>228</v>
      </c>
      <c r="M1131" s="2" t="s">
        <v>30</v>
      </c>
      <c r="N1131" s="2" t="s">
        <v>42</v>
      </c>
      <c r="O1131" s="2" t="s">
        <v>229</v>
      </c>
      <c r="P1131" s="4">
        <v>349.55040000000002</v>
      </c>
      <c r="Q1131" s="4">
        <v>1</v>
      </c>
      <c r="R1131" s="4">
        <v>-55.950400000000002</v>
      </c>
      <c r="S1131" s="2" t="s">
        <v>92</v>
      </c>
      <c r="T1131" s="2" t="s">
        <v>122</v>
      </c>
    </row>
    <row r="1132" spans="1:20" x14ac:dyDescent="0.25">
      <c r="A1132" s="2" t="s">
        <v>2262</v>
      </c>
      <c r="B1132" s="3">
        <v>42496</v>
      </c>
      <c r="C1132" s="3">
        <v>42499</v>
      </c>
      <c r="D1132" s="2" t="s">
        <v>55</v>
      </c>
      <c r="E1132" s="2" t="s">
        <v>2263</v>
      </c>
      <c r="F1132" s="2" t="s">
        <v>2264</v>
      </c>
      <c r="G1132" s="2" t="s">
        <v>38</v>
      </c>
      <c r="H1132" s="2" t="s">
        <v>25</v>
      </c>
      <c r="I1132" s="2" t="s">
        <v>699</v>
      </c>
      <c r="J1132" s="2" t="s">
        <v>339</v>
      </c>
      <c r="K1132" s="2" t="s">
        <v>82</v>
      </c>
      <c r="L1132" s="2" t="s">
        <v>245</v>
      </c>
      <c r="M1132" s="2" t="s">
        <v>30</v>
      </c>
      <c r="N1132" s="2" t="s">
        <v>42</v>
      </c>
      <c r="O1132" s="2" t="s">
        <v>246</v>
      </c>
      <c r="P1132" s="4">
        <v>564.33690000000001</v>
      </c>
      <c r="Q1132" s="4">
        <v>4</v>
      </c>
      <c r="R1132" s="4">
        <v>258.21170000000001</v>
      </c>
      <c r="S1132" s="2" t="s">
        <v>92</v>
      </c>
      <c r="T1132" s="2" t="s">
        <v>122</v>
      </c>
    </row>
    <row r="1133" spans="1:20" x14ac:dyDescent="0.25">
      <c r="A1133" s="2" t="s">
        <v>2265</v>
      </c>
      <c r="B1133" s="3">
        <v>42112</v>
      </c>
      <c r="C1133" s="3">
        <v>42118</v>
      </c>
      <c r="D1133" s="2" t="s">
        <v>55</v>
      </c>
      <c r="E1133" s="2" t="s">
        <v>2266</v>
      </c>
      <c r="F1133" s="2" t="s">
        <v>2267</v>
      </c>
      <c r="G1133" s="2" t="s">
        <v>38</v>
      </c>
      <c r="H1133" s="2" t="s">
        <v>25</v>
      </c>
      <c r="I1133" s="2" t="s">
        <v>509</v>
      </c>
      <c r="J1133" s="2" t="s">
        <v>356</v>
      </c>
      <c r="K1133" s="2" t="s">
        <v>147</v>
      </c>
      <c r="L1133" s="2" t="s">
        <v>453</v>
      </c>
      <c r="M1133" s="2" t="s">
        <v>30</v>
      </c>
      <c r="N1133" s="2" t="s">
        <v>42</v>
      </c>
      <c r="O1133" s="2" t="s">
        <v>454</v>
      </c>
      <c r="P1133" s="4">
        <v>151.8656</v>
      </c>
      <c r="Q1133" s="4">
        <v>2</v>
      </c>
      <c r="R1133" s="4">
        <v>5.3728999999999996</v>
      </c>
      <c r="S1133" s="2" t="s">
        <v>65</v>
      </c>
      <c r="T1133" s="2" t="s">
        <v>108</v>
      </c>
    </row>
    <row r="1134" spans="1:20" x14ac:dyDescent="0.25">
      <c r="A1134" s="2" t="s">
        <v>2268</v>
      </c>
      <c r="B1134" s="3">
        <v>41796</v>
      </c>
      <c r="C1134" s="3">
        <v>41798</v>
      </c>
      <c r="D1134" s="2" t="s">
        <v>55</v>
      </c>
      <c r="E1134" s="2" t="s">
        <v>2269</v>
      </c>
      <c r="F1134" s="2" t="s">
        <v>2270</v>
      </c>
      <c r="G1134" s="2" t="s">
        <v>58</v>
      </c>
      <c r="H1134" s="2" t="s">
        <v>25</v>
      </c>
      <c r="I1134" s="2" t="s">
        <v>309</v>
      </c>
      <c r="J1134" s="2" t="s">
        <v>310</v>
      </c>
      <c r="K1134" s="2" t="s">
        <v>28</v>
      </c>
      <c r="L1134" s="2" t="s">
        <v>193</v>
      </c>
      <c r="M1134" s="2" t="s">
        <v>30</v>
      </c>
      <c r="N1134" s="2" t="s">
        <v>42</v>
      </c>
      <c r="O1134" s="2" t="s">
        <v>194</v>
      </c>
      <c r="P1134" s="4">
        <v>363.94929999999999</v>
      </c>
      <c r="Q1134" s="4">
        <v>3</v>
      </c>
      <c r="R1134" s="4">
        <v>132.33279999999999</v>
      </c>
      <c r="S1134" s="2" t="s">
        <v>53</v>
      </c>
      <c r="T1134" s="2" t="s">
        <v>133</v>
      </c>
    </row>
    <row r="1135" spans="1:20" x14ac:dyDescent="0.25">
      <c r="A1135" s="2" t="s">
        <v>2268</v>
      </c>
      <c r="B1135" s="3">
        <v>41796</v>
      </c>
      <c r="C1135" s="3">
        <v>41798</v>
      </c>
      <c r="D1135" s="2" t="s">
        <v>55</v>
      </c>
      <c r="E1135" s="2" t="s">
        <v>2269</v>
      </c>
      <c r="F1135" s="2" t="s">
        <v>2270</v>
      </c>
      <c r="G1135" s="2" t="s">
        <v>58</v>
      </c>
      <c r="H1135" s="2" t="s">
        <v>25</v>
      </c>
      <c r="I1135" s="2" t="s">
        <v>309</v>
      </c>
      <c r="J1135" s="2" t="s">
        <v>310</v>
      </c>
      <c r="K1135" s="2" t="s">
        <v>28</v>
      </c>
      <c r="L1135" s="2" t="s">
        <v>235</v>
      </c>
      <c r="M1135" s="2" t="s">
        <v>30</v>
      </c>
      <c r="N1135" s="2" t="s">
        <v>31</v>
      </c>
      <c r="O1135" s="2" t="s">
        <v>236</v>
      </c>
      <c r="P1135" s="4">
        <v>120.60429999999999</v>
      </c>
      <c r="Q1135" s="4">
        <v>5</v>
      </c>
      <c r="R1135" s="4">
        <v>-4.1882000000000001</v>
      </c>
      <c r="S1135" s="2" t="s">
        <v>53</v>
      </c>
      <c r="T1135" s="2" t="s">
        <v>133</v>
      </c>
    </row>
    <row r="1136" spans="1:20" x14ac:dyDescent="0.25">
      <c r="A1136" s="2" t="s">
        <v>2271</v>
      </c>
      <c r="B1136" s="3">
        <v>41922</v>
      </c>
      <c r="C1136" s="3">
        <v>41924</v>
      </c>
      <c r="D1136" s="2" t="s">
        <v>55</v>
      </c>
      <c r="E1136" s="2" t="s">
        <v>2272</v>
      </c>
      <c r="F1136" s="2" t="s">
        <v>2273</v>
      </c>
      <c r="G1136" s="2" t="s">
        <v>58</v>
      </c>
      <c r="H1136" s="2" t="s">
        <v>25</v>
      </c>
      <c r="I1136" s="2" t="s">
        <v>495</v>
      </c>
      <c r="J1136" s="2" t="s">
        <v>496</v>
      </c>
      <c r="K1136" s="2" t="s">
        <v>147</v>
      </c>
      <c r="L1136" s="2" t="s">
        <v>207</v>
      </c>
      <c r="M1136" s="2" t="s">
        <v>30</v>
      </c>
      <c r="N1136" s="2" t="s">
        <v>31</v>
      </c>
      <c r="O1136" s="2" t="s">
        <v>208</v>
      </c>
      <c r="P1136" s="4">
        <v>340.09390000000002</v>
      </c>
      <c r="Q1136" s="4">
        <v>2</v>
      </c>
      <c r="R1136" s="4">
        <v>158.88380000000001</v>
      </c>
      <c r="S1136" s="2" t="s">
        <v>53</v>
      </c>
      <c r="T1136" s="2" t="s">
        <v>224</v>
      </c>
    </row>
    <row r="1137" spans="1:20" x14ac:dyDescent="0.25">
      <c r="A1137" s="2" t="s">
        <v>2274</v>
      </c>
      <c r="B1137" s="3">
        <v>42008</v>
      </c>
      <c r="C1137" s="3">
        <v>42009</v>
      </c>
      <c r="D1137" s="2" t="s">
        <v>21</v>
      </c>
      <c r="E1137" s="2" t="s">
        <v>1234</v>
      </c>
      <c r="F1137" s="2" t="s">
        <v>1235</v>
      </c>
      <c r="G1137" s="2" t="s">
        <v>58</v>
      </c>
      <c r="H1137" s="2" t="s">
        <v>25</v>
      </c>
      <c r="I1137" s="2" t="s">
        <v>288</v>
      </c>
      <c r="J1137" s="2" t="s">
        <v>289</v>
      </c>
      <c r="K1137" s="2" t="s">
        <v>82</v>
      </c>
      <c r="L1137" s="2" t="s">
        <v>174</v>
      </c>
      <c r="M1137" s="2" t="s">
        <v>30</v>
      </c>
      <c r="N1137" s="2" t="s">
        <v>31</v>
      </c>
      <c r="O1137" s="2" t="s">
        <v>175</v>
      </c>
      <c r="P1137" s="4">
        <v>306.12110000000001</v>
      </c>
      <c r="Q1137" s="4">
        <v>4</v>
      </c>
      <c r="R1137" s="4">
        <v>186.44749999999999</v>
      </c>
      <c r="S1137" s="2" t="s">
        <v>33</v>
      </c>
      <c r="T1137" s="2" t="s">
        <v>115</v>
      </c>
    </row>
    <row r="1138" spans="1:20" x14ac:dyDescent="0.25">
      <c r="A1138" s="2" t="s">
        <v>2274</v>
      </c>
      <c r="B1138" s="3">
        <v>42008</v>
      </c>
      <c r="C1138" s="3">
        <v>42009</v>
      </c>
      <c r="D1138" s="2" t="s">
        <v>21</v>
      </c>
      <c r="E1138" s="2" t="s">
        <v>1234</v>
      </c>
      <c r="F1138" s="2" t="s">
        <v>1235</v>
      </c>
      <c r="G1138" s="2" t="s">
        <v>58</v>
      </c>
      <c r="H1138" s="2" t="s">
        <v>25</v>
      </c>
      <c r="I1138" s="2" t="s">
        <v>288</v>
      </c>
      <c r="J1138" s="2" t="s">
        <v>289</v>
      </c>
      <c r="K1138" s="2" t="s">
        <v>82</v>
      </c>
      <c r="L1138" s="2" t="s">
        <v>252</v>
      </c>
      <c r="M1138" s="2" t="s">
        <v>30</v>
      </c>
      <c r="N1138" s="2" t="s">
        <v>31</v>
      </c>
      <c r="O1138" s="2" t="s">
        <v>253</v>
      </c>
      <c r="P1138" s="4">
        <v>5.3432000000000004</v>
      </c>
      <c r="Q1138" s="4">
        <v>3</v>
      </c>
      <c r="R1138" s="4">
        <v>1.0316000000000001</v>
      </c>
      <c r="S1138" s="2" t="s">
        <v>33</v>
      </c>
      <c r="T1138" s="2" t="s">
        <v>115</v>
      </c>
    </row>
    <row r="1139" spans="1:20" x14ac:dyDescent="0.25">
      <c r="A1139" s="2" t="s">
        <v>2275</v>
      </c>
      <c r="B1139" s="3">
        <v>41911</v>
      </c>
      <c r="C1139" s="3">
        <v>41911</v>
      </c>
      <c r="D1139" s="2" t="s">
        <v>21</v>
      </c>
      <c r="E1139" s="2" t="s">
        <v>1979</v>
      </c>
      <c r="F1139" s="2" t="s">
        <v>1980</v>
      </c>
      <c r="G1139" s="2" t="s">
        <v>58</v>
      </c>
      <c r="H1139" s="2" t="s">
        <v>25</v>
      </c>
      <c r="I1139" s="2" t="s">
        <v>191</v>
      </c>
      <c r="J1139" s="2" t="s">
        <v>192</v>
      </c>
      <c r="K1139" s="2" t="s">
        <v>82</v>
      </c>
      <c r="L1139" s="2" t="s">
        <v>186</v>
      </c>
      <c r="M1139" s="2" t="s">
        <v>30</v>
      </c>
      <c r="N1139" s="2" t="s">
        <v>31</v>
      </c>
      <c r="O1139" s="2" t="s">
        <v>187</v>
      </c>
      <c r="P1139" s="4">
        <v>149.58670000000001</v>
      </c>
      <c r="Q1139" s="4">
        <v>4</v>
      </c>
      <c r="R1139" s="4">
        <v>123.4798</v>
      </c>
      <c r="S1139" s="2" t="s">
        <v>121</v>
      </c>
      <c r="T1139" s="2" t="s">
        <v>148</v>
      </c>
    </row>
    <row r="1140" spans="1:20" x14ac:dyDescent="0.25">
      <c r="A1140" s="2" t="s">
        <v>2276</v>
      </c>
      <c r="B1140" s="3">
        <v>42851</v>
      </c>
      <c r="C1140" s="3">
        <v>42854</v>
      </c>
      <c r="D1140" s="2" t="s">
        <v>21</v>
      </c>
      <c r="E1140" s="2" t="s">
        <v>550</v>
      </c>
      <c r="F1140" s="2" t="s">
        <v>551</v>
      </c>
      <c r="G1140" s="2" t="s">
        <v>58</v>
      </c>
      <c r="H1140" s="2" t="s">
        <v>25</v>
      </c>
      <c r="I1140" s="2" t="s">
        <v>414</v>
      </c>
      <c r="J1140" s="2" t="s">
        <v>206</v>
      </c>
      <c r="K1140" s="2" t="s">
        <v>61</v>
      </c>
      <c r="L1140" s="2" t="s">
        <v>677</v>
      </c>
      <c r="M1140" s="2" t="s">
        <v>30</v>
      </c>
      <c r="N1140" s="2" t="s">
        <v>162</v>
      </c>
      <c r="O1140" s="2" t="s">
        <v>678</v>
      </c>
      <c r="P1140" s="4">
        <v>453.0523</v>
      </c>
      <c r="Q1140" s="4">
        <v>1</v>
      </c>
      <c r="R1140" s="4">
        <v>-36.273699999999998</v>
      </c>
      <c r="S1140" s="2" t="s">
        <v>92</v>
      </c>
      <c r="T1140" s="2" t="s">
        <v>108</v>
      </c>
    </row>
    <row r="1141" spans="1:20" x14ac:dyDescent="0.25">
      <c r="A1141" s="2" t="s">
        <v>2277</v>
      </c>
      <c r="B1141" s="3">
        <v>42015</v>
      </c>
      <c r="C1141" s="3">
        <v>42020</v>
      </c>
      <c r="D1141" s="2" t="s">
        <v>55</v>
      </c>
      <c r="E1141" s="2" t="s">
        <v>2278</v>
      </c>
      <c r="F1141" s="2" t="s">
        <v>2279</v>
      </c>
      <c r="G1141" s="2" t="s">
        <v>24</v>
      </c>
      <c r="H1141" s="2" t="s">
        <v>25</v>
      </c>
      <c r="I1141" s="2" t="s">
        <v>159</v>
      </c>
      <c r="J1141" s="2" t="s">
        <v>160</v>
      </c>
      <c r="K1141" s="2" t="s">
        <v>61</v>
      </c>
      <c r="L1141" s="2" t="s">
        <v>612</v>
      </c>
      <c r="M1141" s="2" t="s">
        <v>30</v>
      </c>
      <c r="N1141" s="2" t="s">
        <v>162</v>
      </c>
      <c r="O1141" s="2" t="s">
        <v>613</v>
      </c>
      <c r="P1141" s="4">
        <v>160.25710000000001</v>
      </c>
      <c r="Q1141" s="4">
        <v>1</v>
      </c>
      <c r="R1141" s="4">
        <v>-59.831000000000003</v>
      </c>
      <c r="S1141" s="2" t="s">
        <v>85</v>
      </c>
      <c r="T1141" s="2" t="s">
        <v>115</v>
      </c>
    </row>
    <row r="1142" spans="1:20" x14ac:dyDescent="0.25">
      <c r="A1142" s="2" t="s">
        <v>2280</v>
      </c>
      <c r="B1142" s="3">
        <v>42212</v>
      </c>
      <c r="C1142" s="3">
        <v>42218</v>
      </c>
      <c r="D1142" s="2" t="s">
        <v>55</v>
      </c>
      <c r="E1142" s="2" t="s">
        <v>2064</v>
      </c>
      <c r="F1142" s="2" t="s">
        <v>1414</v>
      </c>
      <c r="G1142" s="2" t="s">
        <v>58</v>
      </c>
      <c r="H1142" s="2" t="s">
        <v>25</v>
      </c>
      <c r="I1142" s="2" t="s">
        <v>1098</v>
      </c>
      <c r="J1142" s="2" t="s">
        <v>595</v>
      </c>
      <c r="K1142" s="2" t="s">
        <v>61</v>
      </c>
      <c r="L1142" s="2" t="s">
        <v>316</v>
      </c>
      <c r="M1142" s="2" t="s">
        <v>30</v>
      </c>
      <c r="N1142" s="2" t="s">
        <v>42</v>
      </c>
      <c r="O1142" s="2" t="s">
        <v>317</v>
      </c>
      <c r="P1142" s="4">
        <v>522.44179999999994</v>
      </c>
      <c r="Q1142" s="4">
        <v>5</v>
      </c>
      <c r="R1142" s="4">
        <v>133.92599999999999</v>
      </c>
      <c r="S1142" s="2" t="s">
        <v>65</v>
      </c>
      <c r="T1142" s="2" t="s">
        <v>86</v>
      </c>
    </row>
    <row r="1143" spans="1:20" x14ac:dyDescent="0.25">
      <c r="A1143" s="2" t="s">
        <v>2281</v>
      </c>
      <c r="B1143" s="3">
        <v>41933</v>
      </c>
      <c r="C1143" s="3">
        <v>41937</v>
      </c>
      <c r="D1143" s="2" t="s">
        <v>55</v>
      </c>
      <c r="E1143" s="2" t="s">
        <v>1210</v>
      </c>
      <c r="F1143" s="2" t="s">
        <v>1211</v>
      </c>
      <c r="G1143" s="2" t="s">
        <v>58</v>
      </c>
      <c r="H1143" s="2" t="s">
        <v>25</v>
      </c>
      <c r="I1143" s="2" t="s">
        <v>270</v>
      </c>
      <c r="J1143" s="2" t="s">
        <v>72</v>
      </c>
      <c r="K1143" s="2" t="s">
        <v>61</v>
      </c>
      <c r="L1143" s="2" t="s">
        <v>139</v>
      </c>
      <c r="M1143" s="2" t="s">
        <v>30</v>
      </c>
      <c r="N1143" s="2" t="s">
        <v>42</v>
      </c>
      <c r="O1143" s="2" t="s">
        <v>140</v>
      </c>
      <c r="P1143" s="4">
        <v>607.81719999999996</v>
      </c>
      <c r="Q1143" s="4">
        <v>2</v>
      </c>
      <c r="R1143" s="4">
        <v>95.918700000000001</v>
      </c>
      <c r="S1143" s="2" t="s">
        <v>75</v>
      </c>
      <c r="T1143" s="2" t="s">
        <v>224</v>
      </c>
    </row>
    <row r="1144" spans="1:20" x14ac:dyDescent="0.25">
      <c r="A1144" s="2" t="s">
        <v>2282</v>
      </c>
      <c r="B1144" s="3">
        <v>42538</v>
      </c>
      <c r="C1144" s="3">
        <v>42540</v>
      </c>
      <c r="D1144" s="2" t="s">
        <v>48</v>
      </c>
      <c r="E1144" s="2" t="s">
        <v>2283</v>
      </c>
      <c r="F1144" s="2" t="s">
        <v>2284</v>
      </c>
      <c r="G1144" s="2" t="s">
        <v>58</v>
      </c>
      <c r="H1144" s="2" t="s">
        <v>25</v>
      </c>
      <c r="I1144" s="2" t="s">
        <v>533</v>
      </c>
      <c r="J1144" s="2" t="s">
        <v>72</v>
      </c>
      <c r="K1144" s="2" t="s">
        <v>61</v>
      </c>
      <c r="L1144" s="2" t="s">
        <v>513</v>
      </c>
      <c r="M1144" s="2" t="s">
        <v>30</v>
      </c>
      <c r="N1144" s="2" t="s">
        <v>63</v>
      </c>
      <c r="O1144" s="2" t="s">
        <v>514</v>
      </c>
      <c r="P1144" s="4">
        <v>409.0933</v>
      </c>
      <c r="Q1144" s="4">
        <v>6</v>
      </c>
      <c r="R1144" s="4">
        <v>212.68360000000001</v>
      </c>
      <c r="S1144" s="2" t="s">
        <v>53</v>
      </c>
      <c r="T1144" s="2" t="s">
        <v>133</v>
      </c>
    </row>
    <row r="1145" spans="1:20" x14ac:dyDescent="0.25">
      <c r="A1145" s="2" t="s">
        <v>2285</v>
      </c>
      <c r="B1145" s="3">
        <v>42681</v>
      </c>
      <c r="C1145" s="3">
        <v>42681</v>
      </c>
      <c r="D1145" s="2" t="s">
        <v>55</v>
      </c>
      <c r="E1145" s="2" t="s">
        <v>2286</v>
      </c>
      <c r="F1145" s="2" t="s">
        <v>2287</v>
      </c>
      <c r="G1145" s="2" t="s">
        <v>38</v>
      </c>
      <c r="H1145" s="2" t="s">
        <v>25</v>
      </c>
      <c r="I1145" s="2" t="s">
        <v>402</v>
      </c>
      <c r="J1145" s="2" t="s">
        <v>403</v>
      </c>
      <c r="K1145" s="2" t="s">
        <v>147</v>
      </c>
      <c r="L1145" s="2" t="s">
        <v>344</v>
      </c>
      <c r="M1145" s="2" t="s">
        <v>30</v>
      </c>
      <c r="N1145" s="2" t="s">
        <v>42</v>
      </c>
      <c r="O1145" s="2" t="s">
        <v>345</v>
      </c>
      <c r="P1145" s="4">
        <v>44.231499999999997</v>
      </c>
      <c r="Q1145" s="4">
        <v>3</v>
      </c>
      <c r="R1145" s="4">
        <v>-0.2858</v>
      </c>
      <c r="S1145" s="2" t="s">
        <v>121</v>
      </c>
      <c r="T1145" s="2" t="s">
        <v>93</v>
      </c>
    </row>
    <row r="1146" spans="1:20" x14ac:dyDescent="0.25">
      <c r="A1146" s="2" t="s">
        <v>2288</v>
      </c>
      <c r="B1146" s="3">
        <v>42513</v>
      </c>
      <c r="C1146" s="3">
        <v>42513</v>
      </c>
      <c r="D1146" s="2" t="s">
        <v>21</v>
      </c>
      <c r="E1146" s="2" t="s">
        <v>1230</v>
      </c>
      <c r="F1146" s="2" t="s">
        <v>1231</v>
      </c>
      <c r="G1146" s="2" t="s">
        <v>58</v>
      </c>
      <c r="H1146" s="2" t="s">
        <v>25</v>
      </c>
      <c r="I1146" s="2" t="s">
        <v>394</v>
      </c>
      <c r="J1146" s="2" t="s">
        <v>289</v>
      </c>
      <c r="K1146" s="2" t="s">
        <v>82</v>
      </c>
      <c r="L1146" s="2" t="s">
        <v>169</v>
      </c>
      <c r="M1146" s="2" t="s">
        <v>30</v>
      </c>
      <c r="N1146" s="2" t="s">
        <v>162</v>
      </c>
      <c r="O1146" s="2" t="s">
        <v>170</v>
      </c>
      <c r="P1146" s="4">
        <v>116.4799</v>
      </c>
      <c r="Q1146" s="4">
        <v>2</v>
      </c>
      <c r="R1146" s="4">
        <v>5.9600999999999997</v>
      </c>
      <c r="S1146" s="2" t="s">
        <v>121</v>
      </c>
      <c r="T1146" s="2" t="s">
        <v>122</v>
      </c>
    </row>
    <row r="1147" spans="1:20" x14ac:dyDescent="0.25">
      <c r="A1147" s="2" t="s">
        <v>2289</v>
      </c>
      <c r="B1147" s="3">
        <v>41817</v>
      </c>
      <c r="C1147" s="3">
        <v>41818</v>
      </c>
      <c r="D1147" s="2" t="s">
        <v>21</v>
      </c>
      <c r="E1147" s="2" t="s">
        <v>2199</v>
      </c>
      <c r="F1147" s="2" t="s">
        <v>2200</v>
      </c>
      <c r="G1147" s="2" t="s">
        <v>38</v>
      </c>
      <c r="H1147" s="2" t="s">
        <v>25</v>
      </c>
      <c r="I1147" s="2" t="s">
        <v>462</v>
      </c>
      <c r="J1147" s="2" t="s">
        <v>351</v>
      </c>
      <c r="K1147" s="2" t="s">
        <v>147</v>
      </c>
      <c r="L1147" s="2" t="s">
        <v>453</v>
      </c>
      <c r="M1147" s="2" t="s">
        <v>30</v>
      </c>
      <c r="N1147" s="2" t="s">
        <v>42</v>
      </c>
      <c r="O1147" s="2" t="s">
        <v>454</v>
      </c>
      <c r="P1147" s="4">
        <v>191.7389</v>
      </c>
      <c r="Q1147" s="4">
        <v>2</v>
      </c>
      <c r="R1147" s="4">
        <v>38.231900000000003</v>
      </c>
      <c r="S1147" s="2" t="s">
        <v>33</v>
      </c>
      <c r="T1147" s="2" t="s">
        <v>133</v>
      </c>
    </row>
    <row r="1148" spans="1:20" x14ac:dyDescent="0.25">
      <c r="A1148" s="2" t="s">
        <v>2290</v>
      </c>
      <c r="B1148" s="3">
        <v>42326</v>
      </c>
      <c r="C1148" s="3">
        <v>42326</v>
      </c>
      <c r="D1148" s="2" t="s">
        <v>55</v>
      </c>
      <c r="E1148" s="2" t="s">
        <v>347</v>
      </c>
      <c r="F1148" s="2" t="s">
        <v>348</v>
      </c>
      <c r="G1148" s="2" t="s">
        <v>38</v>
      </c>
      <c r="H1148" s="2" t="s">
        <v>25</v>
      </c>
      <c r="I1148" s="2" t="s">
        <v>355</v>
      </c>
      <c r="J1148" s="2" t="s">
        <v>356</v>
      </c>
      <c r="K1148" s="2" t="s">
        <v>147</v>
      </c>
      <c r="L1148" s="2" t="s">
        <v>113</v>
      </c>
      <c r="M1148" s="2" t="s">
        <v>30</v>
      </c>
      <c r="N1148" s="2" t="s">
        <v>31</v>
      </c>
      <c r="O1148" s="2" t="s">
        <v>114</v>
      </c>
      <c r="P1148" s="4">
        <v>3.8022</v>
      </c>
      <c r="Q1148" s="4">
        <v>9</v>
      </c>
      <c r="R1148" s="4">
        <v>1.5537000000000001</v>
      </c>
      <c r="S1148" s="2" t="s">
        <v>121</v>
      </c>
      <c r="T1148" s="2" t="s">
        <v>93</v>
      </c>
    </row>
    <row r="1149" spans="1:20" x14ac:dyDescent="0.25">
      <c r="A1149" s="2" t="s">
        <v>2291</v>
      </c>
      <c r="B1149" s="3">
        <v>42290</v>
      </c>
      <c r="C1149" s="3">
        <v>42296</v>
      </c>
      <c r="D1149" s="2" t="s">
        <v>55</v>
      </c>
      <c r="E1149" s="2" t="s">
        <v>2292</v>
      </c>
      <c r="F1149" s="2" t="s">
        <v>2293</v>
      </c>
      <c r="G1149" s="2" t="s">
        <v>38</v>
      </c>
      <c r="H1149" s="2" t="s">
        <v>25</v>
      </c>
      <c r="I1149" s="2" t="s">
        <v>695</v>
      </c>
      <c r="J1149" s="2" t="s">
        <v>180</v>
      </c>
      <c r="K1149" s="2" t="s">
        <v>147</v>
      </c>
      <c r="L1149" s="2" t="s">
        <v>228</v>
      </c>
      <c r="M1149" s="2" t="s">
        <v>30</v>
      </c>
      <c r="N1149" s="2" t="s">
        <v>42</v>
      </c>
      <c r="O1149" s="2" t="s">
        <v>229</v>
      </c>
      <c r="P1149" s="4">
        <v>503.63330000000002</v>
      </c>
      <c r="Q1149" s="4">
        <v>4</v>
      </c>
      <c r="R1149" s="4">
        <v>191.46709999999999</v>
      </c>
      <c r="S1149" s="2" t="s">
        <v>65</v>
      </c>
      <c r="T1149" s="2" t="s">
        <v>224</v>
      </c>
    </row>
    <row r="1150" spans="1:20" x14ac:dyDescent="0.25">
      <c r="A1150" s="2" t="s">
        <v>2291</v>
      </c>
      <c r="B1150" s="3">
        <v>42290</v>
      </c>
      <c r="C1150" s="3">
        <v>42296</v>
      </c>
      <c r="D1150" s="2" t="s">
        <v>55</v>
      </c>
      <c r="E1150" s="2" t="s">
        <v>2292</v>
      </c>
      <c r="F1150" s="2" t="s">
        <v>2293</v>
      </c>
      <c r="G1150" s="2" t="s">
        <v>38</v>
      </c>
      <c r="H1150" s="2" t="s">
        <v>25</v>
      </c>
      <c r="I1150" s="2" t="s">
        <v>695</v>
      </c>
      <c r="J1150" s="2" t="s">
        <v>180</v>
      </c>
      <c r="K1150" s="2" t="s">
        <v>147</v>
      </c>
      <c r="L1150" s="2" t="s">
        <v>316</v>
      </c>
      <c r="M1150" s="2" t="s">
        <v>30</v>
      </c>
      <c r="N1150" s="2" t="s">
        <v>42</v>
      </c>
      <c r="O1150" s="2" t="s">
        <v>317</v>
      </c>
      <c r="P1150" s="4">
        <v>220.5523</v>
      </c>
      <c r="Q1150" s="4">
        <v>2</v>
      </c>
      <c r="R1150" s="4">
        <v>52.159300000000002</v>
      </c>
      <c r="S1150" s="2" t="s">
        <v>65</v>
      </c>
      <c r="T1150" s="2" t="s">
        <v>224</v>
      </c>
    </row>
    <row r="1151" spans="1:20" x14ac:dyDescent="0.25">
      <c r="A1151" s="2" t="s">
        <v>2294</v>
      </c>
      <c r="B1151" s="3">
        <v>42632</v>
      </c>
      <c r="C1151" s="3">
        <v>42632</v>
      </c>
      <c r="D1151" s="2" t="s">
        <v>142</v>
      </c>
      <c r="E1151" s="2" t="s">
        <v>835</v>
      </c>
      <c r="F1151" s="2" t="s">
        <v>836</v>
      </c>
      <c r="G1151" s="2" t="s">
        <v>58</v>
      </c>
      <c r="H1151" s="2" t="s">
        <v>25</v>
      </c>
      <c r="I1151" s="2" t="s">
        <v>278</v>
      </c>
      <c r="J1151" s="2" t="s">
        <v>279</v>
      </c>
      <c r="K1151" s="2" t="s">
        <v>28</v>
      </c>
      <c r="L1151" s="2" t="s">
        <v>174</v>
      </c>
      <c r="M1151" s="2" t="s">
        <v>30</v>
      </c>
      <c r="N1151" s="2" t="s">
        <v>31</v>
      </c>
      <c r="O1151" s="2" t="s">
        <v>175</v>
      </c>
      <c r="P1151" s="4">
        <v>44.188099999999999</v>
      </c>
      <c r="Q1151" s="4">
        <v>6</v>
      </c>
      <c r="R1151" s="4">
        <v>11.176600000000001</v>
      </c>
      <c r="S1151" s="2" t="s">
        <v>121</v>
      </c>
      <c r="T1151" s="2" t="s">
        <v>148</v>
      </c>
    </row>
    <row r="1152" spans="1:20" x14ac:dyDescent="0.25">
      <c r="A1152" s="2" t="s">
        <v>2294</v>
      </c>
      <c r="B1152" s="3">
        <v>42632</v>
      </c>
      <c r="C1152" s="3">
        <v>42632</v>
      </c>
      <c r="D1152" s="2" t="s">
        <v>142</v>
      </c>
      <c r="E1152" s="2" t="s">
        <v>835</v>
      </c>
      <c r="F1152" s="2" t="s">
        <v>836</v>
      </c>
      <c r="G1152" s="2" t="s">
        <v>58</v>
      </c>
      <c r="H1152" s="2" t="s">
        <v>25</v>
      </c>
      <c r="I1152" s="2" t="s">
        <v>278</v>
      </c>
      <c r="J1152" s="2" t="s">
        <v>279</v>
      </c>
      <c r="K1152" s="2" t="s">
        <v>28</v>
      </c>
      <c r="L1152" s="2" t="s">
        <v>200</v>
      </c>
      <c r="M1152" s="2" t="s">
        <v>30</v>
      </c>
      <c r="N1152" s="2" t="s">
        <v>162</v>
      </c>
      <c r="O1152" s="2" t="s">
        <v>201</v>
      </c>
      <c r="P1152" s="4">
        <v>610.27179999999998</v>
      </c>
      <c r="Q1152" s="4">
        <v>2</v>
      </c>
      <c r="R1152" s="4">
        <v>-342.38189999999997</v>
      </c>
      <c r="S1152" s="2" t="s">
        <v>121</v>
      </c>
      <c r="T1152" s="2" t="s">
        <v>148</v>
      </c>
    </row>
    <row r="1153" spans="1:20" x14ac:dyDescent="0.25">
      <c r="A1153" s="2" t="s">
        <v>2295</v>
      </c>
      <c r="B1153" s="3">
        <v>42782</v>
      </c>
      <c r="C1153" s="3">
        <v>42783</v>
      </c>
      <c r="D1153" s="2" t="s">
        <v>21</v>
      </c>
      <c r="E1153" s="2" t="s">
        <v>2296</v>
      </c>
      <c r="F1153" s="2" t="s">
        <v>2297</v>
      </c>
      <c r="G1153" s="2" t="s">
        <v>58</v>
      </c>
      <c r="H1153" s="2" t="s">
        <v>25</v>
      </c>
      <c r="I1153" s="2" t="s">
        <v>71</v>
      </c>
      <c r="J1153" s="2" t="s">
        <v>72</v>
      </c>
      <c r="K1153" s="2" t="s">
        <v>61</v>
      </c>
      <c r="L1153" s="2" t="s">
        <v>161</v>
      </c>
      <c r="M1153" s="2" t="s">
        <v>30</v>
      </c>
      <c r="N1153" s="2" t="s">
        <v>162</v>
      </c>
      <c r="O1153" s="2" t="s">
        <v>163</v>
      </c>
      <c r="P1153" s="4">
        <v>1253.0802000000001</v>
      </c>
      <c r="Q1153" s="4">
        <v>4</v>
      </c>
      <c r="R1153" s="4">
        <v>-177.87559999999999</v>
      </c>
      <c r="S1153" s="2" t="s">
        <v>33</v>
      </c>
      <c r="T1153" s="2" t="s">
        <v>101</v>
      </c>
    </row>
    <row r="1154" spans="1:20" x14ac:dyDescent="0.25">
      <c r="A1154" s="2" t="s">
        <v>2298</v>
      </c>
      <c r="B1154" s="3">
        <v>42008</v>
      </c>
      <c r="C1154" s="3">
        <v>42013</v>
      </c>
      <c r="D1154" s="2" t="s">
        <v>55</v>
      </c>
      <c r="E1154" s="2" t="s">
        <v>2064</v>
      </c>
      <c r="F1154" s="2" t="s">
        <v>1414</v>
      </c>
      <c r="G1154" s="2" t="s">
        <v>24</v>
      </c>
      <c r="H1154" s="2" t="s">
        <v>25</v>
      </c>
      <c r="I1154" s="2" t="s">
        <v>378</v>
      </c>
      <c r="J1154" s="2" t="s">
        <v>98</v>
      </c>
      <c r="K1154" s="2" t="s">
        <v>82</v>
      </c>
      <c r="L1154" s="2" t="s">
        <v>228</v>
      </c>
      <c r="M1154" s="2" t="s">
        <v>30</v>
      </c>
      <c r="N1154" s="2" t="s">
        <v>42</v>
      </c>
      <c r="O1154" s="2" t="s">
        <v>229</v>
      </c>
      <c r="P1154" s="4">
        <v>929.4701</v>
      </c>
      <c r="Q1154" s="4">
        <v>5</v>
      </c>
      <c r="R1154" s="4">
        <v>409.15559999999999</v>
      </c>
      <c r="S1154" s="2" t="s">
        <v>85</v>
      </c>
      <c r="T1154" s="2" t="s">
        <v>115</v>
      </c>
    </row>
    <row r="1155" spans="1:20" x14ac:dyDescent="0.25">
      <c r="A1155" s="2" t="s">
        <v>2299</v>
      </c>
      <c r="B1155" s="3">
        <v>41870</v>
      </c>
      <c r="C1155" s="3">
        <v>41872</v>
      </c>
      <c r="D1155" s="2" t="s">
        <v>55</v>
      </c>
      <c r="E1155" s="2" t="s">
        <v>851</v>
      </c>
      <c r="F1155" s="2" t="s">
        <v>852</v>
      </c>
      <c r="G1155" s="2" t="s">
        <v>24</v>
      </c>
      <c r="H1155" s="2" t="s">
        <v>25</v>
      </c>
      <c r="I1155" s="2" t="s">
        <v>482</v>
      </c>
      <c r="J1155" s="2" t="s">
        <v>120</v>
      </c>
      <c r="K1155" s="2" t="s">
        <v>61</v>
      </c>
      <c r="L1155" s="2" t="s">
        <v>73</v>
      </c>
      <c r="M1155" s="2" t="s">
        <v>30</v>
      </c>
      <c r="N1155" s="2" t="s">
        <v>42</v>
      </c>
      <c r="O1155" s="2" t="s">
        <v>74</v>
      </c>
      <c r="P1155" s="4">
        <v>1141.4472000000001</v>
      </c>
      <c r="Q1155" s="4">
        <v>4</v>
      </c>
      <c r="R1155" s="4">
        <v>-176.21440000000001</v>
      </c>
      <c r="S1155" s="2" t="s">
        <v>53</v>
      </c>
      <c r="T1155" s="2" t="s">
        <v>34</v>
      </c>
    </row>
    <row r="1156" spans="1:20" x14ac:dyDescent="0.25">
      <c r="A1156" s="2" t="s">
        <v>2300</v>
      </c>
      <c r="B1156" s="3">
        <v>42351</v>
      </c>
      <c r="C1156" s="3">
        <v>42354</v>
      </c>
      <c r="D1156" s="2" t="s">
        <v>55</v>
      </c>
      <c r="E1156" s="2" t="s">
        <v>554</v>
      </c>
      <c r="F1156" s="2" t="s">
        <v>555</v>
      </c>
      <c r="G1156" s="2" t="s">
        <v>38</v>
      </c>
      <c r="H1156" s="2" t="s">
        <v>25</v>
      </c>
      <c r="I1156" s="2" t="s">
        <v>378</v>
      </c>
      <c r="J1156" s="2" t="s">
        <v>98</v>
      </c>
      <c r="K1156" s="2" t="s">
        <v>82</v>
      </c>
      <c r="L1156" s="2" t="s">
        <v>228</v>
      </c>
      <c r="M1156" s="2" t="s">
        <v>30</v>
      </c>
      <c r="N1156" s="2" t="s">
        <v>42</v>
      </c>
      <c r="O1156" s="2" t="s">
        <v>229</v>
      </c>
      <c r="P1156" s="4">
        <v>332.70440000000002</v>
      </c>
      <c r="Q1156" s="4">
        <v>5</v>
      </c>
      <c r="R1156" s="4">
        <v>124.1203</v>
      </c>
      <c r="S1156" s="2" t="s">
        <v>92</v>
      </c>
      <c r="T1156" s="2" t="s">
        <v>76</v>
      </c>
    </row>
    <row r="1157" spans="1:20" x14ac:dyDescent="0.25">
      <c r="A1157" s="2" t="s">
        <v>2301</v>
      </c>
      <c r="B1157" s="3">
        <v>42477</v>
      </c>
      <c r="C1157" s="3">
        <v>42484</v>
      </c>
      <c r="D1157" s="2" t="s">
        <v>55</v>
      </c>
      <c r="E1157" s="2" t="s">
        <v>1883</v>
      </c>
      <c r="F1157" s="2" t="s">
        <v>1884</v>
      </c>
      <c r="G1157" s="2" t="s">
        <v>38</v>
      </c>
      <c r="H1157" s="2" t="s">
        <v>25</v>
      </c>
      <c r="I1157" s="2" t="s">
        <v>360</v>
      </c>
      <c r="J1157" s="2" t="s">
        <v>160</v>
      </c>
      <c r="K1157" s="2" t="s">
        <v>61</v>
      </c>
      <c r="L1157" s="2" t="s">
        <v>41</v>
      </c>
      <c r="M1157" s="2" t="s">
        <v>30</v>
      </c>
      <c r="N1157" s="2" t="s">
        <v>42</v>
      </c>
      <c r="O1157" s="2" t="s">
        <v>43</v>
      </c>
      <c r="P1157" s="4">
        <v>250.86709999999999</v>
      </c>
      <c r="Q1157" s="4">
        <v>3</v>
      </c>
      <c r="R1157" s="4">
        <v>145.51660000000001</v>
      </c>
      <c r="S1157" s="2" t="s">
        <v>107</v>
      </c>
      <c r="T1157" s="2" t="s">
        <v>108</v>
      </c>
    </row>
    <row r="1158" spans="1:20" x14ac:dyDescent="0.25">
      <c r="A1158" s="2" t="s">
        <v>2302</v>
      </c>
      <c r="B1158" s="3">
        <v>42189</v>
      </c>
      <c r="C1158" s="3">
        <v>42191</v>
      </c>
      <c r="D1158" s="2" t="s">
        <v>55</v>
      </c>
      <c r="E1158" s="2" t="s">
        <v>1438</v>
      </c>
      <c r="F1158" s="2" t="s">
        <v>1439</v>
      </c>
      <c r="G1158" s="2" t="s">
        <v>58</v>
      </c>
      <c r="H1158" s="2" t="s">
        <v>25</v>
      </c>
      <c r="I1158" s="2" t="s">
        <v>259</v>
      </c>
      <c r="J1158" s="2" t="s">
        <v>260</v>
      </c>
      <c r="K1158" s="2" t="s">
        <v>147</v>
      </c>
      <c r="L1158" s="2" t="s">
        <v>252</v>
      </c>
      <c r="M1158" s="2" t="s">
        <v>30</v>
      </c>
      <c r="N1158" s="2" t="s">
        <v>31</v>
      </c>
      <c r="O1158" s="2" t="s">
        <v>253</v>
      </c>
      <c r="P1158" s="4">
        <v>16.2014</v>
      </c>
      <c r="Q1158" s="4">
        <v>1</v>
      </c>
      <c r="R1158" s="4">
        <v>7.3598999999999997</v>
      </c>
      <c r="S1158" s="2" t="s">
        <v>53</v>
      </c>
      <c r="T1158" s="2" t="s">
        <v>86</v>
      </c>
    </row>
    <row r="1159" spans="1:20" x14ac:dyDescent="0.25">
      <c r="A1159" s="2" t="s">
        <v>2303</v>
      </c>
      <c r="B1159" s="3">
        <v>42896</v>
      </c>
      <c r="C1159" s="3">
        <v>42896</v>
      </c>
      <c r="D1159" s="2" t="s">
        <v>48</v>
      </c>
      <c r="E1159" s="2" t="s">
        <v>525</v>
      </c>
      <c r="F1159" s="2" t="s">
        <v>526</v>
      </c>
      <c r="G1159" s="2" t="s">
        <v>38</v>
      </c>
      <c r="H1159" s="2" t="s">
        <v>25</v>
      </c>
      <c r="I1159" s="2" t="s">
        <v>509</v>
      </c>
      <c r="J1159" s="2" t="s">
        <v>356</v>
      </c>
      <c r="K1159" s="2" t="s">
        <v>147</v>
      </c>
      <c r="L1159" s="2" t="s">
        <v>245</v>
      </c>
      <c r="M1159" s="2" t="s">
        <v>30</v>
      </c>
      <c r="N1159" s="2" t="s">
        <v>42</v>
      </c>
      <c r="O1159" s="2" t="s">
        <v>246</v>
      </c>
      <c r="P1159" s="4">
        <v>274.48180000000002</v>
      </c>
      <c r="Q1159" s="4">
        <v>1</v>
      </c>
      <c r="R1159" s="4">
        <v>105.59480000000001</v>
      </c>
      <c r="S1159" s="2" t="s">
        <v>121</v>
      </c>
      <c r="T1159" s="2" t="s">
        <v>133</v>
      </c>
    </row>
    <row r="1160" spans="1:20" x14ac:dyDescent="0.25">
      <c r="A1160" s="2" t="s">
        <v>2304</v>
      </c>
      <c r="B1160" s="3">
        <v>42772</v>
      </c>
      <c r="C1160" s="3">
        <v>42774</v>
      </c>
      <c r="D1160" s="2" t="s">
        <v>55</v>
      </c>
      <c r="E1160" s="2" t="s">
        <v>2249</v>
      </c>
      <c r="F1160" s="2" t="s">
        <v>2250</v>
      </c>
      <c r="G1160" s="2" t="s">
        <v>58</v>
      </c>
      <c r="H1160" s="2" t="s">
        <v>25</v>
      </c>
      <c r="I1160" s="2" t="s">
        <v>552</v>
      </c>
      <c r="J1160" s="2" t="s">
        <v>322</v>
      </c>
      <c r="K1160" s="2" t="s">
        <v>28</v>
      </c>
      <c r="L1160" s="2" t="s">
        <v>154</v>
      </c>
      <c r="M1160" s="2" t="s">
        <v>30</v>
      </c>
      <c r="N1160" s="2" t="s">
        <v>42</v>
      </c>
      <c r="O1160" s="2" t="s">
        <v>155</v>
      </c>
      <c r="P1160" s="4">
        <v>1088.5959</v>
      </c>
      <c r="Q1160" s="4">
        <v>2</v>
      </c>
      <c r="R1160" s="4">
        <v>358.7593</v>
      </c>
      <c r="S1160" s="2" t="s">
        <v>53</v>
      </c>
      <c r="T1160" s="2" t="s">
        <v>101</v>
      </c>
    </row>
    <row r="1161" spans="1:20" x14ac:dyDescent="0.25">
      <c r="A1161" s="2" t="s">
        <v>2304</v>
      </c>
      <c r="B1161" s="3">
        <v>42772</v>
      </c>
      <c r="C1161" s="3">
        <v>42774</v>
      </c>
      <c r="D1161" s="2" t="s">
        <v>55</v>
      </c>
      <c r="E1161" s="2" t="s">
        <v>2249</v>
      </c>
      <c r="F1161" s="2" t="s">
        <v>2250</v>
      </c>
      <c r="G1161" s="2" t="s">
        <v>58</v>
      </c>
      <c r="H1161" s="2" t="s">
        <v>25</v>
      </c>
      <c r="I1161" s="2" t="s">
        <v>552</v>
      </c>
      <c r="J1161" s="2" t="s">
        <v>322</v>
      </c>
      <c r="K1161" s="2" t="s">
        <v>28</v>
      </c>
      <c r="L1161" s="2" t="s">
        <v>316</v>
      </c>
      <c r="M1161" s="2" t="s">
        <v>30</v>
      </c>
      <c r="N1161" s="2" t="s">
        <v>42</v>
      </c>
      <c r="O1161" s="2" t="s">
        <v>317</v>
      </c>
      <c r="P1161" s="4">
        <v>499.00560000000002</v>
      </c>
      <c r="Q1161" s="4">
        <v>2</v>
      </c>
      <c r="R1161" s="4">
        <v>175.33510000000001</v>
      </c>
      <c r="S1161" s="2" t="s">
        <v>53</v>
      </c>
      <c r="T1161" s="2" t="s">
        <v>101</v>
      </c>
    </row>
    <row r="1162" spans="1:20" x14ac:dyDescent="0.25">
      <c r="A1162" s="2" t="s">
        <v>2305</v>
      </c>
      <c r="B1162" s="3">
        <v>42405</v>
      </c>
      <c r="C1162" s="3">
        <v>42407</v>
      </c>
      <c r="D1162" s="2" t="s">
        <v>48</v>
      </c>
      <c r="E1162" s="2" t="s">
        <v>672</v>
      </c>
      <c r="F1162" s="2" t="s">
        <v>673</v>
      </c>
      <c r="G1162" s="2" t="s">
        <v>58</v>
      </c>
      <c r="H1162" s="2" t="s">
        <v>25</v>
      </c>
      <c r="I1162" s="2" t="s">
        <v>423</v>
      </c>
      <c r="J1162" s="2" t="s">
        <v>424</v>
      </c>
      <c r="K1162" s="2" t="s">
        <v>28</v>
      </c>
      <c r="L1162" s="2" t="s">
        <v>139</v>
      </c>
      <c r="M1162" s="2" t="s">
        <v>30</v>
      </c>
      <c r="N1162" s="2" t="s">
        <v>42</v>
      </c>
      <c r="O1162" s="2" t="s">
        <v>140</v>
      </c>
      <c r="P1162" s="4">
        <v>463.81790000000001</v>
      </c>
      <c r="Q1162" s="4">
        <v>3</v>
      </c>
      <c r="R1162" s="4">
        <v>158.7064</v>
      </c>
      <c r="S1162" s="2" t="s">
        <v>53</v>
      </c>
      <c r="T1162" s="2" t="s">
        <v>101</v>
      </c>
    </row>
    <row r="1163" spans="1:20" x14ac:dyDescent="0.25">
      <c r="A1163" s="2" t="s">
        <v>2306</v>
      </c>
      <c r="B1163" s="3">
        <v>41726</v>
      </c>
      <c r="C1163" s="3">
        <v>41730</v>
      </c>
      <c r="D1163" s="2" t="s">
        <v>55</v>
      </c>
      <c r="E1163" s="2" t="s">
        <v>1008</v>
      </c>
      <c r="F1163" s="2" t="s">
        <v>1009</v>
      </c>
      <c r="G1163" s="2" t="s">
        <v>58</v>
      </c>
      <c r="H1163" s="2" t="s">
        <v>25</v>
      </c>
      <c r="I1163" s="2" t="s">
        <v>649</v>
      </c>
      <c r="J1163" s="2" t="s">
        <v>279</v>
      </c>
      <c r="K1163" s="2" t="s">
        <v>28</v>
      </c>
      <c r="L1163" s="2" t="s">
        <v>45</v>
      </c>
      <c r="M1163" s="2" t="s">
        <v>30</v>
      </c>
      <c r="N1163" s="2" t="s">
        <v>31</v>
      </c>
      <c r="O1163" s="2" t="s">
        <v>46</v>
      </c>
      <c r="P1163" s="4">
        <v>66.927400000000006</v>
      </c>
      <c r="Q1163" s="4">
        <v>2</v>
      </c>
      <c r="R1163" s="4">
        <v>0.1411</v>
      </c>
      <c r="S1163" s="2" t="s">
        <v>75</v>
      </c>
      <c r="T1163" s="2" t="s">
        <v>44</v>
      </c>
    </row>
    <row r="1164" spans="1:20" x14ac:dyDescent="0.25">
      <c r="A1164" s="2" t="s">
        <v>2307</v>
      </c>
      <c r="B1164" s="3">
        <v>42982</v>
      </c>
      <c r="C1164" s="3">
        <v>42988</v>
      </c>
      <c r="D1164" s="2" t="s">
        <v>55</v>
      </c>
      <c r="E1164" s="2" t="s">
        <v>281</v>
      </c>
      <c r="F1164" s="2" t="s">
        <v>282</v>
      </c>
      <c r="G1164" s="2" t="s">
        <v>24</v>
      </c>
      <c r="H1164" s="2" t="s">
        <v>25</v>
      </c>
      <c r="I1164" s="2" t="s">
        <v>1300</v>
      </c>
      <c r="J1164" s="2" t="s">
        <v>60</v>
      </c>
      <c r="K1164" s="2" t="s">
        <v>61</v>
      </c>
      <c r="L1164" s="2" t="s">
        <v>113</v>
      </c>
      <c r="M1164" s="2" t="s">
        <v>30</v>
      </c>
      <c r="N1164" s="2" t="s">
        <v>31</v>
      </c>
      <c r="O1164" s="2" t="s">
        <v>114</v>
      </c>
      <c r="P1164" s="4">
        <v>9.81</v>
      </c>
      <c r="Q1164" s="4">
        <v>4</v>
      </c>
      <c r="R1164" s="4">
        <v>-3.2530000000000001</v>
      </c>
      <c r="S1164" s="2" t="s">
        <v>65</v>
      </c>
      <c r="T1164" s="2" t="s">
        <v>148</v>
      </c>
    </row>
    <row r="1165" spans="1:20" x14ac:dyDescent="0.25">
      <c r="A1165" s="2" t="s">
        <v>2308</v>
      </c>
      <c r="B1165" s="3">
        <v>42878</v>
      </c>
      <c r="C1165" s="3">
        <v>42881</v>
      </c>
      <c r="D1165" s="2" t="s">
        <v>21</v>
      </c>
      <c r="E1165" s="2" t="s">
        <v>1779</v>
      </c>
      <c r="F1165" s="2" t="s">
        <v>1780</v>
      </c>
      <c r="G1165" s="2" t="s">
        <v>38</v>
      </c>
      <c r="H1165" s="2" t="s">
        <v>25</v>
      </c>
      <c r="I1165" s="2" t="s">
        <v>216</v>
      </c>
      <c r="J1165" s="2" t="s">
        <v>217</v>
      </c>
      <c r="K1165" s="2" t="s">
        <v>82</v>
      </c>
      <c r="L1165" s="2" t="s">
        <v>328</v>
      </c>
      <c r="M1165" s="2" t="s">
        <v>30</v>
      </c>
      <c r="N1165" s="2" t="s">
        <v>63</v>
      </c>
      <c r="O1165" s="2" t="s">
        <v>329</v>
      </c>
      <c r="P1165" s="4">
        <v>535.61670000000004</v>
      </c>
      <c r="Q1165" s="4">
        <v>5</v>
      </c>
      <c r="R1165" s="4">
        <v>-52.490699999999997</v>
      </c>
      <c r="S1165" s="2" t="s">
        <v>92</v>
      </c>
      <c r="T1165" s="2" t="s">
        <v>122</v>
      </c>
    </row>
    <row r="1166" spans="1:20" x14ac:dyDescent="0.25">
      <c r="A1166" s="2" t="s">
        <v>2309</v>
      </c>
      <c r="B1166" s="3">
        <v>42579</v>
      </c>
      <c r="C1166" s="3">
        <v>42582</v>
      </c>
      <c r="D1166" s="2" t="s">
        <v>55</v>
      </c>
      <c r="E1166" s="2" t="s">
        <v>117</v>
      </c>
      <c r="F1166" s="2" t="s">
        <v>118</v>
      </c>
      <c r="G1166" s="2" t="s">
        <v>58</v>
      </c>
      <c r="H1166" s="2" t="s">
        <v>25</v>
      </c>
      <c r="I1166" s="2" t="s">
        <v>829</v>
      </c>
      <c r="J1166" s="2" t="s">
        <v>199</v>
      </c>
      <c r="K1166" s="2" t="s">
        <v>82</v>
      </c>
      <c r="L1166" s="2" t="s">
        <v>66</v>
      </c>
      <c r="M1166" s="2" t="s">
        <v>30</v>
      </c>
      <c r="N1166" s="2" t="s">
        <v>31</v>
      </c>
      <c r="O1166" s="2" t="s">
        <v>67</v>
      </c>
      <c r="P1166" s="4">
        <v>191.46619999999999</v>
      </c>
      <c r="Q1166" s="4">
        <v>4</v>
      </c>
      <c r="R1166" s="4">
        <v>-89.050200000000004</v>
      </c>
      <c r="S1166" s="2" t="s">
        <v>92</v>
      </c>
      <c r="T1166" s="2" t="s">
        <v>86</v>
      </c>
    </row>
    <row r="1167" spans="1:20" x14ac:dyDescent="0.25">
      <c r="A1167" s="2" t="s">
        <v>2309</v>
      </c>
      <c r="B1167" s="3">
        <v>42579</v>
      </c>
      <c r="C1167" s="3">
        <v>42582</v>
      </c>
      <c r="D1167" s="2" t="s">
        <v>55</v>
      </c>
      <c r="E1167" s="2" t="s">
        <v>117</v>
      </c>
      <c r="F1167" s="2" t="s">
        <v>118</v>
      </c>
      <c r="G1167" s="2" t="s">
        <v>58</v>
      </c>
      <c r="H1167" s="2" t="s">
        <v>25</v>
      </c>
      <c r="I1167" s="2" t="s">
        <v>829</v>
      </c>
      <c r="J1167" s="2" t="s">
        <v>199</v>
      </c>
      <c r="K1167" s="2" t="s">
        <v>82</v>
      </c>
      <c r="L1167" s="2" t="s">
        <v>154</v>
      </c>
      <c r="M1167" s="2" t="s">
        <v>30</v>
      </c>
      <c r="N1167" s="2" t="s">
        <v>42</v>
      </c>
      <c r="O1167" s="2" t="s">
        <v>155</v>
      </c>
      <c r="P1167" s="4">
        <v>557.66070000000002</v>
      </c>
      <c r="Q1167" s="4">
        <v>7</v>
      </c>
      <c r="R1167" s="4">
        <v>-28.869700000000002</v>
      </c>
      <c r="S1167" s="2" t="s">
        <v>92</v>
      </c>
      <c r="T1167" s="2" t="s">
        <v>86</v>
      </c>
    </row>
    <row r="1168" spans="1:20" x14ac:dyDescent="0.25">
      <c r="A1168" s="2" t="s">
        <v>2309</v>
      </c>
      <c r="B1168" s="3">
        <v>42579</v>
      </c>
      <c r="C1168" s="3">
        <v>42582</v>
      </c>
      <c r="D1168" s="2" t="s">
        <v>55</v>
      </c>
      <c r="E1168" s="2" t="s">
        <v>117</v>
      </c>
      <c r="F1168" s="2" t="s">
        <v>118</v>
      </c>
      <c r="G1168" s="2" t="s">
        <v>58</v>
      </c>
      <c r="H1168" s="2" t="s">
        <v>25</v>
      </c>
      <c r="I1168" s="2" t="s">
        <v>829</v>
      </c>
      <c r="J1168" s="2" t="s">
        <v>199</v>
      </c>
      <c r="K1168" s="2" t="s">
        <v>82</v>
      </c>
      <c r="L1168" s="2" t="s">
        <v>333</v>
      </c>
      <c r="M1168" s="2" t="s">
        <v>30</v>
      </c>
      <c r="N1168" s="2" t="s">
        <v>162</v>
      </c>
      <c r="O1168" s="2" t="s">
        <v>334</v>
      </c>
      <c r="P1168" s="4">
        <v>318.89260000000002</v>
      </c>
      <c r="Q1168" s="4">
        <v>3</v>
      </c>
      <c r="R1168" s="4">
        <v>-95.285300000000007</v>
      </c>
      <c r="S1168" s="2" t="s">
        <v>92</v>
      </c>
      <c r="T1168" s="2" t="s">
        <v>86</v>
      </c>
    </row>
    <row r="1169" spans="1:20" x14ac:dyDescent="0.25">
      <c r="A1169" s="2" t="s">
        <v>2310</v>
      </c>
      <c r="B1169" s="3">
        <v>42423</v>
      </c>
      <c r="C1169" s="3">
        <v>42426</v>
      </c>
      <c r="D1169" s="2" t="s">
        <v>55</v>
      </c>
      <c r="E1169" s="2" t="s">
        <v>835</v>
      </c>
      <c r="F1169" s="2" t="s">
        <v>836</v>
      </c>
      <c r="G1169" s="2" t="s">
        <v>38</v>
      </c>
      <c r="H1169" s="2" t="s">
        <v>25</v>
      </c>
      <c r="I1169" s="2" t="s">
        <v>539</v>
      </c>
      <c r="J1169" s="2" t="s">
        <v>91</v>
      </c>
      <c r="K1169" s="2" t="s">
        <v>61</v>
      </c>
      <c r="L1169" s="2" t="s">
        <v>1476</v>
      </c>
      <c r="M1169" s="2" t="s">
        <v>30</v>
      </c>
      <c r="N1169" s="2" t="s">
        <v>63</v>
      </c>
      <c r="O1169" s="2" t="s">
        <v>1477</v>
      </c>
      <c r="P1169" s="4">
        <v>1079.3116</v>
      </c>
      <c r="Q1169" s="4">
        <v>4</v>
      </c>
      <c r="R1169" s="4">
        <v>345.69799999999998</v>
      </c>
      <c r="S1169" s="2" t="s">
        <v>92</v>
      </c>
      <c r="T1169" s="2" t="s">
        <v>101</v>
      </c>
    </row>
    <row r="1170" spans="1:20" x14ac:dyDescent="0.25">
      <c r="A1170" s="2" t="s">
        <v>2311</v>
      </c>
      <c r="B1170" s="3">
        <v>42555</v>
      </c>
      <c r="C1170" s="3">
        <v>42555</v>
      </c>
      <c r="D1170" s="2" t="s">
        <v>48</v>
      </c>
      <c r="E1170" s="2" t="s">
        <v>603</v>
      </c>
      <c r="F1170" s="2" t="s">
        <v>604</v>
      </c>
      <c r="G1170" s="2" t="s">
        <v>38</v>
      </c>
      <c r="H1170" s="2" t="s">
        <v>25</v>
      </c>
      <c r="I1170" s="2" t="s">
        <v>1366</v>
      </c>
      <c r="J1170" s="2" t="s">
        <v>244</v>
      </c>
      <c r="K1170" s="2" t="s">
        <v>61</v>
      </c>
      <c r="L1170" s="2" t="s">
        <v>139</v>
      </c>
      <c r="M1170" s="2" t="s">
        <v>30</v>
      </c>
      <c r="N1170" s="2" t="s">
        <v>42</v>
      </c>
      <c r="O1170" s="2" t="s">
        <v>140</v>
      </c>
      <c r="P1170" s="4">
        <v>86.268799999999999</v>
      </c>
      <c r="Q1170" s="4">
        <v>5</v>
      </c>
      <c r="R1170" s="4">
        <v>39.564599999999999</v>
      </c>
      <c r="S1170" s="2" t="s">
        <v>121</v>
      </c>
      <c r="T1170" s="2" t="s">
        <v>86</v>
      </c>
    </row>
    <row r="1171" spans="1:20" x14ac:dyDescent="0.25">
      <c r="A1171" s="2" t="s">
        <v>2312</v>
      </c>
      <c r="B1171" s="3">
        <v>42855</v>
      </c>
      <c r="C1171" s="3">
        <v>42855</v>
      </c>
      <c r="D1171" s="2" t="s">
        <v>48</v>
      </c>
      <c r="E1171" s="2" t="s">
        <v>2082</v>
      </c>
      <c r="F1171" s="2" t="s">
        <v>2083</v>
      </c>
      <c r="G1171" s="2" t="s">
        <v>58</v>
      </c>
      <c r="H1171" s="2" t="s">
        <v>25</v>
      </c>
      <c r="I1171" s="2" t="s">
        <v>382</v>
      </c>
      <c r="J1171" s="2" t="s">
        <v>192</v>
      </c>
      <c r="K1171" s="2" t="s">
        <v>82</v>
      </c>
      <c r="L1171" s="2" t="s">
        <v>372</v>
      </c>
      <c r="M1171" s="2" t="s">
        <v>30</v>
      </c>
      <c r="N1171" s="2" t="s">
        <v>162</v>
      </c>
      <c r="O1171" s="2" t="s">
        <v>373</v>
      </c>
      <c r="P1171" s="4">
        <v>924.87040000000002</v>
      </c>
      <c r="Q1171" s="4">
        <v>6</v>
      </c>
      <c r="R1171" s="4">
        <v>-352.88040000000001</v>
      </c>
      <c r="S1171" s="2" t="s">
        <v>121</v>
      </c>
      <c r="T1171" s="2" t="s">
        <v>108</v>
      </c>
    </row>
    <row r="1172" spans="1:20" x14ac:dyDescent="0.25">
      <c r="A1172" s="2" t="s">
        <v>2313</v>
      </c>
      <c r="B1172" s="3">
        <v>42277</v>
      </c>
      <c r="C1172" s="3">
        <v>42281</v>
      </c>
      <c r="D1172" s="2" t="s">
        <v>21</v>
      </c>
      <c r="E1172" s="2" t="s">
        <v>684</v>
      </c>
      <c r="F1172" s="2" t="s">
        <v>685</v>
      </c>
      <c r="G1172" s="2" t="s">
        <v>58</v>
      </c>
      <c r="H1172" s="2" t="s">
        <v>25</v>
      </c>
      <c r="I1172" s="2" t="s">
        <v>233</v>
      </c>
      <c r="J1172" s="2" t="s">
        <v>234</v>
      </c>
      <c r="K1172" s="2" t="s">
        <v>82</v>
      </c>
      <c r="L1172" s="2" t="s">
        <v>283</v>
      </c>
      <c r="M1172" s="2" t="s">
        <v>30</v>
      </c>
      <c r="N1172" s="2" t="s">
        <v>162</v>
      </c>
      <c r="O1172" s="2" t="s">
        <v>284</v>
      </c>
      <c r="P1172" s="4">
        <v>357.49169999999998</v>
      </c>
      <c r="Q1172" s="4">
        <v>4</v>
      </c>
      <c r="R1172" s="4">
        <v>-128.56049999999999</v>
      </c>
      <c r="S1172" s="2" t="s">
        <v>75</v>
      </c>
      <c r="T1172" s="2" t="s">
        <v>148</v>
      </c>
    </row>
    <row r="1173" spans="1:20" x14ac:dyDescent="0.25">
      <c r="A1173" s="2" t="s">
        <v>2314</v>
      </c>
      <c r="B1173" s="3">
        <v>42975</v>
      </c>
      <c r="C1173" s="3">
        <v>42977</v>
      </c>
      <c r="D1173" s="2" t="s">
        <v>48</v>
      </c>
      <c r="E1173" s="2" t="s">
        <v>341</v>
      </c>
      <c r="F1173" s="2" t="s">
        <v>342</v>
      </c>
      <c r="G1173" s="2" t="s">
        <v>58</v>
      </c>
      <c r="H1173" s="2" t="s">
        <v>25</v>
      </c>
      <c r="I1173" s="2" t="s">
        <v>382</v>
      </c>
      <c r="J1173" s="2" t="s">
        <v>192</v>
      </c>
      <c r="K1173" s="2" t="s">
        <v>82</v>
      </c>
      <c r="L1173" s="2" t="s">
        <v>793</v>
      </c>
      <c r="M1173" s="2" t="s">
        <v>30</v>
      </c>
      <c r="N1173" s="2" t="s">
        <v>63</v>
      </c>
      <c r="O1173" s="2" t="s">
        <v>794</v>
      </c>
      <c r="P1173" s="4">
        <v>346.66419999999999</v>
      </c>
      <c r="Q1173" s="4">
        <v>4</v>
      </c>
      <c r="R1173" s="4">
        <v>196.73599999999999</v>
      </c>
      <c r="S1173" s="2" t="s">
        <v>53</v>
      </c>
      <c r="T1173" s="2" t="s">
        <v>34</v>
      </c>
    </row>
    <row r="1174" spans="1:20" x14ac:dyDescent="0.25">
      <c r="A1174" s="2" t="s">
        <v>2315</v>
      </c>
      <c r="B1174" s="3">
        <v>41798</v>
      </c>
      <c r="C1174" s="3">
        <v>41805</v>
      </c>
      <c r="D1174" s="2" t="s">
        <v>55</v>
      </c>
      <c r="E1174" s="2" t="s">
        <v>1919</v>
      </c>
      <c r="F1174" s="2" t="s">
        <v>1920</v>
      </c>
      <c r="G1174" s="2" t="s">
        <v>38</v>
      </c>
      <c r="H1174" s="2" t="s">
        <v>25</v>
      </c>
      <c r="I1174" s="2" t="s">
        <v>1386</v>
      </c>
      <c r="J1174" s="2" t="s">
        <v>806</v>
      </c>
      <c r="K1174" s="2" t="s">
        <v>28</v>
      </c>
      <c r="L1174" s="2" t="s">
        <v>193</v>
      </c>
      <c r="M1174" s="2" t="s">
        <v>30</v>
      </c>
      <c r="N1174" s="2" t="s">
        <v>42</v>
      </c>
      <c r="O1174" s="2" t="s">
        <v>194</v>
      </c>
      <c r="P1174" s="4">
        <v>1068.1791000000001</v>
      </c>
      <c r="Q1174" s="4">
        <v>5</v>
      </c>
      <c r="R1174" s="4">
        <v>368.92779999999999</v>
      </c>
      <c r="S1174" s="2" t="s">
        <v>107</v>
      </c>
      <c r="T1174" s="2" t="s">
        <v>133</v>
      </c>
    </row>
    <row r="1175" spans="1:20" x14ac:dyDescent="0.25">
      <c r="A1175" s="2" t="s">
        <v>2315</v>
      </c>
      <c r="B1175" s="3">
        <v>41798</v>
      </c>
      <c r="C1175" s="3">
        <v>41805</v>
      </c>
      <c r="D1175" s="2" t="s">
        <v>55</v>
      </c>
      <c r="E1175" s="2" t="s">
        <v>1919</v>
      </c>
      <c r="F1175" s="2" t="s">
        <v>1920</v>
      </c>
      <c r="G1175" s="2" t="s">
        <v>38</v>
      </c>
      <c r="H1175" s="2" t="s">
        <v>25</v>
      </c>
      <c r="I1175" s="2" t="s">
        <v>1386</v>
      </c>
      <c r="J1175" s="2" t="s">
        <v>806</v>
      </c>
      <c r="K1175" s="2" t="s">
        <v>28</v>
      </c>
      <c r="L1175" s="2" t="s">
        <v>161</v>
      </c>
      <c r="M1175" s="2" t="s">
        <v>30</v>
      </c>
      <c r="N1175" s="2" t="s">
        <v>162</v>
      </c>
      <c r="O1175" s="2" t="s">
        <v>163</v>
      </c>
      <c r="P1175" s="4">
        <v>325.18049999999999</v>
      </c>
      <c r="Q1175" s="4">
        <v>5</v>
      </c>
      <c r="R1175" s="4">
        <v>-5.9101999999999997</v>
      </c>
      <c r="S1175" s="2" t="s">
        <v>107</v>
      </c>
      <c r="T1175" s="2" t="s">
        <v>133</v>
      </c>
    </row>
    <row r="1176" spans="1:20" x14ac:dyDescent="0.25">
      <c r="A1176" s="2" t="s">
        <v>2316</v>
      </c>
      <c r="B1176" s="3">
        <v>42714</v>
      </c>
      <c r="C1176" s="3">
        <v>42720</v>
      </c>
      <c r="D1176" s="2" t="s">
        <v>55</v>
      </c>
      <c r="E1176" s="2" t="s">
        <v>680</v>
      </c>
      <c r="F1176" s="2" t="s">
        <v>681</v>
      </c>
      <c r="G1176" s="2" t="s">
        <v>38</v>
      </c>
      <c r="H1176" s="2" t="s">
        <v>25</v>
      </c>
      <c r="I1176" s="2" t="s">
        <v>198</v>
      </c>
      <c r="J1176" s="2" t="s">
        <v>199</v>
      </c>
      <c r="K1176" s="2" t="s">
        <v>82</v>
      </c>
      <c r="L1176" s="2" t="s">
        <v>235</v>
      </c>
      <c r="M1176" s="2" t="s">
        <v>30</v>
      </c>
      <c r="N1176" s="2" t="s">
        <v>31</v>
      </c>
      <c r="O1176" s="2" t="s">
        <v>236</v>
      </c>
      <c r="P1176" s="4">
        <v>47.657800000000002</v>
      </c>
      <c r="Q1176" s="4">
        <v>3</v>
      </c>
      <c r="R1176" s="4">
        <v>0.17100000000000001</v>
      </c>
      <c r="S1176" s="2" t="s">
        <v>65</v>
      </c>
      <c r="T1176" s="2" t="s">
        <v>76</v>
      </c>
    </row>
    <row r="1177" spans="1:20" x14ac:dyDescent="0.25">
      <c r="A1177" s="2" t="s">
        <v>2316</v>
      </c>
      <c r="B1177" s="3">
        <v>42714</v>
      </c>
      <c r="C1177" s="3">
        <v>42720</v>
      </c>
      <c r="D1177" s="2" t="s">
        <v>55</v>
      </c>
      <c r="E1177" s="2" t="s">
        <v>680</v>
      </c>
      <c r="F1177" s="2" t="s">
        <v>681</v>
      </c>
      <c r="G1177" s="2" t="s">
        <v>38</v>
      </c>
      <c r="H1177" s="2" t="s">
        <v>25</v>
      </c>
      <c r="I1177" s="2" t="s">
        <v>198</v>
      </c>
      <c r="J1177" s="2" t="s">
        <v>199</v>
      </c>
      <c r="K1177" s="2" t="s">
        <v>82</v>
      </c>
      <c r="L1177" s="2" t="s">
        <v>245</v>
      </c>
      <c r="M1177" s="2" t="s">
        <v>30</v>
      </c>
      <c r="N1177" s="2" t="s">
        <v>42</v>
      </c>
      <c r="O1177" s="2" t="s">
        <v>246</v>
      </c>
      <c r="P1177" s="4">
        <v>180.10329999999999</v>
      </c>
      <c r="Q1177" s="4">
        <v>4</v>
      </c>
      <c r="R1177" s="4">
        <v>56.600299999999997</v>
      </c>
      <c r="S1177" s="2" t="s">
        <v>65</v>
      </c>
      <c r="T1177" s="2" t="s">
        <v>76</v>
      </c>
    </row>
    <row r="1178" spans="1:20" x14ac:dyDescent="0.25">
      <c r="A1178" s="2" t="s">
        <v>2316</v>
      </c>
      <c r="B1178" s="3">
        <v>42714</v>
      </c>
      <c r="C1178" s="3">
        <v>42720</v>
      </c>
      <c r="D1178" s="2" t="s">
        <v>55</v>
      </c>
      <c r="E1178" s="2" t="s">
        <v>680</v>
      </c>
      <c r="F1178" s="2" t="s">
        <v>681</v>
      </c>
      <c r="G1178" s="2" t="s">
        <v>38</v>
      </c>
      <c r="H1178" s="2" t="s">
        <v>25</v>
      </c>
      <c r="I1178" s="2" t="s">
        <v>198</v>
      </c>
      <c r="J1178" s="2" t="s">
        <v>199</v>
      </c>
      <c r="K1178" s="2" t="s">
        <v>82</v>
      </c>
      <c r="L1178" s="2" t="s">
        <v>186</v>
      </c>
      <c r="M1178" s="2" t="s">
        <v>30</v>
      </c>
      <c r="N1178" s="2" t="s">
        <v>31</v>
      </c>
      <c r="O1178" s="2" t="s">
        <v>187</v>
      </c>
      <c r="P1178" s="4">
        <v>51.442100000000003</v>
      </c>
      <c r="Q1178" s="4">
        <v>2</v>
      </c>
      <c r="R1178" s="4">
        <v>1.5418000000000001</v>
      </c>
      <c r="S1178" s="2" t="s">
        <v>65</v>
      </c>
      <c r="T1178" s="2" t="s">
        <v>76</v>
      </c>
    </row>
    <row r="1179" spans="1:20" x14ac:dyDescent="0.25">
      <c r="A1179" s="2" t="s">
        <v>2316</v>
      </c>
      <c r="B1179" s="3">
        <v>42714</v>
      </c>
      <c r="C1179" s="3">
        <v>42720</v>
      </c>
      <c r="D1179" s="2" t="s">
        <v>55</v>
      </c>
      <c r="E1179" s="2" t="s">
        <v>680</v>
      </c>
      <c r="F1179" s="2" t="s">
        <v>681</v>
      </c>
      <c r="G1179" s="2" t="s">
        <v>38</v>
      </c>
      <c r="H1179" s="2" t="s">
        <v>25</v>
      </c>
      <c r="I1179" s="2" t="s">
        <v>198</v>
      </c>
      <c r="J1179" s="2" t="s">
        <v>199</v>
      </c>
      <c r="K1179" s="2" t="s">
        <v>82</v>
      </c>
      <c r="L1179" s="2" t="s">
        <v>323</v>
      </c>
      <c r="M1179" s="2" t="s">
        <v>30</v>
      </c>
      <c r="N1179" s="2" t="s">
        <v>31</v>
      </c>
      <c r="O1179" s="2" t="s">
        <v>324</v>
      </c>
      <c r="P1179" s="4">
        <v>137.8271</v>
      </c>
      <c r="Q1179" s="4">
        <v>3</v>
      </c>
      <c r="R1179" s="4">
        <v>-31.5564</v>
      </c>
      <c r="S1179" s="2" t="s">
        <v>65</v>
      </c>
      <c r="T1179" s="2" t="s">
        <v>76</v>
      </c>
    </row>
    <row r="1180" spans="1:20" x14ac:dyDescent="0.25">
      <c r="A1180" s="2" t="s">
        <v>2317</v>
      </c>
      <c r="B1180" s="3">
        <v>41929</v>
      </c>
      <c r="C1180" s="3">
        <v>41936</v>
      </c>
      <c r="D1180" s="2" t="s">
        <v>55</v>
      </c>
      <c r="E1180" s="2" t="s">
        <v>2318</v>
      </c>
      <c r="F1180" s="2" t="s">
        <v>2319</v>
      </c>
      <c r="G1180" s="2" t="s">
        <v>38</v>
      </c>
      <c r="H1180" s="2" t="s">
        <v>25</v>
      </c>
      <c r="I1180" s="2" t="s">
        <v>539</v>
      </c>
      <c r="J1180" s="2" t="s">
        <v>91</v>
      </c>
      <c r="K1180" s="2" t="s">
        <v>61</v>
      </c>
      <c r="L1180" s="2" t="s">
        <v>154</v>
      </c>
      <c r="M1180" s="2" t="s">
        <v>30</v>
      </c>
      <c r="N1180" s="2" t="s">
        <v>42</v>
      </c>
      <c r="O1180" s="2" t="s">
        <v>155</v>
      </c>
      <c r="P1180" s="4">
        <v>658.37339999999995</v>
      </c>
      <c r="Q1180" s="4">
        <v>4</v>
      </c>
      <c r="R1180" s="4">
        <v>-103.6284</v>
      </c>
      <c r="S1180" s="2" t="s">
        <v>107</v>
      </c>
      <c r="T1180" s="2" t="s">
        <v>224</v>
      </c>
    </row>
    <row r="1181" spans="1:20" x14ac:dyDescent="0.25">
      <c r="A1181" s="2" t="s">
        <v>2320</v>
      </c>
      <c r="B1181" s="3">
        <v>41917</v>
      </c>
      <c r="C1181" s="3">
        <v>41919</v>
      </c>
      <c r="D1181" s="2" t="s">
        <v>55</v>
      </c>
      <c r="E1181" s="2" t="s">
        <v>477</v>
      </c>
      <c r="F1181" s="2" t="s">
        <v>478</v>
      </c>
      <c r="G1181" s="2" t="s">
        <v>38</v>
      </c>
      <c r="H1181" s="2" t="s">
        <v>25</v>
      </c>
      <c r="I1181" s="2" t="s">
        <v>233</v>
      </c>
      <c r="J1181" s="2" t="s">
        <v>234</v>
      </c>
      <c r="K1181" s="2" t="s">
        <v>82</v>
      </c>
      <c r="L1181" s="2" t="s">
        <v>174</v>
      </c>
      <c r="M1181" s="2" t="s">
        <v>30</v>
      </c>
      <c r="N1181" s="2" t="s">
        <v>31</v>
      </c>
      <c r="O1181" s="2" t="s">
        <v>175</v>
      </c>
      <c r="P1181" s="4">
        <v>21.427</v>
      </c>
      <c r="Q1181" s="4">
        <v>6</v>
      </c>
      <c r="R1181" s="4">
        <v>4.5156000000000001</v>
      </c>
      <c r="S1181" s="2" t="s">
        <v>53</v>
      </c>
      <c r="T1181" s="2" t="s">
        <v>224</v>
      </c>
    </row>
    <row r="1182" spans="1:20" x14ac:dyDescent="0.25">
      <c r="A1182" s="2" t="s">
        <v>2321</v>
      </c>
      <c r="B1182" s="3">
        <v>42278</v>
      </c>
      <c r="C1182" s="3">
        <v>42285</v>
      </c>
      <c r="D1182" s="2" t="s">
        <v>55</v>
      </c>
      <c r="E1182" s="2" t="s">
        <v>920</v>
      </c>
      <c r="F1182" s="2" t="s">
        <v>921</v>
      </c>
      <c r="G1182" s="2" t="s">
        <v>38</v>
      </c>
      <c r="H1182" s="2" t="s">
        <v>25</v>
      </c>
      <c r="I1182" s="2" t="s">
        <v>80</v>
      </c>
      <c r="J1182" s="2" t="s">
        <v>81</v>
      </c>
      <c r="K1182" s="2" t="s">
        <v>82</v>
      </c>
      <c r="L1182" s="2" t="s">
        <v>311</v>
      </c>
      <c r="M1182" s="2" t="s">
        <v>30</v>
      </c>
      <c r="N1182" s="2" t="s">
        <v>63</v>
      </c>
      <c r="O1182" s="2" t="s">
        <v>312</v>
      </c>
      <c r="P1182" s="4">
        <v>298.68169999999998</v>
      </c>
      <c r="Q1182" s="4">
        <v>2</v>
      </c>
      <c r="R1182" s="4">
        <v>-108.7072</v>
      </c>
      <c r="S1182" s="2" t="s">
        <v>107</v>
      </c>
      <c r="T1182" s="2" t="s">
        <v>224</v>
      </c>
    </row>
    <row r="1183" spans="1:20" x14ac:dyDescent="0.25">
      <c r="A1183" s="2" t="s">
        <v>2322</v>
      </c>
      <c r="B1183" s="3">
        <v>42785</v>
      </c>
      <c r="C1183" s="3">
        <v>42786</v>
      </c>
      <c r="D1183" s="2" t="s">
        <v>48</v>
      </c>
      <c r="E1183" s="2" t="s">
        <v>1589</v>
      </c>
      <c r="F1183" s="2" t="s">
        <v>1590</v>
      </c>
      <c r="G1183" s="2" t="s">
        <v>38</v>
      </c>
      <c r="H1183" s="2" t="s">
        <v>25</v>
      </c>
      <c r="I1183" s="2" t="s">
        <v>487</v>
      </c>
      <c r="J1183" s="2" t="s">
        <v>470</v>
      </c>
      <c r="K1183" s="2" t="s">
        <v>28</v>
      </c>
      <c r="L1183" s="2" t="s">
        <v>344</v>
      </c>
      <c r="M1183" s="2" t="s">
        <v>30</v>
      </c>
      <c r="N1183" s="2" t="s">
        <v>42</v>
      </c>
      <c r="O1183" s="2" t="s">
        <v>345</v>
      </c>
      <c r="P1183" s="4">
        <v>95.9739</v>
      </c>
      <c r="Q1183" s="4">
        <v>4</v>
      </c>
      <c r="R1183" s="4">
        <v>20.656600000000001</v>
      </c>
      <c r="S1183" s="2" t="s">
        <v>33</v>
      </c>
      <c r="T1183" s="2" t="s">
        <v>101</v>
      </c>
    </row>
    <row r="1184" spans="1:20" x14ac:dyDescent="0.25">
      <c r="A1184" s="2" t="s">
        <v>2323</v>
      </c>
      <c r="B1184" s="3">
        <v>42465</v>
      </c>
      <c r="C1184" s="3">
        <v>42468</v>
      </c>
      <c r="D1184" s="2" t="s">
        <v>55</v>
      </c>
      <c r="E1184" s="2" t="s">
        <v>1075</v>
      </c>
      <c r="F1184" s="2" t="s">
        <v>1076</v>
      </c>
      <c r="G1184" s="2" t="s">
        <v>38</v>
      </c>
      <c r="H1184" s="2" t="s">
        <v>25</v>
      </c>
      <c r="I1184" s="2" t="s">
        <v>1697</v>
      </c>
      <c r="J1184" s="2" t="s">
        <v>52</v>
      </c>
      <c r="K1184" s="2" t="s">
        <v>28</v>
      </c>
      <c r="L1184" s="2" t="s">
        <v>73</v>
      </c>
      <c r="M1184" s="2" t="s">
        <v>30</v>
      </c>
      <c r="N1184" s="2" t="s">
        <v>42</v>
      </c>
      <c r="O1184" s="2" t="s">
        <v>74</v>
      </c>
      <c r="P1184" s="4">
        <v>288.03570000000002</v>
      </c>
      <c r="Q1184" s="4">
        <v>4</v>
      </c>
      <c r="R1184" s="4">
        <v>-34.434399999999997</v>
      </c>
      <c r="S1184" s="2" t="s">
        <v>92</v>
      </c>
      <c r="T1184" s="2" t="s">
        <v>108</v>
      </c>
    </row>
    <row r="1185" spans="1:20" x14ac:dyDescent="0.25">
      <c r="A1185" s="2" t="s">
        <v>2324</v>
      </c>
      <c r="B1185" s="3">
        <v>41899</v>
      </c>
      <c r="C1185" s="3">
        <v>41899</v>
      </c>
      <c r="D1185" s="2" t="s">
        <v>55</v>
      </c>
      <c r="E1185" s="2" t="s">
        <v>1104</v>
      </c>
      <c r="F1185" s="2" t="s">
        <v>1105</v>
      </c>
      <c r="G1185" s="2" t="s">
        <v>38</v>
      </c>
      <c r="H1185" s="2" t="s">
        <v>25</v>
      </c>
      <c r="I1185" s="2" t="s">
        <v>71</v>
      </c>
      <c r="J1185" s="2" t="s">
        <v>72</v>
      </c>
      <c r="K1185" s="2" t="s">
        <v>61</v>
      </c>
      <c r="L1185" s="2" t="s">
        <v>252</v>
      </c>
      <c r="M1185" s="2" t="s">
        <v>30</v>
      </c>
      <c r="N1185" s="2" t="s">
        <v>31</v>
      </c>
      <c r="O1185" s="2" t="s">
        <v>253</v>
      </c>
      <c r="P1185" s="4">
        <v>107.70869999999999</v>
      </c>
      <c r="Q1185" s="4">
        <v>3</v>
      </c>
      <c r="R1185" s="4">
        <v>-14.6889</v>
      </c>
      <c r="S1185" s="2" t="s">
        <v>121</v>
      </c>
      <c r="T1185" s="2" t="s">
        <v>148</v>
      </c>
    </row>
    <row r="1186" spans="1:20" x14ac:dyDescent="0.25">
      <c r="A1186" s="2" t="s">
        <v>2325</v>
      </c>
      <c r="B1186" s="3">
        <v>42899</v>
      </c>
      <c r="C1186" s="3">
        <v>42899</v>
      </c>
      <c r="D1186" s="2" t="s">
        <v>48</v>
      </c>
      <c r="E1186" s="2" t="s">
        <v>2326</v>
      </c>
      <c r="F1186" s="2" t="s">
        <v>2327</v>
      </c>
      <c r="G1186" s="2" t="s">
        <v>58</v>
      </c>
      <c r="H1186" s="2" t="s">
        <v>25</v>
      </c>
      <c r="I1186" s="2" t="s">
        <v>462</v>
      </c>
      <c r="J1186" s="2" t="s">
        <v>351</v>
      </c>
      <c r="K1186" s="2" t="s">
        <v>147</v>
      </c>
      <c r="L1186" s="2" t="s">
        <v>45</v>
      </c>
      <c r="M1186" s="2" t="s">
        <v>30</v>
      </c>
      <c r="N1186" s="2" t="s">
        <v>31</v>
      </c>
      <c r="O1186" s="2" t="s">
        <v>46</v>
      </c>
      <c r="P1186" s="4">
        <v>27.151</v>
      </c>
      <c r="Q1186" s="4">
        <v>2</v>
      </c>
      <c r="R1186" s="4">
        <v>1.6032999999999999</v>
      </c>
      <c r="S1186" s="2" t="s">
        <v>121</v>
      </c>
      <c r="T1186" s="2" t="s">
        <v>133</v>
      </c>
    </row>
    <row r="1187" spans="1:20" x14ac:dyDescent="0.25">
      <c r="A1187" s="2" t="s">
        <v>2328</v>
      </c>
      <c r="B1187" s="3">
        <v>43001</v>
      </c>
      <c r="C1187" s="3">
        <v>43007</v>
      </c>
      <c r="D1187" s="2" t="s">
        <v>55</v>
      </c>
      <c r="E1187" s="2" t="s">
        <v>711</v>
      </c>
      <c r="F1187" s="2" t="s">
        <v>712</v>
      </c>
      <c r="G1187" s="2" t="s">
        <v>58</v>
      </c>
      <c r="H1187" s="2" t="s">
        <v>25</v>
      </c>
      <c r="I1187" s="2" t="s">
        <v>250</v>
      </c>
      <c r="J1187" s="2" t="s">
        <v>251</v>
      </c>
      <c r="K1187" s="2" t="s">
        <v>147</v>
      </c>
      <c r="L1187" s="2" t="s">
        <v>453</v>
      </c>
      <c r="M1187" s="2" t="s">
        <v>30</v>
      </c>
      <c r="N1187" s="2" t="s">
        <v>42</v>
      </c>
      <c r="O1187" s="2" t="s">
        <v>454</v>
      </c>
      <c r="P1187" s="4">
        <v>318.07749999999999</v>
      </c>
      <c r="Q1187" s="4">
        <v>2</v>
      </c>
      <c r="R1187" s="4">
        <v>-72.445700000000002</v>
      </c>
      <c r="S1187" s="2" t="s">
        <v>65</v>
      </c>
      <c r="T1187" s="2" t="s">
        <v>148</v>
      </c>
    </row>
    <row r="1188" spans="1:20" x14ac:dyDescent="0.25">
      <c r="A1188" s="2" t="s">
        <v>2329</v>
      </c>
      <c r="B1188" s="3">
        <v>42289</v>
      </c>
      <c r="C1188" s="3">
        <v>42292</v>
      </c>
      <c r="D1188" s="2" t="s">
        <v>21</v>
      </c>
      <c r="E1188" s="2" t="s">
        <v>2330</v>
      </c>
      <c r="F1188" s="2" t="s">
        <v>2331</v>
      </c>
      <c r="G1188" s="2" t="s">
        <v>24</v>
      </c>
      <c r="H1188" s="2" t="s">
        <v>25</v>
      </c>
      <c r="I1188" s="2" t="s">
        <v>364</v>
      </c>
      <c r="J1188" s="2" t="s">
        <v>279</v>
      </c>
      <c r="K1188" s="2" t="s">
        <v>28</v>
      </c>
      <c r="L1188" s="2" t="s">
        <v>169</v>
      </c>
      <c r="M1188" s="2" t="s">
        <v>30</v>
      </c>
      <c r="N1188" s="2" t="s">
        <v>162</v>
      </c>
      <c r="O1188" s="2" t="s">
        <v>170</v>
      </c>
      <c r="P1188" s="4">
        <v>726.36860000000001</v>
      </c>
      <c r="Q1188" s="4">
        <v>6</v>
      </c>
      <c r="R1188" s="4">
        <v>-373.94330000000002</v>
      </c>
      <c r="S1188" s="2" t="s">
        <v>92</v>
      </c>
      <c r="T1188" s="2" t="s">
        <v>224</v>
      </c>
    </row>
    <row r="1189" spans="1:20" x14ac:dyDescent="0.25">
      <c r="A1189" s="2" t="s">
        <v>2332</v>
      </c>
      <c r="B1189" s="3">
        <v>43043</v>
      </c>
      <c r="C1189" s="3">
        <v>43044</v>
      </c>
      <c r="D1189" s="2" t="s">
        <v>48</v>
      </c>
      <c r="E1189" s="2" t="s">
        <v>2292</v>
      </c>
      <c r="F1189" s="2" t="s">
        <v>2293</v>
      </c>
      <c r="G1189" s="2" t="s">
        <v>24</v>
      </c>
      <c r="H1189" s="2" t="s">
        <v>25</v>
      </c>
      <c r="I1189" s="2" t="s">
        <v>434</v>
      </c>
      <c r="J1189" s="2" t="s">
        <v>435</v>
      </c>
      <c r="K1189" s="2" t="s">
        <v>61</v>
      </c>
      <c r="L1189" s="2" t="s">
        <v>193</v>
      </c>
      <c r="M1189" s="2" t="s">
        <v>30</v>
      </c>
      <c r="N1189" s="2" t="s">
        <v>42</v>
      </c>
      <c r="O1189" s="2" t="s">
        <v>194</v>
      </c>
      <c r="P1189" s="4">
        <v>1012.2369</v>
      </c>
      <c r="Q1189" s="4">
        <v>6</v>
      </c>
      <c r="R1189" s="4">
        <v>347.81139999999999</v>
      </c>
      <c r="S1189" s="2" t="s">
        <v>33</v>
      </c>
      <c r="T1189" s="2" t="s">
        <v>93</v>
      </c>
    </row>
    <row r="1190" spans="1:20" x14ac:dyDescent="0.25">
      <c r="A1190" s="2" t="s">
        <v>2333</v>
      </c>
      <c r="B1190" s="3">
        <v>42077</v>
      </c>
      <c r="C1190" s="3">
        <v>42080</v>
      </c>
      <c r="D1190" s="2" t="s">
        <v>55</v>
      </c>
      <c r="E1190" s="2" t="s">
        <v>1742</v>
      </c>
      <c r="F1190" s="2" t="s">
        <v>1743</v>
      </c>
      <c r="G1190" s="2" t="s">
        <v>58</v>
      </c>
      <c r="H1190" s="2" t="s">
        <v>25</v>
      </c>
      <c r="I1190" s="2" t="s">
        <v>398</v>
      </c>
      <c r="J1190" s="2" t="s">
        <v>251</v>
      </c>
      <c r="K1190" s="2" t="s">
        <v>147</v>
      </c>
      <c r="L1190" s="2" t="s">
        <v>73</v>
      </c>
      <c r="M1190" s="2" t="s">
        <v>30</v>
      </c>
      <c r="N1190" s="2" t="s">
        <v>42</v>
      </c>
      <c r="O1190" s="2" t="s">
        <v>74</v>
      </c>
      <c r="P1190" s="4">
        <v>336.88200000000001</v>
      </c>
      <c r="Q1190" s="4">
        <v>6</v>
      </c>
      <c r="R1190" s="4">
        <v>50.445399999999999</v>
      </c>
      <c r="S1190" s="2" t="s">
        <v>92</v>
      </c>
      <c r="T1190" s="2" t="s">
        <v>44</v>
      </c>
    </row>
    <row r="1191" spans="1:20" x14ac:dyDescent="0.25">
      <c r="A1191" s="2" t="s">
        <v>2334</v>
      </c>
      <c r="B1191" s="3">
        <v>42395</v>
      </c>
      <c r="C1191" s="3">
        <v>42402</v>
      </c>
      <c r="D1191" s="2" t="s">
        <v>55</v>
      </c>
      <c r="E1191" s="2" t="s">
        <v>1999</v>
      </c>
      <c r="F1191" s="2" t="s">
        <v>2000</v>
      </c>
      <c r="G1191" s="2" t="s">
        <v>24</v>
      </c>
      <c r="H1191" s="2" t="s">
        <v>25</v>
      </c>
      <c r="I1191" s="2" t="s">
        <v>1098</v>
      </c>
      <c r="J1191" s="2" t="s">
        <v>595</v>
      </c>
      <c r="K1191" s="2" t="s">
        <v>61</v>
      </c>
      <c r="L1191" s="2" t="s">
        <v>218</v>
      </c>
      <c r="M1191" s="2" t="s">
        <v>30</v>
      </c>
      <c r="N1191" s="2" t="s">
        <v>31</v>
      </c>
      <c r="O1191" s="2" t="s">
        <v>219</v>
      </c>
      <c r="P1191" s="4">
        <v>90.578000000000003</v>
      </c>
      <c r="Q1191" s="4">
        <v>2</v>
      </c>
      <c r="R1191" s="4">
        <v>-16.781300000000002</v>
      </c>
      <c r="S1191" s="2" t="s">
        <v>107</v>
      </c>
      <c r="T1191" s="2" t="s">
        <v>115</v>
      </c>
    </row>
    <row r="1192" spans="1:20" x14ac:dyDescent="0.25">
      <c r="A1192" s="2" t="s">
        <v>2335</v>
      </c>
      <c r="B1192" s="3">
        <v>42158</v>
      </c>
      <c r="C1192" s="3">
        <v>42158</v>
      </c>
      <c r="D1192" s="2" t="s">
        <v>142</v>
      </c>
      <c r="E1192" s="2" t="s">
        <v>1071</v>
      </c>
      <c r="F1192" s="2" t="s">
        <v>1072</v>
      </c>
      <c r="G1192" s="2" t="s">
        <v>58</v>
      </c>
      <c r="H1192" s="2" t="s">
        <v>25</v>
      </c>
      <c r="I1192" s="2" t="s">
        <v>779</v>
      </c>
      <c r="J1192" s="2" t="s">
        <v>356</v>
      </c>
      <c r="K1192" s="2" t="s">
        <v>147</v>
      </c>
      <c r="L1192" s="2" t="s">
        <v>200</v>
      </c>
      <c r="M1192" s="2" t="s">
        <v>30</v>
      </c>
      <c r="N1192" s="2" t="s">
        <v>162</v>
      </c>
      <c r="O1192" s="2" t="s">
        <v>201</v>
      </c>
      <c r="P1192" s="4">
        <v>889.39449999999999</v>
      </c>
      <c r="Q1192" s="4">
        <v>3</v>
      </c>
      <c r="R1192" s="4">
        <v>-34.6999</v>
      </c>
      <c r="S1192" s="2" t="s">
        <v>121</v>
      </c>
      <c r="T1192" s="2" t="s">
        <v>133</v>
      </c>
    </row>
    <row r="1193" spans="1:20" x14ac:dyDescent="0.25">
      <c r="A1193" s="2" t="s">
        <v>2336</v>
      </c>
      <c r="B1193" s="3">
        <v>42966</v>
      </c>
      <c r="C1193" s="3">
        <v>42966</v>
      </c>
      <c r="D1193" s="2" t="s">
        <v>48</v>
      </c>
      <c r="E1193" s="2" t="s">
        <v>942</v>
      </c>
      <c r="F1193" s="2" t="s">
        <v>943</v>
      </c>
      <c r="G1193" s="2" t="s">
        <v>58</v>
      </c>
      <c r="H1193" s="2" t="s">
        <v>25</v>
      </c>
      <c r="I1193" s="2" t="s">
        <v>474</v>
      </c>
      <c r="J1193" s="2" t="s">
        <v>475</v>
      </c>
      <c r="K1193" s="2" t="s">
        <v>28</v>
      </c>
      <c r="L1193" s="2" t="s">
        <v>252</v>
      </c>
      <c r="M1193" s="2" t="s">
        <v>30</v>
      </c>
      <c r="N1193" s="2" t="s">
        <v>31</v>
      </c>
      <c r="O1193" s="2" t="s">
        <v>253</v>
      </c>
      <c r="P1193" s="4">
        <v>40.927999999999997</v>
      </c>
      <c r="Q1193" s="4">
        <v>5</v>
      </c>
      <c r="R1193" s="4">
        <v>-15.335800000000001</v>
      </c>
      <c r="S1193" s="2" t="s">
        <v>121</v>
      </c>
      <c r="T1193" s="2" t="s">
        <v>34</v>
      </c>
    </row>
    <row r="1194" spans="1:20" x14ac:dyDescent="0.25">
      <c r="A1194" s="2" t="s">
        <v>2337</v>
      </c>
      <c r="B1194" s="3">
        <v>41754</v>
      </c>
      <c r="C1194" s="3">
        <v>41754</v>
      </c>
      <c r="D1194" s="2" t="s">
        <v>142</v>
      </c>
      <c r="E1194" s="2" t="s">
        <v>2338</v>
      </c>
      <c r="F1194" s="2" t="s">
        <v>2339</v>
      </c>
      <c r="G1194" s="2" t="s">
        <v>38</v>
      </c>
      <c r="H1194" s="2" t="s">
        <v>25</v>
      </c>
      <c r="I1194" s="2" t="s">
        <v>59</v>
      </c>
      <c r="J1194" s="2" t="s">
        <v>60</v>
      </c>
      <c r="K1194" s="2" t="s">
        <v>61</v>
      </c>
      <c r="L1194" s="2" t="s">
        <v>174</v>
      </c>
      <c r="M1194" s="2" t="s">
        <v>30</v>
      </c>
      <c r="N1194" s="2" t="s">
        <v>31</v>
      </c>
      <c r="O1194" s="2" t="s">
        <v>175</v>
      </c>
      <c r="P1194" s="4">
        <v>6.1684000000000001</v>
      </c>
      <c r="Q1194" s="4">
        <v>6</v>
      </c>
      <c r="R1194" s="4">
        <v>-0.55530000000000002</v>
      </c>
      <c r="S1194" s="2" t="s">
        <v>121</v>
      </c>
      <c r="T1194" s="2" t="s">
        <v>108</v>
      </c>
    </row>
    <row r="1195" spans="1:20" x14ac:dyDescent="0.25">
      <c r="A1195" s="2" t="s">
        <v>2340</v>
      </c>
      <c r="B1195" s="3">
        <v>42321</v>
      </c>
      <c r="C1195" s="3">
        <v>42321</v>
      </c>
      <c r="D1195" s="2" t="s">
        <v>142</v>
      </c>
      <c r="E1195" s="2" t="s">
        <v>2283</v>
      </c>
      <c r="F1195" s="2" t="s">
        <v>2284</v>
      </c>
      <c r="G1195" s="2" t="s">
        <v>24</v>
      </c>
      <c r="H1195" s="2" t="s">
        <v>25</v>
      </c>
      <c r="I1195" s="2" t="s">
        <v>90</v>
      </c>
      <c r="J1195" s="2" t="s">
        <v>91</v>
      </c>
      <c r="K1195" s="2" t="s">
        <v>61</v>
      </c>
      <c r="L1195" s="2" t="s">
        <v>235</v>
      </c>
      <c r="M1195" s="2" t="s">
        <v>30</v>
      </c>
      <c r="N1195" s="2" t="s">
        <v>31</v>
      </c>
      <c r="O1195" s="2" t="s">
        <v>236</v>
      </c>
      <c r="P1195" s="4">
        <v>78.416499999999999</v>
      </c>
      <c r="Q1195" s="4">
        <v>4</v>
      </c>
      <c r="R1195" s="4">
        <v>8.1365999999999996</v>
      </c>
      <c r="S1195" s="2" t="s">
        <v>121</v>
      </c>
      <c r="T1195" s="2" t="s">
        <v>93</v>
      </c>
    </row>
    <row r="1196" spans="1:20" x14ac:dyDescent="0.25">
      <c r="A1196" s="2" t="s">
        <v>2341</v>
      </c>
      <c r="B1196" s="3">
        <v>41765</v>
      </c>
      <c r="C1196" s="3">
        <v>41772</v>
      </c>
      <c r="D1196" s="2" t="s">
        <v>55</v>
      </c>
      <c r="E1196" s="2" t="s">
        <v>951</v>
      </c>
      <c r="F1196" s="2" t="s">
        <v>952</v>
      </c>
      <c r="G1196" s="2" t="s">
        <v>24</v>
      </c>
      <c r="H1196" s="2" t="s">
        <v>25</v>
      </c>
      <c r="I1196" s="2" t="s">
        <v>977</v>
      </c>
      <c r="J1196" s="2" t="s">
        <v>475</v>
      </c>
      <c r="K1196" s="2" t="s">
        <v>28</v>
      </c>
      <c r="L1196" s="2" t="s">
        <v>218</v>
      </c>
      <c r="M1196" s="2" t="s">
        <v>30</v>
      </c>
      <c r="N1196" s="2" t="s">
        <v>31</v>
      </c>
      <c r="O1196" s="2" t="s">
        <v>219</v>
      </c>
      <c r="P1196" s="4">
        <v>40.084400000000002</v>
      </c>
      <c r="Q1196" s="4">
        <v>4</v>
      </c>
      <c r="R1196" s="4">
        <v>14.359500000000001</v>
      </c>
      <c r="S1196" s="2" t="s">
        <v>107</v>
      </c>
      <c r="T1196" s="2" t="s">
        <v>122</v>
      </c>
    </row>
    <row r="1197" spans="1:20" x14ac:dyDescent="0.25">
      <c r="A1197" s="2" t="s">
        <v>2342</v>
      </c>
      <c r="B1197" s="3">
        <v>42675</v>
      </c>
      <c r="C1197" s="3">
        <v>42676</v>
      </c>
      <c r="D1197" s="2" t="s">
        <v>55</v>
      </c>
      <c r="E1197" s="2" t="s">
        <v>1873</v>
      </c>
      <c r="F1197" s="2" t="s">
        <v>1874</v>
      </c>
      <c r="G1197" s="2" t="s">
        <v>38</v>
      </c>
      <c r="H1197" s="2" t="s">
        <v>25</v>
      </c>
      <c r="I1197" s="2" t="s">
        <v>259</v>
      </c>
      <c r="J1197" s="2" t="s">
        <v>260</v>
      </c>
      <c r="K1197" s="2" t="s">
        <v>147</v>
      </c>
      <c r="L1197" s="2" t="s">
        <v>218</v>
      </c>
      <c r="M1197" s="2" t="s">
        <v>30</v>
      </c>
      <c r="N1197" s="2" t="s">
        <v>31</v>
      </c>
      <c r="O1197" s="2" t="s">
        <v>219</v>
      </c>
      <c r="P1197" s="4">
        <v>136.5668</v>
      </c>
      <c r="Q1197" s="4">
        <v>2</v>
      </c>
      <c r="R1197" s="4">
        <v>78.793000000000006</v>
      </c>
      <c r="S1197" s="2" t="s">
        <v>33</v>
      </c>
      <c r="T1197" s="2" t="s">
        <v>93</v>
      </c>
    </row>
    <row r="1198" spans="1:20" x14ac:dyDescent="0.25">
      <c r="A1198" s="2" t="s">
        <v>2343</v>
      </c>
      <c r="B1198" s="3">
        <v>41816</v>
      </c>
      <c r="C1198" s="3">
        <v>41816</v>
      </c>
      <c r="D1198" s="2" t="s">
        <v>55</v>
      </c>
      <c r="E1198" s="2" t="s">
        <v>396</v>
      </c>
      <c r="F1198" s="2" t="s">
        <v>397</v>
      </c>
      <c r="G1198" s="2" t="s">
        <v>58</v>
      </c>
      <c r="H1198" s="2" t="s">
        <v>25</v>
      </c>
      <c r="I1198" s="2" t="s">
        <v>152</v>
      </c>
      <c r="J1198" s="2" t="s">
        <v>153</v>
      </c>
      <c r="K1198" s="2" t="s">
        <v>147</v>
      </c>
      <c r="L1198" s="2" t="s">
        <v>207</v>
      </c>
      <c r="M1198" s="2" t="s">
        <v>30</v>
      </c>
      <c r="N1198" s="2" t="s">
        <v>31</v>
      </c>
      <c r="O1198" s="2" t="s">
        <v>208</v>
      </c>
      <c r="P1198" s="4">
        <v>10.796799999999999</v>
      </c>
      <c r="Q1198" s="4">
        <v>4</v>
      </c>
      <c r="R1198" s="4">
        <v>0.54549999999999998</v>
      </c>
      <c r="S1198" s="2" t="s">
        <v>121</v>
      </c>
      <c r="T1198" s="2" t="s">
        <v>133</v>
      </c>
    </row>
    <row r="1199" spans="1:20" x14ac:dyDescent="0.25">
      <c r="A1199" s="2" t="s">
        <v>2344</v>
      </c>
      <c r="B1199" s="3">
        <v>42946</v>
      </c>
      <c r="C1199" s="3">
        <v>42947</v>
      </c>
      <c r="D1199" s="2" t="s">
        <v>21</v>
      </c>
      <c r="E1199" s="2" t="s">
        <v>1673</v>
      </c>
      <c r="F1199" s="2" t="s">
        <v>1674</v>
      </c>
      <c r="G1199" s="2" t="s">
        <v>58</v>
      </c>
      <c r="H1199" s="2" t="s">
        <v>25</v>
      </c>
      <c r="I1199" s="2" t="s">
        <v>576</v>
      </c>
      <c r="J1199" s="2" t="s">
        <v>470</v>
      </c>
      <c r="K1199" s="2" t="s">
        <v>28</v>
      </c>
      <c r="L1199" s="2" t="s">
        <v>131</v>
      </c>
      <c r="M1199" s="2" t="s">
        <v>30</v>
      </c>
      <c r="N1199" s="2" t="s">
        <v>31</v>
      </c>
      <c r="O1199" s="2" t="s">
        <v>132</v>
      </c>
      <c r="P1199" s="4">
        <v>15.992599999999999</v>
      </c>
      <c r="Q1199" s="4">
        <v>8</v>
      </c>
      <c r="R1199" s="4">
        <v>1.0989</v>
      </c>
      <c r="S1199" s="2" t="s">
        <v>33</v>
      </c>
      <c r="T1199" s="2" t="s">
        <v>86</v>
      </c>
    </row>
    <row r="1200" spans="1:20" x14ac:dyDescent="0.25">
      <c r="A1200" s="2" t="s">
        <v>2345</v>
      </c>
      <c r="B1200" s="3">
        <v>41749</v>
      </c>
      <c r="C1200" s="3">
        <v>41752</v>
      </c>
      <c r="D1200" s="2" t="s">
        <v>55</v>
      </c>
      <c r="E1200" s="2" t="s">
        <v>2272</v>
      </c>
      <c r="F1200" s="2" t="s">
        <v>2273</v>
      </c>
      <c r="G1200" s="2" t="s">
        <v>58</v>
      </c>
      <c r="H1200" s="2" t="s">
        <v>25</v>
      </c>
      <c r="I1200" s="2" t="s">
        <v>1069</v>
      </c>
      <c r="J1200" s="2" t="s">
        <v>40</v>
      </c>
      <c r="K1200" s="2" t="s">
        <v>28</v>
      </c>
      <c r="L1200" s="2" t="s">
        <v>83</v>
      </c>
      <c r="M1200" s="2" t="s">
        <v>30</v>
      </c>
      <c r="N1200" s="2" t="s">
        <v>42</v>
      </c>
      <c r="O1200" s="2" t="s">
        <v>84</v>
      </c>
      <c r="P1200" s="4">
        <v>536.01229999999998</v>
      </c>
      <c r="Q1200" s="4">
        <v>2</v>
      </c>
      <c r="R1200" s="4">
        <v>-78.642899999999997</v>
      </c>
      <c r="S1200" s="2" t="s">
        <v>92</v>
      </c>
      <c r="T1200" s="2" t="s">
        <v>108</v>
      </c>
    </row>
    <row r="1201" spans="1:20" x14ac:dyDescent="0.25">
      <c r="A1201" s="2" t="s">
        <v>2346</v>
      </c>
      <c r="B1201" s="3">
        <v>42171</v>
      </c>
      <c r="C1201" s="3">
        <v>42178</v>
      </c>
      <c r="D1201" s="2" t="s">
        <v>55</v>
      </c>
      <c r="E1201" s="2" t="s">
        <v>939</v>
      </c>
      <c r="F1201" s="2" t="s">
        <v>940</v>
      </c>
      <c r="G1201" s="2" t="s">
        <v>58</v>
      </c>
      <c r="H1201" s="2" t="s">
        <v>25</v>
      </c>
      <c r="I1201" s="2" t="s">
        <v>270</v>
      </c>
      <c r="J1201" s="2" t="s">
        <v>72</v>
      </c>
      <c r="K1201" s="2" t="s">
        <v>61</v>
      </c>
      <c r="L1201" s="2" t="s">
        <v>323</v>
      </c>
      <c r="M1201" s="2" t="s">
        <v>30</v>
      </c>
      <c r="N1201" s="2" t="s">
        <v>31</v>
      </c>
      <c r="O1201" s="2" t="s">
        <v>324</v>
      </c>
      <c r="P1201" s="4">
        <v>258.84609999999998</v>
      </c>
      <c r="Q1201" s="4">
        <v>3</v>
      </c>
      <c r="R1201" s="4">
        <v>-2.5834999999999999</v>
      </c>
      <c r="S1201" s="2" t="s">
        <v>107</v>
      </c>
      <c r="T1201" s="2" t="s">
        <v>133</v>
      </c>
    </row>
    <row r="1202" spans="1:20" x14ac:dyDescent="0.25">
      <c r="A1202" s="2" t="s">
        <v>2346</v>
      </c>
      <c r="B1202" s="3">
        <v>42171</v>
      </c>
      <c r="C1202" s="3">
        <v>42178</v>
      </c>
      <c r="D1202" s="2" t="s">
        <v>55</v>
      </c>
      <c r="E1202" s="2" t="s">
        <v>939</v>
      </c>
      <c r="F1202" s="2" t="s">
        <v>940</v>
      </c>
      <c r="G1202" s="2" t="s">
        <v>58</v>
      </c>
      <c r="H1202" s="2" t="s">
        <v>25</v>
      </c>
      <c r="I1202" s="2" t="s">
        <v>270</v>
      </c>
      <c r="J1202" s="2" t="s">
        <v>72</v>
      </c>
      <c r="K1202" s="2" t="s">
        <v>61</v>
      </c>
      <c r="L1202" s="2" t="s">
        <v>899</v>
      </c>
      <c r="M1202" s="2" t="s">
        <v>30</v>
      </c>
      <c r="N1202" s="2" t="s">
        <v>63</v>
      </c>
      <c r="O1202" s="2" t="s">
        <v>900</v>
      </c>
      <c r="P1202" s="4">
        <v>135.88030000000001</v>
      </c>
      <c r="Q1202" s="4">
        <v>3</v>
      </c>
      <c r="R1202" s="4">
        <v>-25.7636</v>
      </c>
      <c r="S1202" s="2" t="s">
        <v>107</v>
      </c>
      <c r="T1202" s="2" t="s">
        <v>133</v>
      </c>
    </row>
    <row r="1203" spans="1:20" x14ac:dyDescent="0.25">
      <c r="A1203" s="2" t="s">
        <v>2347</v>
      </c>
      <c r="B1203" s="3">
        <v>42429</v>
      </c>
      <c r="C1203" s="3">
        <v>42433</v>
      </c>
      <c r="D1203" s="2" t="s">
        <v>55</v>
      </c>
      <c r="E1203" s="2" t="s">
        <v>654</v>
      </c>
      <c r="F1203" s="2" t="s">
        <v>655</v>
      </c>
      <c r="G1203" s="2" t="s">
        <v>38</v>
      </c>
      <c r="H1203" s="2" t="s">
        <v>25</v>
      </c>
      <c r="I1203" s="2" t="s">
        <v>223</v>
      </c>
      <c r="J1203" s="2" t="s">
        <v>81</v>
      </c>
      <c r="K1203" s="2" t="s">
        <v>82</v>
      </c>
      <c r="L1203" s="2" t="s">
        <v>131</v>
      </c>
      <c r="M1203" s="2" t="s">
        <v>30</v>
      </c>
      <c r="N1203" s="2" t="s">
        <v>31</v>
      </c>
      <c r="O1203" s="2" t="s">
        <v>132</v>
      </c>
      <c r="P1203" s="4">
        <v>22.788599999999999</v>
      </c>
      <c r="Q1203" s="4">
        <v>3</v>
      </c>
      <c r="R1203" s="4">
        <v>3.4279000000000002</v>
      </c>
      <c r="S1203" s="2" t="s">
        <v>75</v>
      </c>
      <c r="T1203" s="2" t="s">
        <v>101</v>
      </c>
    </row>
    <row r="1204" spans="1:20" x14ac:dyDescent="0.25">
      <c r="A1204" s="2" t="s">
        <v>2348</v>
      </c>
      <c r="B1204" s="3">
        <v>42086</v>
      </c>
      <c r="C1204" s="3">
        <v>42093</v>
      </c>
      <c r="D1204" s="2" t="s">
        <v>55</v>
      </c>
      <c r="E1204" s="2" t="s">
        <v>607</v>
      </c>
      <c r="F1204" s="2" t="s">
        <v>608</v>
      </c>
      <c r="G1204" s="2" t="s">
        <v>58</v>
      </c>
      <c r="H1204" s="2" t="s">
        <v>25</v>
      </c>
      <c r="I1204" s="2" t="s">
        <v>402</v>
      </c>
      <c r="J1204" s="2" t="s">
        <v>403</v>
      </c>
      <c r="K1204" s="2" t="s">
        <v>147</v>
      </c>
      <c r="L1204" s="2" t="s">
        <v>193</v>
      </c>
      <c r="M1204" s="2" t="s">
        <v>30</v>
      </c>
      <c r="N1204" s="2" t="s">
        <v>42</v>
      </c>
      <c r="O1204" s="2" t="s">
        <v>194</v>
      </c>
      <c r="P1204" s="4">
        <v>404.56040000000002</v>
      </c>
      <c r="Q1204" s="4">
        <v>1</v>
      </c>
      <c r="R1204" s="4">
        <v>0.1741</v>
      </c>
      <c r="S1204" s="2" t="s">
        <v>107</v>
      </c>
      <c r="T1204" s="2" t="s">
        <v>44</v>
      </c>
    </row>
    <row r="1205" spans="1:20" x14ac:dyDescent="0.25">
      <c r="A1205" s="2" t="s">
        <v>2349</v>
      </c>
      <c r="B1205" s="3">
        <v>42988</v>
      </c>
      <c r="C1205" s="3">
        <v>42993</v>
      </c>
      <c r="D1205" s="2" t="s">
        <v>55</v>
      </c>
      <c r="E1205" s="2" t="s">
        <v>1773</v>
      </c>
      <c r="F1205" s="2" t="s">
        <v>1774</v>
      </c>
      <c r="G1205" s="2" t="s">
        <v>38</v>
      </c>
      <c r="H1205" s="2" t="s">
        <v>25</v>
      </c>
      <c r="I1205" s="2" t="s">
        <v>594</v>
      </c>
      <c r="J1205" s="2" t="s">
        <v>595</v>
      </c>
      <c r="K1205" s="2" t="s">
        <v>61</v>
      </c>
      <c r="L1205" s="2" t="s">
        <v>323</v>
      </c>
      <c r="M1205" s="2" t="s">
        <v>30</v>
      </c>
      <c r="N1205" s="2" t="s">
        <v>31</v>
      </c>
      <c r="O1205" s="2" t="s">
        <v>324</v>
      </c>
      <c r="P1205" s="4">
        <v>27.888500000000001</v>
      </c>
      <c r="Q1205" s="4">
        <v>5</v>
      </c>
      <c r="R1205" s="4">
        <v>10.0303</v>
      </c>
      <c r="S1205" s="2" t="s">
        <v>85</v>
      </c>
      <c r="T1205" s="2" t="s">
        <v>148</v>
      </c>
    </row>
    <row r="1206" spans="1:20" x14ac:dyDescent="0.25">
      <c r="A1206" s="2" t="s">
        <v>2350</v>
      </c>
      <c r="B1206" s="3">
        <v>42373</v>
      </c>
      <c r="C1206" s="3">
        <v>42380</v>
      </c>
      <c r="D1206" s="2" t="s">
        <v>55</v>
      </c>
      <c r="E1206" s="2" t="s">
        <v>2351</v>
      </c>
      <c r="F1206" s="2" t="s">
        <v>2352</v>
      </c>
      <c r="G1206" s="2" t="s">
        <v>58</v>
      </c>
      <c r="H1206" s="2" t="s">
        <v>25</v>
      </c>
      <c r="I1206" s="2" t="s">
        <v>617</v>
      </c>
      <c r="J1206" s="2" t="s">
        <v>168</v>
      </c>
      <c r="K1206" s="2" t="s">
        <v>28</v>
      </c>
      <c r="L1206" s="2" t="s">
        <v>218</v>
      </c>
      <c r="M1206" s="2" t="s">
        <v>30</v>
      </c>
      <c r="N1206" s="2" t="s">
        <v>31</v>
      </c>
      <c r="O1206" s="2" t="s">
        <v>219</v>
      </c>
      <c r="P1206" s="4">
        <v>60.597499999999997</v>
      </c>
      <c r="Q1206" s="4">
        <v>6</v>
      </c>
      <c r="R1206" s="4">
        <v>8.3928999999999991</v>
      </c>
      <c r="S1206" s="2" t="s">
        <v>107</v>
      </c>
      <c r="T1206" s="2" t="s">
        <v>115</v>
      </c>
    </row>
    <row r="1207" spans="1:20" x14ac:dyDescent="0.25">
      <c r="A1207" s="2" t="s">
        <v>2353</v>
      </c>
      <c r="B1207" s="3">
        <v>42457</v>
      </c>
      <c r="C1207" s="3">
        <v>42463</v>
      </c>
      <c r="D1207" s="2" t="s">
        <v>55</v>
      </c>
      <c r="E1207" s="2" t="s">
        <v>78</v>
      </c>
      <c r="F1207" s="2" t="s">
        <v>79</v>
      </c>
      <c r="G1207" s="2" t="s">
        <v>58</v>
      </c>
      <c r="H1207" s="2" t="s">
        <v>25</v>
      </c>
      <c r="I1207" s="2" t="s">
        <v>270</v>
      </c>
      <c r="J1207" s="2" t="s">
        <v>72</v>
      </c>
      <c r="K1207" s="2" t="s">
        <v>61</v>
      </c>
      <c r="L1207" s="2" t="s">
        <v>207</v>
      </c>
      <c r="M1207" s="2" t="s">
        <v>30</v>
      </c>
      <c r="N1207" s="2" t="s">
        <v>31</v>
      </c>
      <c r="O1207" s="2" t="s">
        <v>208</v>
      </c>
      <c r="P1207" s="4">
        <v>160.92490000000001</v>
      </c>
      <c r="Q1207" s="4">
        <v>5</v>
      </c>
      <c r="R1207" s="4">
        <v>88.705799999999996</v>
      </c>
      <c r="S1207" s="2" t="s">
        <v>65</v>
      </c>
      <c r="T1207" s="2" t="s">
        <v>44</v>
      </c>
    </row>
    <row r="1208" spans="1:20" x14ac:dyDescent="0.25">
      <c r="A1208" s="2" t="s">
        <v>2354</v>
      </c>
      <c r="B1208" s="3">
        <v>42678</v>
      </c>
      <c r="C1208" s="3">
        <v>42680</v>
      </c>
      <c r="D1208" s="2" t="s">
        <v>55</v>
      </c>
      <c r="E1208" s="2" t="s">
        <v>331</v>
      </c>
      <c r="F1208" s="2" t="s">
        <v>332</v>
      </c>
      <c r="G1208" s="2" t="s">
        <v>58</v>
      </c>
      <c r="H1208" s="2" t="s">
        <v>25</v>
      </c>
      <c r="I1208" s="2" t="s">
        <v>71</v>
      </c>
      <c r="J1208" s="2" t="s">
        <v>72</v>
      </c>
      <c r="K1208" s="2" t="s">
        <v>61</v>
      </c>
      <c r="L1208" s="2" t="s">
        <v>29</v>
      </c>
      <c r="M1208" s="2" t="s">
        <v>30</v>
      </c>
      <c r="N1208" s="2" t="s">
        <v>31</v>
      </c>
      <c r="O1208" s="2" t="s">
        <v>32</v>
      </c>
      <c r="P1208" s="4">
        <v>11.3757</v>
      </c>
      <c r="Q1208" s="4">
        <v>3</v>
      </c>
      <c r="R1208" s="4">
        <v>-0.46910000000000002</v>
      </c>
      <c r="S1208" s="2" t="s">
        <v>53</v>
      </c>
      <c r="T1208" s="2" t="s">
        <v>93</v>
      </c>
    </row>
    <row r="1209" spans="1:20" x14ac:dyDescent="0.25">
      <c r="A1209" s="2" t="s">
        <v>2355</v>
      </c>
      <c r="B1209" s="3">
        <v>43068</v>
      </c>
      <c r="C1209" s="3">
        <v>43068</v>
      </c>
      <c r="D1209" s="2" t="s">
        <v>21</v>
      </c>
      <c r="E1209" s="2" t="s">
        <v>2356</v>
      </c>
      <c r="F1209" s="2" t="s">
        <v>2357</v>
      </c>
      <c r="G1209" s="2" t="s">
        <v>38</v>
      </c>
      <c r="H1209" s="2" t="s">
        <v>25</v>
      </c>
      <c r="I1209" s="2" t="s">
        <v>364</v>
      </c>
      <c r="J1209" s="2" t="s">
        <v>279</v>
      </c>
      <c r="K1209" s="2" t="s">
        <v>28</v>
      </c>
      <c r="L1209" s="2" t="s">
        <v>316</v>
      </c>
      <c r="M1209" s="2" t="s">
        <v>30</v>
      </c>
      <c r="N1209" s="2" t="s">
        <v>42</v>
      </c>
      <c r="O1209" s="2" t="s">
        <v>317</v>
      </c>
      <c r="P1209" s="4">
        <v>367.61619999999999</v>
      </c>
      <c r="Q1209" s="4">
        <v>3</v>
      </c>
      <c r="R1209" s="4">
        <v>166.233</v>
      </c>
      <c r="S1209" s="2" t="s">
        <v>121</v>
      </c>
      <c r="T1209" s="2" t="s">
        <v>93</v>
      </c>
    </row>
    <row r="1210" spans="1:20" x14ac:dyDescent="0.25">
      <c r="A1210" s="2" t="s">
        <v>2355</v>
      </c>
      <c r="B1210" s="3">
        <v>43068</v>
      </c>
      <c r="C1210" s="3">
        <v>43068</v>
      </c>
      <c r="D1210" s="2" t="s">
        <v>21</v>
      </c>
      <c r="E1210" s="2" t="s">
        <v>2356</v>
      </c>
      <c r="F1210" s="2" t="s">
        <v>2357</v>
      </c>
      <c r="G1210" s="2" t="s">
        <v>38</v>
      </c>
      <c r="H1210" s="2" t="s">
        <v>25</v>
      </c>
      <c r="I1210" s="2" t="s">
        <v>364</v>
      </c>
      <c r="J1210" s="2" t="s">
        <v>279</v>
      </c>
      <c r="K1210" s="2" t="s">
        <v>28</v>
      </c>
      <c r="L1210" s="2" t="s">
        <v>66</v>
      </c>
      <c r="M1210" s="2" t="s">
        <v>30</v>
      </c>
      <c r="N1210" s="2" t="s">
        <v>31</v>
      </c>
      <c r="O1210" s="2" t="s">
        <v>67</v>
      </c>
      <c r="P1210" s="4">
        <v>36.803400000000003</v>
      </c>
      <c r="Q1210" s="4">
        <v>5</v>
      </c>
      <c r="R1210" s="4">
        <v>7.7507999999999999</v>
      </c>
      <c r="S1210" s="2" t="s">
        <v>121</v>
      </c>
      <c r="T1210" s="2" t="s">
        <v>93</v>
      </c>
    </row>
    <row r="1211" spans="1:20" x14ac:dyDescent="0.25">
      <c r="A1211" s="2" t="s">
        <v>2355</v>
      </c>
      <c r="B1211" s="3">
        <v>43068</v>
      </c>
      <c r="C1211" s="3">
        <v>43068</v>
      </c>
      <c r="D1211" s="2" t="s">
        <v>21</v>
      </c>
      <c r="E1211" s="2" t="s">
        <v>2356</v>
      </c>
      <c r="F1211" s="2" t="s">
        <v>2357</v>
      </c>
      <c r="G1211" s="2" t="s">
        <v>38</v>
      </c>
      <c r="H1211" s="2" t="s">
        <v>25</v>
      </c>
      <c r="I1211" s="2" t="s">
        <v>364</v>
      </c>
      <c r="J1211" s="2" t="s">
        <v>279</v>
      </c>
      <c r="K1211" s="2" t="s">
        <v>28</v>
      </c>
      <c r="L1211" s="2" t="s">
        <v>139</v>
      </c>
      <c r="M1211" s="2" t="s">
        <v>30</v>
      </c>
      <c r="N1211" s="2" t="s">
        <v>42</v>
      </c>
      <c r="O1211" s="2" t="s">
        <v>140</v>
      </c>
      <c r="P1211" s="4">
        <v>1491.7653</v>
      </c>
      <c r="Q1211" s="4">
        <v>6</v>
      </c>
      <c r="R1211" s="4">
        <v>-174.50909999999999</v>
      </c>
      <c r="S1211" s="2" t="s">
        <v>121</v>
      </c>
      <c r="T1211" s="2" t="s">
        <v>93</v>
      </c>
    </row>
    <row r="1212" spans="1:20" x14ac:dyDescent="0.25">
      <c r="A1212" s="2" t="s">
        <v>2358</v>
      </c>
      <c r="B1212" s="3">
        <v>41641</v>
      </c>
      <c r="C1212" s="3">
        <v>41644</v>
      </c>
      <c r="D1212" s="2" t="s">
        <v>55</v>
      </c>
      <c r="E1212" s="2" t="s">
        <v>2359</v>
      </c>
      <c r="F1212" s="2" t="s">
        <v>2360</v>
      </c>
      <c r="G1212" s="2" t="s">
        <v>24</v>
      </c>
      <c r="H1212" s="2" t="s">
        <v>25</v>
      </c>
      <c r="I1212" s="2" t="s">
        <v>580</v>
      </c>
      <c r="J1212" s="2" t="s">
        <v>387</v>
      </c>
      <c r="K1212" s="2" t="s">
        <v>61</v>
      </c>
      <c r="L1212" s="2" t="s">
        <v>323</v>
      </c>
      <c r="M1212" s="2" t="s">
        <v>30</v>
      </c>
      <c r="N1212" s="2" t="s">
        <v>31</v>
      </c>
      <c r="O1212" s="2" t="s">
        <v>324</v>
      </c>
      <c r="P1212" s="4">
        <v>24.880199999999999</v>
      </c>
      <c r="Q1212" s="4">
        <v>2</v>
      </c>
      <c r="R1212" s="4">
        <v>12.1051</v>
      </c>
      <c r="S1212" s="2" t="s">
        <v>92</v>
      </c>
      <c r="T1212" s="2" t="s">
        <v>115</v>
      </c>
    </row>
    <row r="1213" spans="1:20" x14ac:dyDescent="0.25">
      <c r="A1213" s="2" t="s">
        <v>2361</v>
      </c>
      <c r="B1213" s="3">
        <v>43042</v>
      </c>
      <c r="C1213" s="3">
        <v>43048</v>
      </c>
      <c r="D1213" s="2" t="s">
        <v>55</v>
      </c>
      <c r="E1213" s="2" t="s">
        <v>2362</v>
      </c>
      <c r="F1213" s="2" t="s">
        <v>2363</v>
      </c>
      <c r="G1213" s="2" t="s">
        <v>58</v>
      </c>
      <c r="H1213" s="2" t="s">
        <v>25</v>
      </c>
      <c r="I1213" s="2" t="s">
        <v>59</v>
      </c>
      <c r="J1213" s="2" t="s">
        <v>60</v>
      </c>
      <c r="K1213" s="2" t="s">
        <v>61</v>
      </c>
      <c r="L1213" s="2" t="s">
        <v>235</v>
      </c>
      <c r="M1213" s="2" t="s">
        <v>30</v>
      </c>
      <c r="N1213" s="2" t="s">
        <v>31</v>
      </c>
      <c r="O1213" s="2" t="s">
        <v>236</v>
      </c>
      <c r="P1213" s="4">
        <v>255.95590000000001</v>
      </c>
      <c r="Q1213" s="4">
        <v>2</v>
      </c>
      <c r="R1213" s="4">
        <v>-53.588200000000001</v>
      </c>
      <c r="S1213" s="2" t="s">
        <v>65</v>
      </c>
      <c r="T1213" s="2" t="s">
        <v>93</v>
      </c>
    </row>
    <row r="1214" spans="1:20" x14ac:dyDescent="0.25">
      <c r="A1214" s="2" t="s">
        <v>2364</v>
      </c>
      <c r="B1214" s="3">
        <v>42410</v>
      </c>
      <c r="C1214" s="3">
        <v>42412</v>
      </c>
      <c r="D1214" s="2" t="s">
        <v>55</v>
      </c>
      <c r="E1214" s="2" t="s">
        <v>2365</v>
      </c>
      <c r="F1214" s="2" t="s">
        <v>2366</v>
      </c>
      <c r="G1214" s="2" t="s">
        <v>38</v>
      </c>
      <c r="H1214" s="2" t="s">
        <v>25</v>
      </c>
      <c r="I1214" s="2" t="s">
        <v>847</v>
      </c>
      <c r="J1214" s="2" t="s">
        <v>728</v>
      </c>
      <c r="K1214" s="2" t="s">
        <v>147</v>
      </c>
      <c r="L1214" s="2" t="s">
        <v>83</v>
      </c>
      <c r="M1214" s="2" t="s">
        <v>30</v>
      </c>
      <c r="N1214" s="2" t="s">
        <v>42</v>
      </c>
      <c r="O1214" s="2" t="s">
        <v>84</v>
      </c>
      <c r="P1214" s="4">
        <v>2571.6518999999998</v>
      </c>
      <c r="Q1214" s="4">
        <v>3</v>
      </c>
      <c r="R1214" s="4">
        <v>214.3887</v>
      </c>
      <c r="S1214" s="2" t="s">
        <v>53</v>
      </c>
      <c r="T1214" s="2" t="s">
        <v>101</v>
      </c>
    </row>
    <row r="1215" spans="1:20" x14ac:dyDescent="0.25">
      <c r="A1215" s="2" t="s">
        <v>2367</v>
      </c>
      <c r="B1215" s="3">
        <v>43021</v>
      </c>
      <c r="C1215" s="3">
        <v>43025</v>
      </c>
      <c r="D1215" s="2" t="s">
        <v>21</v>
      </c>
      <c r="E1215" s="2" t="s">
        <v>472</v>
      </c>
      <c r="F1215" s="2" t="s">
        <v>473</v>
      </c>
      <c r="G1215" s="2" t="s">
        <v>58</v>
      </c>
      <c r="H1215" s="2" t="s">
        <v>25</v>
      </c>
      <c r="I1215" s="2" t="s">
        <v>350</v>
      </c>
      <c r="J1215" s="2" t="s">
        <v>351</v>
      </c>
      <c r="K1215" s="2" t="s">
        <v>147</v>
      </c>
      <c r="L1215" s="2" t="s">
        <v>323</v>
      </c>
      <c r="M1215" s="2" t="s">
        <v>30</v>
      </c>
      <c r="N1215" s="2" t="s">
        <v>31</v>
      </c>
      <c r="O1215" s="2" t="s">
        <v>324</v>
      </c>
      <c r="P1215" s="4">
        <v>31.584800000000001</v>
      </c>
      <c r="Q1215" s="4">
        <v>8</v>
      </c>
      <c r="R1215" s="4">
        <v>10.8497</v>
      </c>
      <c r="S1215" s="2" t="s">
        <v>75</v>
      </c>
      <c r="T1215" s="2" t="s">
        <v>224</v>
      </c>
    </row>
    <row r="1216" spans="1:20" x14ac:dyDescent="0.25">
      <c r="A1216" s="2" t="s">
        <v>2368</v>
      </c>
      <c r="B1216" s="3">
        <v>42121</v>
      </c>
      <c r="C1216" s="3">
        <v>42123</v>
      </c>
      <c r="D1216" s="2" t="s">
        <v>48</v>
      </c>
      <c r="E1216" s="2" t="s">
        <v>516</v>
      </c>
      <c r="F1216" s="2" t="s">
        <v>517</v>
      </c>
      <c r="G1216" s="2" t="s">
        <v>58</v>
      </c>
      <c r="H1216" s="2" t="s">
        <v>25</v>
      </c>
      <c r="I1216" s="2" t="s">
        <v>274</v>
      </c>
      <c r="J1216" s="2" t="s">
        <v>146</v>
      </c>
      <c r="K1216" s="2" t="s">
        <v>147</v>
      </c>
      <c r="L1216" s="2" t="s">
        <v>933</v>
      </c>
      <c r="M1216" s="2" t="s">
        <v>30</v>
      </c>
      <c r="N1216" s="2" t="s">
        <v>162</v>
      </c>
      <c r="O1216" s="2" t="s">
        <v>934</v>
      </c>
      <c r="P1216" s="4">
        <v>297.38049999999998</v>
      </c>
      <c r="Q1216" s="4">
        <v>1</v>
      </c>
      <c r="R1216" s="4">
        <v>16.3447</v>
      </c>
      <c r="S1216" s="2" t="s">
        <v>53</v>
      </c>
      <c r="T1216" s="2" t="s">
        <v>108</v>
      </c>
    </row>
    <row r="1217" spans="1:20" x14ac:dyDescent="0.25">
      <c r="A1217" s="2" t="s">
        <v>2369</v>
      </c>
      <c r="B1217" s="3">
        <v>42072</v>
      </c>
      <c r="C1217" s="3">
        <v>42076</v>
      </c>
      <c r="D1217" s="2" t="s">
        <v>55</v>
      </c>
      <c r="E1217" s="2" t="s">
        <v>69</v>
      </c>
      <c r="F1217" s="2" t="s">
        <v>70</v>
      </c>
      <c r="G1217" s="2" t="s">
        <v>58</v>
      </c>
      <c r="H1217" s="2" t="s">
        <v>25</v>
      </c>
      <c r="I1217" s="2" t="s">
        <v>338</v>
      </c>
      <c r="J1217" s="2" t="s">
        <v>339</v>
      </c>
      <c r="K1217" s="2" t="s">
        <v>82</v>
      </c>
      <c r="L1217" s="2" t="s">
        <v>66</v>
      </c>
      <c r="M1217" s="2" t="s">
        <v>30</v>
      </c>
      <c r="N1217" s="2" t="s">
        <v>31</v>
      </c>
      <c r="O1217" s="2" t="s">
        <v>67</v>
      </c>
      <c r="P1217" s="4">
        <v>174.72800000000001</v>
      </c>
      <c r="Q1217" s="4">
        <v>4</v>
      </c>
      <c r="R1217" s="4">
        <v>56.268700000000003</v>
      </c>
      <c r="S1217" s="2" t="s">
        <v>75</v>
      </c>
      <c r="T1217" s="2" t="s">
        <v>44</v>
      </c>
    </row>
    <row r="1218" spans="1:20" x14ac:dyDescent="0.25">
      <c r="A1218" s="2" t="s">
        <v>2370</v>
      </c>
      <c r="B1218" s="3">
        <v>41711</v>
      </c>
      <c r="C1218" s="3">
        <v>41712</v>
      </c>
      <c r="D1218" s="2" t="s">
        <v>55</v>
      </c>
      <c r="E1218" s="2" t="s">
        <v>331</v>
      </c>
      <c r="F1218" s="2" t="s">
        <v>332</v>
      </c>
      <c r="G1218" s="2" t="s">
        <v>58</v>
      </c>
      <c r="H1218" s="2" t="s">
        <v>25</v>
      </c>
      <c r="I1218" s="2" t="s">
        <v>338</v>
      </c>
      <c r="J1218" s="2" t="s">
        <v>339</v>
      </c>
      <c r="K1218" s="2" t="s">
        <v>82</v>
      </c>
      <c r="L1218" s="2" t="s">
        <v>235</v>
      </c>
      <c r="M1218" s="2" t="s">
        <v>30</v>
      </c>
      <c r="N1218" s="2" t="s">
        <v>31</v>
      </c>
      <c r="O1218" s="2" t="s">
        <v>236</v>
      </c>
      <c r="P1218" s="4">
        <v>33.688699999999997</v>
      </c>
      <c r="Q1218" s="4">
        <v>2</v>
      </c>
      <c r="R1218" s="4">
        <v>24.4739</v>
      </c>
      <c r="S1218" s="2" t="s">
        <v>33</v>
      </c>
      <c r="T1218" s="2" t="s">
        <v>44</v>
      </c>
    </row>
    <row r="1219" spans="1:20" x14ac:dyDescent="0.25">
      <c r="A1219" s="2" t="s">
        <v>2371</v>
      </c>
      <c r="B1219" s="3">
        <v>42468</v>
      </c>
      <c r="C1219" s="3">
        <v>42474</v>
      </c>
      <c r="D1219" s="2" t="s">
        <v>55</v>
      </c>
      <c r="E1219" s="2" t="s">
        <v>1057</v>
      </c>
      <c r="F1219" s="2" t="s">
        <v>1058</v>
      </c>
      <c r="G1219" s="2" t="s">
        <v>58</v>
      </c>
      <c r="H1219" s="2" t="s">
        <v>25</v>
      </c>
      <c r="I1219" s="2" t="s">
        <v>699</v>
      </c>
      <c r="J1219" s="2" t="s">
        <v>339</v>
      </c>
      <c r="K1219" s="2" t="s">
        <v>82</v>
      </c>
      <c r="L1219" s="2" t="s">
        <v>719</v>
      </c>
      <c r="M1219" s="2" t="s">
        <v>30</v>
      </c>
      <c r="N1219" s="2" t="s">
        <v>63</v>
      </c>
      <c r="O1219" s="2" t="s">
        <v>720</v>
      </c>
      <c r="P1219" s="4">
        <v>520.79729999999995</v>
      </c>
      <c r="Q1219" s="4">
        <v>1</v>
      </c>
      <c r="R1219" s="4">
        <v>-16.8111</v>
      </c>
      <c r="S1219" s="2" t="s">
        <v>65</v>
      </c>
      <c r="T1219" s="2" t="s">
        <v>108</v>
      </c>
    </row>
    <row r="1220" spans="1:20" x14ac:dyDescent="0.25">
      <c r="A1220" s="2" t="s">
        <v>2372</v>
      </c>
      <c r="B1220" s="3">
        <v>42169</v>
      </c>
      <c r="C1220" s="3">
        <v>42171</v>
      </c>
      <c r="D1220" s="2" t="s">
        <v>21</v>
      </c>
      <c r="E1220" s="2" t="s">
        <v>1825</v>
      </c>
      <c r="F1220" s="2" t="s">
        <v>1826</v>
      </c>
      <c r="G1220" s="2" t="s">
        <v>38</v>
      </c>
      <c r="H1220" s="2" t="s">
        <v>25</v>
      </c>
      <c r="I1220" s="2" t="s">
        <v>639</v>
      </c>
      <c r="J1220" s="2" t="s">
        <v>192</v>
      </c>
      <c r="K1220" s="2" t="s">
        <v>82</v>
      </c>
      <c r="L1220" s="2" t="s">
        <v>252</v>
      </c>
      <c r="M1220" s="2" t="s">
        <v>30</v>
      </c>
      <c r="N1220" s="2" t="s">
        <v>31</v>
      </c>
      <c r="O1220" s="2" t="s">
        <v>253</v>
      </c>
      <c r="P1220" s="4">
        <v>63.438099999999999</v>
      </c>
      <c r="Q1220" s="4">
        <v>2</v>
      </c>
      <c r="R1220" s="4">
        <v>42.286099999999998</v>
      </c>
      <c r="S1220" s="2" t="s">
        <v>53</v>
      </c>
      <c r="T1220" s="2" t="s">
        <v>133</v>
      </c>
    </row>
    <row r="1221" spans="1:20" x14ac:dyDescent="0.25">
      <c r="A1221" s="2" t="s">
        <v>2372</v>
      </c>
      <c r="B1221" s="3">
        <v>42169</v>
      </c>
      <c r="C1221" s="3">
        <v>42171</v>
      </c>
      <c r="D1221" s="2" t="s">
        <v>21</v>
      </c>
      <c r="E1221" s="2" t="s">
        <v>1825</v>
      </c>
      <c r="F1221" s="2" t="s">
        <v>1826</v>
      </c>
      <c r="G1221" s="2" t="s">
        <v>38</v>
      </c>
      <c r="H1221" s="2" t="s">
        <v>25</v>
      </c>
      <c r="I1221" s="2" t="s">
        <v>639</v>
      </c>
      <c r="J1221" s="2" t="s">
        <v>192</v>
      </c>
      <c r="K1221" s="2" t="s">
        <v>82</v>
      </c>
      <c r="L1221" s="2" t="s">
        <v>45</v>
      </c>
      <c r="M1221" s="2" t="s">
        <v>30</v>
      </c>
      <c r="N1221" s="2" t="s">
        <v>31</v>
      </c>
      <c r="O1221" s="2" t="s">
        <v>46</v>
      </c>
      <c r="P1221" s="4">
        <v>33.855800000000002</v>
      </c>
      <c r="Q1221" s="4">
        <v>3</v>
      </c>
      <c r="R1221" s="4">
        <v>31.602799999999998</v>
      </c>
      <c r="S1221" s="2" t="s">
        <v>53</v>
      </c>
      <c r="T1221" s="2" t="s">
        <v>133</v>
      </c>
    </row>
    <row r="1222" spans="1:20" x14ac:dyDescent="0.25">
      <c r="A1222" s="2" t="s">
        <v>2373</v>
      </c>
      <c r="B1222" s="3">
        <v>42728</v>
      </c>
      <c r="C1222" s="3">
        <v>42731</v>
      </c>
      <c r="D1222" s="2" t="s">
        <v>55</v>
      </c>
      <c r="E1222" s="2" t="s">
        <v>177</v>
      </c>
      <c r="F1222" s="2" t="s">
        <v>178</v>
      </c>
      <c r="G1222" s="2" t="s">
        <v>58</v>
      </c>
      <c r="H1222" s="2" t="s">
        <v>25</v>
      </c>
      <c r="I1222" s="2" t="s">
        <v>805</v>
      </c>
      <c r="J1222" s="2" t="s">
        <v>351</v>
      </c>
      <c r="K1222" s="2" t="s">
        <v>147</v>
      </c>
      <c r="L1222" s="2" t="s">
        <v>66</v>
      </c>
      <c r="M1222" s="2" t="s">
        <v>30</v>
      </c>
      <c r="N1222" s="2" t="s">
        <v>31</v>
      </c>
      <c r="O1222" s="2" t="s">
        <v>67</v>
      </c>
      <c r="P1222" s="4">
        <v>8.7484999999999999</v>
      </c>
      <c r="Q1222" s="4">
        <v>3</v>
      </c>
      <c r="R1222" s="4">
        <v>2.2057000000000002</v>
      </c>
      <c r="S1222" s="2" t="s">
        <v>92</v>
      </c>
      <c r="T1222" s="2" t="s">
        <v>76</v>
      </c>
    </row>
    <row r="1223" spans="1:20" x14ac:dyDescent="0.25">
      <c r="A1223" s="2" t="s">
        <v>2374</v>
      </c>
      <c r="B1223" s="3">
        <v>42530</v>
      </c>
      <c r="C1223" s="3">
        <v>42535</v>
      </c>
      <c r="D1223" s="2" t="s">
        <v>55</v>
      </c>
      <c r="E1223" s="2" t="s">
        <v>954</v>
      </c>
      <c r="F1223" s="2" t="s">
        <v>955</v>
      </c>
      <c r="G1223" s="2" t="s">
        <v>58</v>
      </c>
      <c r="H1223" s="2" t="s">
        <v>25</v>
      </c>
      <c r="I1223" s="2" t="s">
        <v>184</v>
      </c>
      <c r="J1223" s="2" t="s">
        <v>185</v>
      </c>
      <c r="K1223" s="2" t="s">
        <v>147</v>
      </c>
      <c r="L1223" s="2" t="s">
        <v>83</v>
      </c>
      <c r="M1223" s="2" t="s">
        <v>30</v>
      </c>
      <c r="N1223" s="2" t="s">
        <v>42</v>
      </c>
      <c r="O1223" s="2" t="s">
        <v>84</v>
      </c>
      <c r="P1223" s="4">
        <v>330.32409999999999</v>
      </c>
      <c r="Q1223" s="4">
        <v>9</v>
      </c>
      <c r="R1223" s="4">
        <v>76.4101</v>
      </c>
      <c r="S1223" s="2" t="s">
        <v>85</v>
      </c>
      <c r="T1223" s="2" t="s">
        <v>133</v>
      </c>
    </row>
    <row r="1224" spans="1:20" x14ac:dyDescent="0.25">
      <c r="A1224" s="2" t="s">
        <v>2375</v>
      </c>
      <c r="B1224" s="3">
        <v>41688</v>
      </c>
      <c r="C1224" s="3">
        <v>41688</v>
      </c>
      <c r="D1224" s="2" t="s">
        <v>55</v>
      </c>
      <c r="E1224" s="2" t="s">
        <v>845</v>
      </c>
      <c r="F1224" s="2" t="s">
        <v>846</v>
      </c>
      <c r="G1224" s="2" t="s">
        <v>58</v>
      </c>
      <c r="H1224" s="2" t="s">
        <v>25</v>
      </c>
      <c r="I1224" s="2" t="s">
        <v>233</v>
      </c>
      <c r="J1224" s="2" t="s">
        <v>234</v>
      </c>
      <c r="K1224" s="2" t="s">
        <v>82</v>
      </c>
      <c r="L1224" s="2" t="s">
        <v>41</v>
      </c>
      <c r="M1224" s="2" t="s">
        <v>30</v>
      </c>
      <c r="N1224" s="2" t="s">
        <v>42</v>
      </c>
      <c r="O1224" s="2" t="s">
        <v>43</v>
      </c>
      <c r="P1224" s="4">
        <v>282.92750000000001</v>
      </c>
      <c r="Q1224" s="4">
        <v>2</v>
      </c>
      <c r="R1224" s="4">
        <v>-46.631799999999998</v>
      </c>
      <c r="S1224" s="2" t="s">
        <v>121</v>
      </c>
      <c r="T1224" s="2" t="s">
        <v>101</v>
      </c>
    </row>
    <row r="1225" spans="1:20" x14ac:dyDescent="0.25">
      <c r="A1225" s="2" t="s">
        <v>2376</v>
      </c>
      <c r="B1225" s="3">
        <v>42728</v>
      </c>
      <c r="C1225" s="3">
        <v>42731</v>
      </c>
      <c r="D1225" s="2" t="s">
        <v>21</v>
      </c>
      <c r="E1225" s="2" t="s">
        <v>2377</v>
      </c>
      <c r="F1225" s="2" t="s">
        <v>2378</v>
      </c>
      <c r="G1225" s="2" t="s">
        <v>58</v>
      </c>
      <c r="H1225" s="2" t="s">
        <v>25</v>
      </c>
      <c r="I1225" s="2" t="s">
        <v>152</v>
      </c>
      <c r="J1225" s="2" t="s">
        <v>153</v>
      </c>
      <c r="K1225" s="2" t="s">
        <v>147</v>
      </c>
      <c r="L1225" s="2" t="s">
        <v>139</v>
      </c>
      <c r="M1225" s="2" t="s">
        <v>30</v>
      </c>
      <c r="N1225" s="2" t="s">
        <v>42</v>
      </c>
      <c r="O1225" s="2" t="s">
        <v>140</v>
      </c>
      <c r="P1225" s="4">
        <v>2230.768</v>
      </c>
      <c r="Q1225" s="4">
        <v>2</v>
      </c>
      <c r="R1225" s="4">
        <v>594.81730000000005</v>
      </c>
      <c r="S1225" s="2" t="s">
        <v>92</v>
      </c>
      <c r="T1225" s="2" t="s">
        <v>76</v>
      </c>
    </row>
    <row r="1226" spans="1:20" x14ac:dyDescent="0.25">
      <c r="A1226" s="2" t="s">
        <v>2376</v>
      </c>
      <c r="B1226" s="3">
        <v>42728</v>
      </c>
      <c r="C1226" s="3">
        <v>42731</v>
      </c>
      <c r="D1226" s="2" t="s">
        <v>21</v>
      </c>
      <c r="E1226" s="2" t="s">
        <v>2377</v>
      </c>
      <c r="F1226" s="2" t="s">
        <v>2378</v>
      </c>
      <c r="G1226" s="2" t="s">
        <v>58</v>
      </c>
      <c r="H1226" s="2" t="s">
        <v>25</v>
      </c>
      <c r="I1226" s="2" t="s">
        <v>152</v>
      </c>
      <c r="J1226" s="2" t="s">
        <v>153</v>
      </c>
      <c r="K1226" s="2" t="s">
        <v>147</v>
      </c>
      <c r="L1226" s="2" t="s">
        <v>207</v>
      </c>
      <c r="M1226" s="2" t="s">
        <v>30</v>
      </c>
      <c r="N1226" s="2" t="s">
        <v>31</v>
      </c>
      <c r="O1226" s="2" t="s">
        <v>208</v>
      </c>
      <c r="P1226" s="4">
        <v>115.16670000000001</v>
      </c>
      <c r="Q1226" s="4">
        <v>3</v>
      </c>
      <c r="R1226" s="4">
        <v>35.654200000000003</v>
      </c>
      <c r="S1226" s="2" t="s">
        <v>92</v>
      </c>
      <c r="T1226" s="2" t="s">
        <v>76</v>
      </c>
    </row>
    <row r="1227" spans="1:20" x14ac:dyDescent="0.25">
      <c r="A1227" s="2" t="s">
        <v>2379</v>
      </c>
      <c r="B1227" s="3">
        <v>42712</v>
      </c>
      <c r="C1227" s="3">
        <v>42712</v>
      </c>
      <c r="D1227" s="2" t="s">
        <v>21</v>
      </c>
      <c r="E1227" s="2" t="s">
        <v>2380</v>
      </c>
      <c r="F1227" s="2" t="s">
        <v>2381</v>
      </c>
      <c r="G1227" s="2" t="s">
        <v>58</v>
      </c>
      <c r="H1227" s="2" t="s">
        <v>25</v>
      </c>
      <c r="I1227" s="2" t="s">
        <v>594</v>
      </c>
      <c r="J1227" s="2" t="s">
        <v>595</v>
      </c>
      <c r="K1227" s="2" t="s">
        <v>61</v>
      </c>
      <c r="L1227" s="2" t="s">
        <v>252</v>
      </c>
      <c r="M1227" s="2" t="s">
        <v>30</v>
      </c>
      <c r="N1227" s="2" t="s">
        <v>31</v>
      </c>
      <c r="O1227" s="2" t="s">
        <v>253</v>
      </c>
      <c r="P1227" s="4">
        <v>2.8835000000000002</v>
      </c>
      <c r="Q1227" s="4">
        <v>1</v>
      </c>
      <c r="R1227" s="4">
        <v>1.2378</v>
      </c>
      <c r="S1227" s="2" t="s">
        <v>121</v>
      </c>
      <c r="T1227" s="2" t="s">
        <v>76</v>
      </c>
    </row>
    <row r="1228" spans="1:20" x14ac:dyDescent="0.25">
      <c r="A1228" s="2" t="s">
        <v>2382</v>
      </c>
      <c r="B1228" s="3">
        <v>42331</v>
      </c>
      <c r="C1228" s="3">
        <v>42331</v>
      </c>
      <c r="D1228" s="2" t="s">
        <v>21</v>
      </c>
      <c r="E1228" s="2" t="s">
        <v>1979</v>
      </c>
      <c r="F1228" s="2" t="s">
        <v>1980</v>
      </c>
      <c r="G1228" s="2" t="s">
        <v>58</v>
      </c>
      <c r="H1228" s="2" t="s">
        <v>25</v>
      </c>
      <c r="I1228" s="2" t="s">
        <v>977</v>
      </c>
      <c r="J1228" s="2" t="s">
        <v>475</v>
      </c>
      <c r="K1228" s="2" t="s">
        <v>28</v>
      </c>
      <c r="L1228" s="2" t="s">
        <v>301</v>
      </c>
      <c r="M1228" s="2" t="s">
        <v>30</v>
      </c>
      <c r="N1228" s="2" t="s">
        <v>162</v>
      </c>
      <c r="O1228" s="2" t="s">
        <v>302</v>
      </c>
      <c r="P1228" s="4">
        <v>691.49929999999995</v>
      </c>
      <c r="Q1228" s="4">
        <v>2</v>
      </c>
      <c r="R1228" s="4">
        <v>159.48159999999999</v>
      </c>
      <c r="S1228" s="2" t="s">
        <v>121</v>
      </c>
      <c r="T1228" s="2" t="s">
        <v>93</v>
      </c>
    </row>
    <row r="1229" spans="1:20" x14ac:dyDescent="0.25">
      <c r="A1229" s="2" t="s">
        <v>2382</v>
      </c>
      <c r="B1229" s="3">
        <v>42331</v>
      </c>
      <c r="C1229" s="3">
        <v>42331</v>
      </c>
      <c r="D1229" s="2" t="s">
        <v>21</v>
      </c>
      <c r="E1229" s="2" t="s">
        <v>1979</v>
      </c>
      <c r="F1229" s="2" t="s">
        <v>1980</v>
      </c>
      <c r="G1229" s="2" t="s">
        <v>58</v>
      </c>
      <c r="H1229" s="2" t="s">
        <v>25</v>
      </c>
      <c r="I1229" s="2" t="s">
        <v>977</v>
      </c>
      <c r="J1229" s="2" t="s">
        <v>475</v>
      </c>
      <c r="K1229" s="2" t="s">
        <v>28</v>
      </c>
      <c r="L1229" s="2" t="s">
        <v>29</v>
      </c>
      <c r="M1229" s="2" t="s">
        <v>30</v>
      </c>
      <c r="N1229" s="2" t="s">
        <v>31</v>
      </c>
      <c r="O1229" s="2" t="s">
        <v>32</v>
      </c>
      <c r="P1229" s="4">
        <v>116.8947</v>
      </c>
      <c r="Q1229" s="4">
        <v>5</v>
      </c>
      <c r="R1229" s="4">
        <v>71.442499999999995</v>
      </c>
      <c r="S1229" s="2" t="s">
        <v>121</v>
      </c>
      <c r="T1229" s="2" t="s">
        <v>93</v>
      </c>
    </row>
    <row r="1230" spans="1:20" x14ac:dyDescent="0.25">
      <c r="A1230" s="2" t="s">
        <v>2383</v>
      </c>
      <c r="B1230" s="3">
        <v>42174</v>
      </c>
      <c r="C1230" s="3">
        <v>42181</v>
      </c>
      <c r="D1230" s="2" t="s">
        <v>55</v>
      </c>
      <c r="E1230" s="2" t="s">
        <v>1060</v>
      </c>
      <c r="F1230" s="2" t="s">
        <v>1061</v>
      </c>
      <c r="G1230" s="2" t="s">
        <v>38</v>
      </c>
      <c r="H1230" s="2" t="s">
        <v>25</v>
      </c>
      <c r="I1230" s="2" t="s">
        <v>474</v>
      </c>
      <c r="J1230" s="2" t="s">
        <v>475</v>
      </c>
      <c r="K1230" s="2" t="s">
        <v>28</v>
      </c>
      <c r="L1230" s="2" t="s">
        <v>131</v>
      </c>
      <c r="M1230" s="2" t="s">
        <v>30</v>
      </c>
      <c r="N1230" s="2" t="s">
        <v>31</v>
      </c>
      <c r="O1230" s="2" t="s">
        <v>132</v>
      </c>
      <c r="P1230" s="4">
        <v>40.370100000000001</v>
      </c>
      <c r="Q1230" s="4">
        <v>2</v>
      </c>
      <c r="R1230" s="4">
        <v>16.602699999999999</v>
      </c>
      <c r="S1230" s="2" t="s">
        <v>107</v>
      </c>
      <c r="T1230" s="2" t="s">
        <v>133</v>
      </c>
    </row>
    <row r="1231" spans="1:20" x14ac:dyDescent="0.25">
      <c r="A1231" s="2" t="s">
        <v>2384</v>
      </c>
      <c r="B1231" s="3">
        <v>43050</v>
      </c>
      <c r="C1231" s="3">
        <v>43052</v>
      </c>
      <c r="D1231" s="2" t="s">
        <v>48</v>
      </c>
      <c r="E1231" s="2" t="s">
        <v>1108</v>
      </c>
      <c r="F1231" s="2" t="s">
        <v>1109</v>
      </c>
      <c r="G1231" s="2" t="s">
        <v>58</v>
      </c>
      <c r="H1231" s="2" t="s">
        <v>25</v>
      </c>
      <c r="I1231" s="2" t="s">
        <v>274</v>
      </c>
      <c r="J1231" s="2" t="s">
        <v>146</v>
      </c>
      <c r="K1231" s="2" t="s">
        <v>147</v>
      </c>
      <c r="L1231" s="2" t="s">
        <v>1476</v>
      </c>
      <c r="M1231" s="2" t="s">
        <v>30</v>
      </c>
      <c r="N1231" s="2" t="s">
        <v>63</v>
      </c>
      <c r="O1231" s="2" t="s">
        <v>1477</v>
      </c>
      <c r="P1231" s="4">
        <v>943.4538</v>
      </c>
      <c r="Q1231" s="4">
        <v>2</v>
      </c>
      <c r="R1231" s="4">
        <v>-252.88669999999999</v>
      </c>
      <c r="S1231" s="2" t="s">
        <v>53</v>
      </c>
      <c r="T1231" s="2" t="s">
        <v>93</v>
      </c>
    </row>
    <row r="1232" spans="1:20" x14ac:dyDescent="0.25">
      <c r="A1232" s="2" t="s">
        <v>2385</v>
      </c>
      <c r="B1232" s="3">
        <v>41678</v>
      </c>
      <c r="C1232" s="3">
        <v>41680</v>
      </c>
      <c r="D1232" s="2" t="s">
        <v>48</v>
      </c>
      <c r="E1232" s="2" t="s">
        <v>2260</v>
      </c>
      <c r="F1232" s="2" t="s">
        <v>2261</v>
      </c>
      <c r="G1232" s="2" t="s">
        <v>58</v>
      </c>
      <c r="H1232" s="2" t="s">
        <v>25</v>
      </c>
      <c r="I1232" s="2" t="s">
        <v>205</v>
      </c>
      <c r="J1232" s="2" t="s">
        <v>206</v>
      </c>
      <c r="K1232" s="2" t="s">
        <v>61</v>
      </c>
      <c r="L1232" s="2" t="s">
        <v>41</v>
      </c>
      <c r="M1232" s="2" t="s">
        <v>30</v>
      </c>
      <c r="N1232" s="2" t="s">
        <v>42</v>
      </c>
      <c r="O1232" s="2" t="s">
        <v>43</v>
      </c>
      <c r="P1232" s="4">
        <v>108.13720000000001</v>
      </c>
      <c r="Q1232" s="4">
        <v>2</v>
      </c>
      <c r="R1232" s="4">
        <v>-28.362300000000001</v>
      </c>
      <c r="S1232" s="2" t="s">
        <v>53</v>
      </c>
      <c r="T1232" s="2" t="s">
        <v>101</v>
      </c>
    </row>
    <row r="1233" spans="1:20" x14ac:dyDescent="0.25">
      <c r="A1233" s="2" t="s">
        <v>2386</v>
      </c>
      <c r="B1233" s="3">
        <v>43092</v>
      </c>
      <c r="C1233" s="3">
        <v>43097</v>
      </c>
      <c r="D1233" s="2" t="s">
        <v>55</v>
      </c>
      <c r="E1233" s="2" t="s">
        <v>2387</v>
      </c>
      <c r="F1233" s="2" t="s">
        <v>2388</v>
      </c>
      <c r="G1233" s="2" t="s">
        <v>58</v>
      </c>
      <c r="H1233" s="2" t="s">
        <v>25</v>
      </c>
      <c r="I1233" s="2" t="s">
        <v>71</v>
      </c>
      <c r="J1233" s="2" t="s">
        <v>72</v>
      </c>
      <c r="K1233" s="2" t="s">
        <v>61</v>
      </c>
      <c r="L1233" s="2" t="s">
        <v>820</v>
      </c>
      <c r="M1233" s="2" t="s">
        <v>30</v>
      </c>
      <c r="N1233" s="2" t="s">
        <v>162</v>
      </c>
      <c r="O1233" s="2" t="s">
        <v>821</v>
      </c>
      <c r="P1233" s="4">
        <v>173.1858</v>
      </c>
      <c r="Q1233" s="4">
        <v>3</v>
      </c>
      <c r="R1233" s="4">
        <v>1.0537000000000001</v>
      </c>
      <c r="S1233" s="2" t="s">
        <v>85</v>
      </c>
      <c r="T1233" s="2" t="s">
        <v>76</v>
      </c>
    </row>
    <row r="1234" spans="1:20" x14ac:dyDescent="0.25">
      <c r="A1234" s="2" t="s">
        <v>2389</v>
      </c>
      <c r="B1234" s="3">
        <v>41665</v>
      </c>
      <c r="C1234" s="3">
        <v>41666</v>
      </c>
      <c r="D1234" s="2" t="s">
        <v>48</v>
      </c>
      <c r="E1234" s="2" t="s">
        <v>1364</v>
      </c>
      <c r="F1234" s="2" t="s">
        <v>1365</v>
      </c>
      <c r="G1234" s="2" t="s">
        <v>58</v>
      </c>
      <c r="H1234" s="2" t="s">
        <v>25</v>
      </c>
      <c r="I1234" s="2" t="s">
        <v>1319</v>
      </c>
      <c r="J1234" s="2" t="s">
        <v>632</v>
      </c>
      <c r="K1234" s="2" t="s">
        <v>82</v>
      </c>
      <c r="L1234" s="2" t="s">
        <v>235</v>
      </c>
      <c r="M1234" s="2" t="s">
        <v>30</v>
      </c>
      <c r="N1234" s="2" t="s">
        <v>31</v>
      </c>
      <c r="O1234" s="2" t="s">
        <v>236</v>
      </c>
      <c r="P1234" s="4">
        <v>91.515199999999993</v>
      </c>
      <c r="Q1234" s="4">
        <v>6</v>
      </c>
      <c r="R1234" s="4">
        <v>-28.077300000000001</v>
      </c>
      <c r="S1234" s="2" t="s">
        <v>33</v>
      </c>
      <c r="T1234" s="2" t="s">
        <v>115</v>
      </c>
    </row>
    <row r="1235" spans="1:20" x14ac:dyDescent="0.25">
      <c r="A1235" s="2" t="s">
        <v>2390</v>
      </c>
      <c r="B1235" s="3">
        <v>42438</v>
      </c>
      <c r="C1235" s="3">
        <v>42443</v>
      </c>
      <c r="D1235" s="2" t="s">
        <v>55</v>
      </c>
      <c r="E1235" s="2" t="s">
        <v>791</v>
      </c>
      <c r="F1235" s="2" t="s">
        <v>792</v>
      </c>
      <c r="G1235" s="2" t="s">
        <v>58</v>
      </c>
      <c r="H1235" s="2" t="s">
        <v>25</v>
      </c>
      <c r="I1235" s="2" t="s">
        <v>982</v>
      </c>
      <c r="J1235" s="2" t="s">
        <v>180</v>
      </c>
      <c r="K1235" s="2" t="s">
        <v>147</v>
      </c>
      <c r="L1235" s="2" t="s">
        <v>113</v>
      </c>
      <c r="M1235" s="2" t="s">
        <v>30</v>
      </c>
      <c r="N1235" s="2" t="s">
        <v>31</v>
      </c>
      <c r="O1235" s="2" t="s">
        <v>114</v>
      </c>
      <c r="P1235" s="4">
        <v>150.268</v>
      </c>
      <c r="Q1235" s="4">
        <v>6</v>
      </c>
      <c r="R1235" s="4">
        <v>-6.8634000000000004</v>
      </c>
      <c r="S1235" s="2" t="s">
        <v>85</v>
      </c>
      <c r="T1235" s="2" t="s">
        <v>44</v>
      </c>
    </row>
    <row r="1236" spans="1:20" x14ac:dyDescent="0.25">
      <c r="A1236" s="2" t="s">
        <v>2391</v>
      </c>
      <c r="B1236" s="3">
        <v>42396</v>
      </c>
      <c r="C1236" s="3">
        <v>42398</v>
      </c>
      <c r="D1236" s="2" t="s">
        <v>55</v>
      </c>
      <c r="E1236" s="2" t="s">
        <v>734</v>
      </c>
      <c r="F1236" s="2" t="s">
        <v>735</v>
      </c>
      <c r="G1236" s="2" t="s">
        <v>38</v>
      </c>
      <c r="H1236" s="2" t="s">
        <v>25</v>
      </c>
      <c r="I1236" s="2" t="s">
        <v>699</v>
      </c>
      <c r="J1236" s="2" t="s">
        <v>339</v>
      </c>
      <c r="K1236" s="2" t="s">
        <v>82</v>
      </c>
      <c r="L1236" s="2" t="s">
        <v>45</v>
      </c>
      <c r="M1236" s="2" t="s">
        <v>30</v>
      </c>
      <c r="N1236" s="2" t="s">
        <v>31</v>
      </c>
      <c r="O1236" s="2" t="s">
        <v>46</v>
      </c>
      <c r="P1236" s="4">
        <v>98.561999999999998</v>
      </c>
      <c r="Q1236" s="4">
        <v>3</v>
      </c>
      <c r="R1236" s="4">
        <v>11.266500000000001</v>
      </c>
      <c r="S1236" s="2" t="s">
        <v>53</v>
      </c>
      <c r="T1236" s="2" t="s">
        <v>115</v>
      </c>
    </row>
    <row r="1237" spans="1:20" x14ac:dyDescent="0.25">
      <c r="A1237" s="2" t="s">
        <v>2392</v>
      </c>
      <c r="B1237" s="3">
        <v>41687</v>
      </c>
      <c r="C1237" s="3">
        <v>41688</v>
      </c>
      <c r="D1237" s="2" t="s">
        <v>55</v>
      </c>
      <c r="E1237" s="2" t="s">
        <v>651</v>
      </c>
      <c r="F1237" s="2" t="s">
        <v>652</v>
      </c>
      <c r="G1237" s="2" t="s">
        <v>38</v>
      </c>
      <c r="H1237" s="2" t="s">
        <v>25</v>
      </c>
      <c r="I1237" s="2" t="s">
        <v>666</v>
      </c>
      <c r="J1237" s="2" t="s">
        <v>667</v>
      </c>
      <c r="K1237" s="2" t="s">
        <v>28</v>
      </c>
      <c r="L1237" s="2" t="s">
        <v>73</v>
      </c>
      <c r="M1237" s="2" t="s">
        <v>30</v>
      </c>
      <c r="N1237" s="2" t="s">
        <v>42</v>
      </c>
      <c r="O1237" s="2" t="s">
        <v>74</v>
      </c>
      <c r="P1237" s="4">
        <v>1394.9025999999999</v>
      </c>
      <c r="Q1237" s="4">
        <v>4</v>
      </c>
      <c r="R1237" s="4">
        <v>319.2473</v>
      </c>
      <c r="S1237" s="2" t="s">
        <v>33</v>
      </c>
      <c r="T1237" s="2" t="s">
        <v>101</v>
      </c>
    </row>
    <row r="1238" spans="1:20" x14ac:dyDescent="0.25">
      <c r="A1238" s="2" t="s">
        <v>2393</v>
      </c>
      <c r="B1238" s="3">
        <v>42808</v>
      </c>
      <c r="C1238" s="3">
        <v>42811</v>
      </c>
      <c r="D1238" s="2" t="s">
        <v>55</v>
      </c>
      <c r="E1238" s="2" t="s">
        <v>2296</v>
      </c>
      <c r="F1238" s="2" t="s">
        <v>2297</v>
      </c>
      <c r="G1238" s="2" t="s">
        <v>24</v>
      </c>
      <c r="H1238" s="2" t="s">
        <v>25</v>
      </c>
      <c r="I1238" s="2" t="s">
        <v>639</v>
      </c>
      <c r="J1238" s="2" t="s">
        <v>192</v>
      </c>
      <c r="K1238" s="2" t="s">
        <v>82</v>
      </c>
      <c r="L1238" s="2" t="s">
        <v>186</v>
      </c>
      <c r="M1238" s="2" t="s">
        <v>30</v>
      </c>
      <c r="N1238" s="2" t="s">
        <v>31</v>
      </c>
      <c r="O1238" s="2" t="s">
        <v>187</v>
      </c>
      <c r="P1238" s="4">
        <v>81.904200000000003</v>
      </c>
      <c r="Q1238" s="4">
        <v>4</v>
      </c>
      <c r="R1238" s="4">
        <v>14.736499999999999</v>
      </c>
      <c r="S1238" s="2" t="s">
        <v>92</v>
      </c>
      <c r="T1238" s="2" t="s">
        <v>44</v>
      </c>
    </row>
    <row r="1239" spans="1:20" x14ac:dyDescent="0.25">
      <c r="A1239" s="2" t="s">
        <v>2394</v>
      </c>
      <c r="B1239" s="3">
        <v>42383</v>
      </c>
      <c r="C1239" s="3">
        <v>42386</v>
      </c>
      <c r="D1239" s="2" t="s">
        <v>55</v>
      </c>
      <c r="E1239" s="2" t="s">
        <v>2395</v>
      </c>
      <c r="F1239" s="2" t="s">
        <v>2396</v>
      </c>
      <c r="G1239" s="2" t="s">
        <v>24</v>
      </c>
      <c r="H1239" s="2" t="s">
        <v>25</v>
      </c>
      <c r="I1239" s="2" t="s">
        <v>539</v>
      </c>
      <c r="J1239" s="2" t="s">
        <v>91</v>
      </c>
      <c r="K1239" s="2" t="s">
        <v>61</v>
      </c>
      <c r="L1239" s="2" t="s">
        <v>200</v>
      </c>
      <c r="M1239" s="2" t="s">
        <v>30</v>
      </c>
      <c r="N1239" s="2" t="s">
        <v>162</v>
      </c>
      <c r="O1239" s="2" t="s">
        <v>201</v>
      </c>
      <c r="P1239" s="4">
        <v>183.13239999999999</v>
      </c>
      <c r="Q1239" s="4">
        <v>8</v>
      </c>
      <c r="R1239" s="4">
        <v>45.150300000000001</v>
      </c>
      <c r="S1239" s="2" t="s">
        <v>92</v>
      </c>
      <c r="T1239" s="2" t="s">
        <v>115</v>
      </c>
    </row>
    <row r="1240" spans="1:20" x14ac:dyDescent="0.25">
      <c r="A1240" s="2" t="s">
        <v>2394</v>
      </c>
      <c r="B1240" s="3">
        <v>42383</v>
      </c>
      <c r="C1240" s="3">
        <v>42386</v>
      </c>
      <c r="D1240" s="2" t="s">
        <v>55</v>
      </c>
      <c r="E1240" s="2" t="s">
        <v>2395</v>
      </c>
      <c r="F1240" s="2" t="s">
        <v>2396</v>
      </c>
      <c r="G1240" s="2" t="s">
        <v>24</v>
      </c>
      <c r="H1240" s="2" t="s">
        <v>25</v>
      </c>
      <c r="I1240" s="2" t="s">
        <v>539</v>
      </c>
      <c r="J1240" s="2" t="s">
        <v>91</v>
      </c>
      <c r="K1240" s="2" t="s">
        <v>61</v>
      </c>
      <c r="L1240" s="2" t="s">
        <v>139</v>
      </c>
      <c r="M1240" s="2" t="s">
        <v>30</v>
      </c>
      <c r="N1240" s="2" t="s">
        <v>42</v>
      </c>
      <c r="O1240" s="2" t="s">
        <v>140</v>
      </c>
      <c r="P1240" s="4">
        <v>685.47090000000003</v>
      </c>
      <c r="Q1240" s="4">
        <v>3</v>
      </c>
      <c r="R1240" s="4">
        <v>-320.73880000000003</v>
      </c>
      <c r="S1240" s="2" t="s">
        <v>92</v>
      </c>
      <c r="T1240" s="2" t="s">
        <v>115</v>
      </c>
    </row>
    <row r="1241" spans="1:20" x14ac:dyDescent="0.25">
      <c r="A1241" s="2" t="s">
        <v>2397</v>
      </c>
      <c r="B1241" s="3">
        <v>41961</v>
      </c>
      <c r="C1241" s="3">
        <v>41962</v>
      </c>
      <c r="D1241" s="2" t="s">
        <v>55</v>
      </c>
      <c r="E1241" s="2" t="s">
        <v>1994</v>
      </c>
      <c r="F1241" s="2" t="s">
        <v>1995</v>
      </c>
      <c r="G1241" s="2" t="s">
        <v>58</v>
      </c>
      <c r="H1241" s="2" t="s">
        <v>25</v>
      </c>
      <c r="I1241" s="2" t="s">
        <v>205</v>
      </c>
      <c r="J1241" s="2" t="s">
        <v>206</v>
      </c>
      <c r="K1241" s="2" t="s">
        <v>61</v>
      </c>
      <c r="L1241" s="2" t="s">
        <v>45</v>
      </c>
      <c r="M1241" s="2" t="s">
        <v>30</v>
      </c>
      <c r="N1241" s="2" t="s">
        <v>31</v>
      </c>
      <c r="O1241" s="2" t="s">
        <v>46</v>
      </c>
      <c r="P1241" s="4">
        <v>536.46050000000002</v>
      </c>
      <c r="Q1241" s="4">
        <v>2</v>
      </c>
      <c r="R1241" s="4">
        <v>75.870699999999999</v>
      </c>
      <c r="S1241" s="2" t="s">
        <v>33</v>
      </c>
      <c r="T1241" s="2" t="s">
        <v>93</v>
      </c>
    </row>
    <row r="1242" spans="1:20" x14ac:dyDescent="0.25">
      <c r="A1242" s="2" t="s">
        <v>2398</v>
      </c>
      <c r="B1242" s="3">
        <v>42480</v>
      </c>
      <c r="C1242" s="3">
        <v>42486</v>
      </c>
      <c r="D1242" s="2" t="s">
        <v>55</v>
      </c>
      <c r="E1242" s="2" t="s">
        <v>1907</v>
      </c>
      <c r="F1242" s="2" t="s">
        <v>1908</v>
      </c>
      <c r="G1242" s="2" t="s">
        <v>58</v>
      </c>
      <c r="H1242" s="2" t="s">
        <v>25</v>
      </c>
      <c r="I1242" s="2" t="s">
        <v>138</v>
      </c>
      <c r="J1242" s="2" t="s">
        <v>407</v>
      </c>
      <c r="K1242" s="2" t="s">
        <v>28</v>
      </c>
      <c r="L1242" s="2" t="s">
        <v>228</v>
      </c>
      <c r="M1242" s="2" t="s">
        <v>30</v>
      </c>
      <c r="N1242" s="2" t="s">
        <v>42</v>
      </c>
      <c r="O1242" s="2" t="s">
        <v>229</v>
      </c>
      <c r="P1242" s="4">
        <v>1438.8162</v>
      </c>
      <c r="Q1242" s="4">
        <v>3</v>
      </c>
      <c r="R1242" s="4">
        <v>274.5498</v>
      </c>
      <c r="S1242" s="2" t="s">
        <v>65</v>
      </c>
      <c r="T1242" s="2" t="s">
        <v>108</v>
      </c>
    </row>
    <row r="1243" spans="1:20" x14ac:dyDescent="0.25">
      <c r="A1243" s="2" t="s">
        <v>2398</v>
      </c>
      <c r="B1243" s="3">
        <v>42480</v>
      </c>
      <c r="C1243" s="3">
        <v>42486</v>
      </c>
      <c r="D1243" s="2" t="s">
        <v>55</v>
      </c>
      <c r="E1243" s="2" t="s">
        <v>1907</v>
      </c>
      <c r="F1243" s="2" t="s">
        <v>1908</v>
      </c>
      <c r="G1243" s="2" t="s">
        <v>58</v>
      </c>
      <c r="H1243" s="2" t="s">
        <v>25</v>
      </c>
      <c r="I1243" s="2" t="s">
        <v>138</v>
      </c>
      <c r="J1243" s="2" t="s">
        <v>407</v>
      </c>
      <c r="K1243" s="2" t="s">
        <v>28</v>
      </c>
      <c r="L1243" s="2" t="s">
        <v>99</v>
      </c>
      <c r="M1243" s="2" t="s">
        <v>30</v>
      </c>
      <c r="N1243" s="2" t="s">
        <v>42</v>
      </c>
      <c r="O1243" s="2" t="s">
        <v>100</v>
      </c>
      <c r="P1243" s="4">
        <v>163.04519999999999</v>
      </c>
      <c r="Q1243" s="4">
        <v>3</v>
      </c>
      <c r="R1243" s="4">
        <v>7.9896000000000003</v>
      </c>
      <c r="S1243" s="2" t="s">
        <v>65</v>
      </c>
      <c r="T1243" s="2" t="s">
        <v>108</v>
      </c>
    </row>
    <row r="1244" spans="1:20" x14ac:dyDescent="0.25">
      <c r="A1244" s="2" t="s">
        <v>2399</v>
      </c>
      <c r="B1244" s="3">
        <v>42606</v>
      </c>
      <c r="C1244" s="3">
        <v>42606</v>
      </c>
      <c r="D1244" s="2" t="s">
        <v>48</v>
      </c>
      <c r="E1244" s="2" t="s">
        <v>2400</v>
      </c>
      <c r="F1244" s="2" t="s">
        <v>2401</v>
      </c>
      <c r="G1244" s="2" t="s">
        <v>58</v>
      </c>
      <c r="H1244" s="2" t="s">
        <v>25</v>
      </c>
      <c r="I1244" s="2" t="s">
        <v>382</v>
      </c>
      <c r="J1244" s="2" t="s">
        <v>192</v>
      </c>
      <c r="K1244" s="2" t="s">
        <v>82</v>
      </c>
      <c r="L1244" s="2" t="s">
        <v>207</v>
      </c>
      <c r="M1244" s="2" t="s">
        <v>30</v>
      </c>
      <c r="N1244" s="2" t="s">
        <v>31</v>
      </c>
      <c r="O1244" s="2" t="s">
        <v>208</v>
      </c>
      <c r="P1244" s="4">
        <v>21.767700000000001</v>
      </c>
      <c r="Q1244" s="4">
        <v>3</v>
      </c>
      <c r="R1244" s="4">
        <v>8.1084999999999994</v>
      </c>
      <c r="S1244" s="2" t="s">
        <v>121</v>
      </c>
      <c r="T1244" s="2" t="s">
        <v>34</v>
      </c>
    </row>
    <row r="1245" spans="1:20" x14ac:dyDescent="0.25">
      <c r="A1245" s="2" t="s">
        <v>2402</v>
      </c>
      <c r="B1245" s="3">
        <v>41998</v>
      </c>
      <c r="C1245" s="3">
        <v>42005</v>
      </c>
      <c r="D1245" s="2" t="s">
        <v>55</v>
      </c>
      <c r="E1245" s="2" t="s">
        <v>920</v>
      </c>
      <c r="F1245" s="2" t="s">
        <v>921</v>
      </c>
      <c r="G1245" s="2" t="s">
        <v>58</v>
      </c>
      <c r="H1245" s="2" t="s">
        <v>25</v>
      </c>
      <c r="I1245" s="2" t="s">
        <v>1300</v>
      </c>
      <c r="J1245" s="2" t="s">
        <v>60</v>
      </c>
      <c r="K1245" s="2" t="s">
        <v>61</v>
      </c>
      <c r="L1245" s="2" t="s">
        <v>66</v>
      </c>
      <c r="M1245" s="2" t="s">
        <v>30</v>
      </c>
      <c r="N1245" s="2" t="s">
        <v>31</v>
      </c>
      <c r="O1245" s="2" t="s">
        <v>67</v>
      </c>
      <c r="P1245" s="4">
        <v>26.158899999999999</v>
      </c>
      <c r="Q1245" s="4">
        <v>3</v>
      </c>
      <c r="R1245" s="4">
        <v>19.401</v>
      </c>
      <c r="S1245" s="2" t="s">
        <v>107</v>
      </c>
      <c r="T1245" s="2" t="s">
        <v>76</v>
      </c>
    </row>
    <row r="1246" spans="1:20" x14ac:dyDescent="0.25">
      <c r="A1246" s="2" t="s">
        <v>2403</v>
      </c>
      <c r="B1246" s="3">
        <v>42135</v>
      </c>
      <c r="C1246" s="3">
        <v>42135</v>
      </c>
      <c r="D1246" s="2" t="s">
        <v>48</v>
      </c>
      <c r="E1246" s="2" t="s">
        <v>875</v>
      </c>
      <c r="F1246" s="2" t="s">
        <v>876</v>
      </c>
      <c r="G1246" s="2" t="s">
        <v>58</v>
      </c>
      <c r="H1246" s="2" t="s">
        <v>25</v>
      </c>
      <c r="I1246" s="2" t="s">
        <v>274</v>
      </c>
      <c r="J1246" s="2" t="s">
        <v>146</v>
      </c>
      <c r="K1246" s="2" t="s">
        <v>147</v>
      </c>
      <c r="L1246" s="2" t="s">
        <v>252</v>
      </c>
      <c r="M1246" s="2" t="s">
        <v>30</v>
      </c>
      <c r="N1246" s="2" t="s">
        <v>31</v>
      </c>
      <c r="O1246" s="2" t="s">
        <v>253</v>
      </c>
      <c r="P1246" s="4">
        <v>488.6277</v>
      </c>
      <c r="Q1246" s="4">
        <v>3</v>
      </c>
      <c r="R1246" s="4">
        <v>-51.772300000000001</v>
      </c>
      <c r="S1246" s="2" t="s">
        <v>121</v>
      </c>
      <c r="T1246" s="2" t="s">
        <v>122</v>
      </c>
    </row>
    <row r="1247" spans="1:20" x14ac:dyDescent="0.25">
      <c r="A1247" s="2" t="s">
        <v>2404</v>
      </c>
      <c r="B1247" s="3">
        <v>41654</v>
      </c>
      <c r="C1247" s="3">
        <v>41656</v>
      </c>
      <c r="D1247" s="2" t="s">
        <v>21</v>
      </c>
      <c r="E1247" s="2" t="s">
        <v>2075</v>
      </c>
      <c r="F1247" s="2" t="s">
        <v>2076</v>
      </c>
      <c r="G1247" s="2" t="s">
        <v>38</v>
      </c>
      <c r="H1247" s="2" t="s">
        <v>25</v>
      </c>
      <c r="I1247" s="2" t="s">
        <v>198</v>
      </c>
      <c r="J1247" s="2" t="s">
        <v>199</v>
      </c>
      <c r="K1247" s="2" t="s">
        <v>82</v>
      </c>
      <c r="L1247" s="2" t="s">
        <v>254</v>
      </c>
      <c r="M1247" s="2" t="s">
        <v>30</v>
      </c>
      <c r="N1247" s="2" t="s">
        <v>162</v>
      </c>
      <c r="O1247" s="2" t="s">
        <v>255</v>
      </c>
      <c r="P1247" s="4">
        <v>389.51530000000002</v>
      </c>
      <c r="Q1247" s="4">
        <v>2</v>
      </c>
      <c r="R1247" s="4">
        <v>18.386700000000001</v>
      </c>
      <c r="S1247" s="2" t="s">
        <v>53</v>
      </c>
      <c r="T1247" s="2" t="s">
        <v>115</v>
      </c>
    </row>
    <row r="1248" spans="1:20" x14ac:dyDescent="0.25">
      <c r="A1248" s="2" t="s">
        <v>2404</v>
      </c>
      <c r="B1248" s="3">
        <v>41654</v>
      </c>
      <c r="C1248" s="3">
        <v>41656</v>
      </c>
      <c r="D1248" s="2" t="s">
        <v>21</v>
      </c>
      <c r="E1248" s="2" t="s">
        <v>2075</v>
      </c>
      <c r="F1248" s="2" t="s">
        <v>2076</v>
      </c>
      <c r="G1248" s="2" t="s">
        <v>38</v>
      </c>
      <c r="H1248" s="2" t="s">
        <v>25</v>
      </c>
      <c r="I1248" s="2" t="s">
        <v>198</v>
      </c>
      <c r="J1248" s="2" t="s">
        <v>199</v>
      </c>
      <c r="K1248" s="2" t="s">
        <v>82</v>
      </c>
      <c r="L1248" s="2" t="s">
        <v>235</v>
      </c>
      <c r="M1248" s="2" t="s">
        <v>30</v>
      </c>
      <c r="N1248" s="2" t="s">
        <v>31</v>
      </c>
      <c r="O1248" s="2" t="s">
        <v>236</v>
      </c>
      <c r="P1248" s="4">
        <v>25.126999999999999</v>
      </c>
      <c r="Q1248" s="4">
        <v>4</v>
      </c>
      <c r="R1248" s="4">
        <v>-2.5527000000000002</v>
      </c>
      <c r="S1248" s="2" t="s">
        <v>53</v>
      </c>
      <c r="T1248" s="2" t="s">
        <v>115</v>
      </c>
    </row>
    <row r="1249" spans="1:20" x14ac:dyDescent="0.25">
      <c r="A1249" s="2" t="s">
        <v>2405</v>
      </c>
      <c r="B1249" s="3">
        <v>42733</v>
      </c>
      <c r="C1249" s="3">
        <v>42735</v>
      </c>
      <c r="D1249" s="2" t="s">
        <v>48</v>
      </c>
      <c r="E1249" s="2" t="s">
        <v>2406</v>
      </c>
      <c r="F1249" s="2" t="s">
        <v>2407</v>
      </c>
      <c r="G1249" s="2" t="s">
        <v>58</v>
      </c>
      <c r="H1249" s="2" t="s">
        <v>25</v>
      </c>
      <c r="I1249" s="2" t="s">
        <v>259</v>
      </c>
      <c r="J1249" s="2" t="s">
        <v>260</v>
      </c>
      <c r="K1249" s="2" t="s">
        <v>147</v>
      </c>
      <c r="L1249" s="2" t="s">
        <v>154</v>
      </c>
      <c r="M1249" s="2" t="s">
        <v>30</v>
      </c>
      <c r="N1249" s="2" t="s">
        <v>42</v>
      </c>
      <c r="O1249" s="2" t="s">
        <v>155</v>
      </c>
      <c r="P1249" s="4">
        <v>209.92230000000001</v>
      </c>
      <c r="Q1249" s="4">
        <v>5</v>
      </c>
      <c r="R1249" s="4">
        <v>61.279899999999998</v>
      </c>
      <c r="S1249" s="2" t="s">
        <v>53</v>
      </c>
      <c r="T1249" s="2" t="s">
        <v>76</v>
      </c>
    </row>
    <row r="1250" spans="1:20" x14ac:dyDescent="0.25">
      <c r="A1250" s="2" t="s">
        <v>2408</v>
      </c>
      <c r="B1250" s="3">
        <v>42687</v>
      </c>
      <c r="C1250" s="3">
        <v>42691</v>
      </c>
      <c r="D1250" s="2" t="s">
        <v>21</v>
      </c>
      <c r="E1250" s="2" t="s">
        <v>2085</v>
      </c>
      <c r="F1250" s="2" t="s">
        <v>2086</v>
      </c>
      <c r="G1250" s="2" t="s">
        <v>38</v>
      </c>
      <c r="H1250" s="2" t="s">
        <v>25</v>
      </c>
      <c r="I1250" s="2" t="s">
        <v>343</v>
      </c>
      <c r="J1250" s="2" t="s">
        <v>153</v>
      </c>
      <c r="K1250" s="2" t="s">
        <v>147</v>
      </c>
      <c r="L1250" s="2" t="s">
        <v>316</v>
      </c>
      <c r="M1250" s="2" t="s">
        <v>30</v>
      </c>
      <c r="N1250" s="2" t="s">
        <v>42</v>
      </c>
      <c r="O1250" s="2" t="s">
        <v>317</v>
      </c>
      <c r="P1250" s="4">
        <v>162.4211</v>
      </c>
      <c r="Q1250" s="4">
        <v>4</v>
      </c>
      <c r="R1250" s="4">
        <v>58.027299999999997</v>
      </c>
      <c r="S1250" s="2" t="s">
        <v>75</v>
      </c>
      <c r="T1250" s="2" t="s">
        <v>93</v>
      </c>
    </row>
    <row r="1251" spans="1:20" x14ac:dyDescent="0.25">
      <c r="A1251" s="2" t="s">
        <v>2409</v>
      </c>
      <c r="B1251" s="3">
        <v>42390</v>
      </c>
      <c r="C1251" s="3">
        <v>42391</v>
      </c>
      <c r="D1251" s="2" t="s">
        <v>55</v>
      </c>
      <c r="E1251" s="2" t="s">
        <v>2260</v>
      </c>
      <c r="F1251" s="2" t="s">
        <v>2261</v>
      </c>
      <c r="G1251" s="2" t="s">
        <v>58</v>
      </c>
      <c r="H1251" s="2" t="s">
        <v>25</v>
      </c>
      <c r="I1251" s="2" t="s">
        <v>167</v>
      </c>
      <c r="J1251" s="2" t="s">
        <v>168</v>
      </c>
      <c r="K1251" s="2" t="s">
        <v>28</v>
      </c>
      <c r="L1251" s="2" t="s">
        <v>66</v>
      </c>
      <c r="M1251" s="2" t="s">
        <v>30</v>
      </c>
      <c r="N1251" s="2" t="s">
        <v>31</v>
      </c>
      <c r="O1251" s="2" t="s">
        <v>67</v>
      </c>
      <c r="P1251" s="4">
        <v>14.119400000000001</v>
      </c>
      <c r="Q1251" s="4">
        <v>3</v>
      </c>
      <c r="R1251" s="4">
        <v>0.29260000000000003</v>
      </c>
      <c r="S1251" s="2" t="s">
        <v>33</v>
      </c>
      <c r="T1251" s="2" t="s">
        <v>115</v>
      </c>
    </row>
    <row r="1252" spans="1:20" x14ac:dyDescent="0.25">
      <c r="A1252" s="2" t="s">
        <v>2410</v>
      </c>
      <c r="B1252" s="3">
        <v>43092</v>
      </c>
      <c r="C1252" s="3">
        <v>43099</v>
      </c>
      <c r="D1252" s="2" t="s">
        <v>55</v>
      </c>
      <c r="E1252" s="2" t="s">
        <v>2411</v>
      </c>
      <c r="F1252" s="2" t="s">
        <v>2412</v>
      </c>
      <c r="G1252" s="2" t="s">
        <v>38</v>
      </c>
      <c r="H1252" s="2" t="s">
        <v>25</v>
      </c>
      <c r="I1252" s="2" t="s">
        <v>969</v>
      </c>
      <c r="J1252" s="2" t="s">
        <v>387</v>
      </c>
      <c r="K1252" s="2" t="s">
        <v>61</v>
      </c>
      <c r="L1252" s="2" t="s">
        <v>29</v>
      </c>
      <c r="M1252" s="2" t="s">
        <v>30</v>
      </c>
      <c r="N1252" s="2" t="s">
        <v>31</v>
      </c>
      <c r="O1252" s="2" t="s">
        <v>32</v>
      </c>
      <c r="P1252" s="4">
        <v>69.854299999999995</v>
      </c>
      <c r="Q1252" s="4">
        <v>6</v>
      </c>
      <c r="R1252" s="4">
        <v>10.4758</v>
      </c>
      <c r="S1252" s="2" t="s">
        <v>107</v>
      </c>
      <c r="T1252" s="2" t="s">
        <v>76</v>
      </c>
    </row>
    <row r="1253" spans="1:20" x14ac:dyDescent="0.25">
      <c r="A1253" s="2" t="s">
        <v>2413</v>
      </c>
      <c r="B1253" s="3">
        <v>41713</v>
      </c>
      <c r="C1253" s="3">
        <v>41717</v>
      </c>
      <c r="D1253" s="2" t="s">
        <v>55</v>
      </c>
      <c r="E1253" s="2" t="s">
        <v>564</v>
      </c>
      <c r="F1253" s="2" t="s">
        <v>565</v>
      </c>
      <c r="G1253" s="2" t="s">
        <v>38</v>
      </c>
      <c r="H1253" s="2" t="s">
        <v>25</v>
      </c>
      <c r="I1253" s="2" t="s">
        <v>398</v>
      </c>
      <c r="J1253" s="2" t="s">
        <v>251</v>
      </c>
      <c r="K1253" s="2" t="s">
        <v>147</v>
      </c>
      <c r="L1253" s="2" t="s">
        <v>29</v>
      </c>
      <c r="M1253" s="2" t="s">
        <v>30</v>
      </c>
      <c r="N1253" s="2" t="s">
        <v>31</v>
      </c>
      <c r="O1253" s="2" t="s">
        <v>32</v>
      </c>
      <c r="P1253" s="4">
        <v>106.2709</v>
      </c>
      <c r="Q1253" s="4">
        <v>3</v>
      </c>
      <c r="R1253" s="4">
        <v>49.475499999999997</v>
      </c>
      <c r="S1253" s="2" t="s">
        <v>75</v>
      </c>
      <c r="T1253" s="2" t="s">
        <v>44</v>
      </c>
    </row>
    <row r="1254" spans="1:20" x14ac:dyDescent="0.25">
      <c r="A1254" s="2" t="s">
        <v>2414</v>
      </c>
      <c r="B1254" s="3">
        <v>42938</v>
      </c>
      <c r="C1254" s="3">
        <v>42942</v>
      </c>
      <c r="D1254" s="2" t="s">
        <v>55</v>
      </c>
      <c r="E1254" s="2" t="s">
        <v>1614</v>
      </c>
      <c r="F1254" s="2" t="s">
        <v>1615</v>
      </c>
      <c r="G1254" s="2" t="s">
        <v>38</v>
      </c>
      <c r="H1254" s="2" t="s">
        <v>25</v>
      </c>
      <c r="I1254" s="2" t="s">
        <v>1184</v>
      </c>
      <c r="J1254" s="2" t="s">
        <v>435</v>
      </c>
      <c r="K1254" s="2" t="s">
        <v>61</v>
      </c>
      <c r="L1254" s="2" t="s">
        <v>228</v>
      </c>
      <c r="M1254" s="2" t="s">
        <v>30</v>
      </c>
      <c r="N1254" s="2" t="s">
        <v>42</v>
      </c>
      <c r="O1254" s="2" t="s">
        <v>229</v>
      </c>
      <c r="P1254" s="4">
        <v>279.94310000000002</v>
      </c>
      <c r="Q1254" s="4">
        <v>2</v>
      </c>
      <c r="R1254" s="4">
        <v>-2.9575999999999998</v>
      </c>
      <c r="S1254" s="2" t="s">
        <v>75</v>
      </c>
      <c r="T1254" s="2" t="s">
        <v>86</v>
      </c>
    </row>
    <row r="1255" spans="1:20" x14ac:dyDescent="0.25">
      <c r="A1255" s="2" t="s">
        <v>2414</v>
      </c>
      <c r="B1255" s="3">
        <v>42938</v>
      </c>
      <c r="C1255" s="3">
        <v>42942</v>
      </c>
      <c r="D1255" s="2" t="s">
        <v>55</v>
      </c>
      <c r="E1255" s="2" t="s">
        <v>1614</v>
      </c>
      <c r="F1255" s="2" t="s">
        <v>1615</v>
      </c>
      <c r="G1255" s="2" t="s">
        <v>38</v>
      </c>
      <c r="H1255" s="2" t="s">
        <v>25</v>
      </c>
      <c r="I1255" s="2" t="s">
        <v>1184</v>
      </c>
      <c r="J1255" s="2" t="s">
        <v>435</v>
      </c>
      <c r="K1255" s="2" t="s">
        <v>61</v>
      </c>
      <c r="L1255" s="2" t="s">
        <v>1476</v>
      </c>
      <c r="M1255" s="2" t="s">
        <v>30</v>
      </c>
      <c r="N1255" s="2" t="s">
        <v>63</v>
      </c>
      <c r="O1255" s="2" t="s">
        <v>1477</v>
      </c>
      <c r="P1255" s="4">
        <v>977.83500000000004</v>
      </c>
      <c r="Q1255" s="4">
        <v>3</v>
      </c>
      <c r="R1255" s="4">
        <v>-684.10379999999998</v>
      </c>
      <c r="S1255" s="2" t="s">
        <v>75</v>
      </c>
      <c r="T1255" s="2" t="s">
        <v>86</v>
      </c>
    </row>
    <row r="1256" spans="1:20" x14ac:dyDescent="0.25">
      <c r="A1256" s="2" t="s">
        <v>2415</v>
      </c>
      <c r="B1256" s="3">
        <v>42834</v>
      </c>
      <c r="C1256" s="3">
        <v>42840</v>
      </c>
      <c r="D1256" s="2" t="s">
        <v>55</v>
      </c>
      <c r="E1256" s="2" t="s">
        <v>564</v>
      </c>
      <c r="F1256" s="2" t="s">
        <v>565</v>
      </c>
      <c r="G1256" s="2" t="s">
        <v>38</v>
      </c>
      <c r="H1256" s="2" t="s">
        <v>25</v>
      </c>
      <c r="I1256" s="2" t="s">
        <v>243</v>
      </c>
      <c r="J1256" s="2" t="s">
        <v>244</v>
      </c>
      <c r="K1256" s="2" t="s">
        <v>61</v>
      </c>
      <c r="L1256" s="2" t="s">
        <v>186</v>
      </c>
      <c r="M1256" s="2" t="s">
        <v>30</v>
      </c>
      <c r="N1256" s="2" t="s">
        <v>31</v>
      </c>
      <c r="O1256" s="2" t="s">
        <v>187</v>
      </c>
      <c r="P1256" s="4">
        <v>116.77209999999999</v>
      </c>
      <c r="Q1256" s="4">
        <v>2</v>
      </c>
      <c r="R1256" s="4">
        <v>-9.1059999999999999</v>
      </c>
      <c r="S1256" s="2" t="s">
        <v>65</v>
      </c>
      <c r="T1256" s="2" t="s">
        <v>108</v>
      </c>
    </row>
    <row r="1257" spans="1:20" x14ac:dyDescent="0.25">
      <c r="A1257" s="2" t="s">
        <v>2416</v>
      </c>
      <c r="B1257" s="3">
        <v>42958</v>
      </c>
      <c r="C1257" s="3">
        <v>42965</v>
      </c>
      <c r="D1257" s="2" t="s">
        <v>55</v>
      </c>
      <c r="E1257" s="2" t="s">
        <v>704</v>
      </c>
      <c r="F1257" s="2" t="s">
        <v>705</v>
      </c>
      <c r="G1257" s="2" t="s">
        <v>24</v>
      </c>
      <c r="H1257" s="2" t="s">
        <v>25</v>
      </c>
      <c r="I1257" s="2" t="s">
        <v>26</v>
      </c>
      <c r="J1257" s="2" t="s">
        <v>91</v>
      </c>
      <c r="K1257" s="2" t="s">
        <v>61</v>
      </c>
      <c r="L1257" s="2" t="s">
        <v>66</v>
      </c>
      <c r="M1257" s="2" t="s">
        <v>30</v>
      </c>
      <c r="N1257" s="2" t="s">
        <v>31</v>
      </c>
      <c r="O1257" s="2" t="s">
        <v>67</v>
      </c>
      <c r="P1257" s="4">
        <v>37.031599999999997</v>
      </c>
      <c r="Q1257" s="4">
        <v>2</v>
      </c>
      <c r="R1257" s="4">
        <v>-0.52500000000000002</v>
      </c>
      <c r="S1257" s="2" t="s">
        <v>107</v>
      </c>
      <c r="T1257" s="2" t="s">
        <v>34</v>
      </c>
    </row>
    <row r="1258" spans="1:20" x14ac:dyDescent="0.25">
      <c r="A1258" s="2" t="s">
        <v>2417</v>
      </c>
      <c r="B1258" s="3">
        <v>41999</v>
      </c>
      <c r="C1258" s="3">
        <v>42002</v>
      </c>
      <c r="D1258" s="2" t="s">
        <v>55</v>
      </c>
      <c r="E1258" s="2" t="s">
        <v>2418</v>
      </c>
      <c r="F1258" s="2" t="s">
        <v>2419</v>
      </c>
      <c r="G1258" s="2" t="s">
        <v>58</v>
      </c>
      <c r="H1258" s="2" t="s">
        <v>25</v>
      </c>
      <c r="I1258" s="2" t="s">
        <v>462</v>
      </c>
      <c r="J1258" s="2" t="s">
        <v>351</v>
      </c>
      <c r="K1258" s="2" t="s">
        <v>147</v>
      </c>
      <c r="L1258" s="2" t="s">
        <v>218</v>
      </c>
      <c r="M1258" s="2" t="s">
        <v>30</v>
      </c>
      <c r="N1258" s="2" t="s">
        <v>31</v>
      </c>
      <c r="O1258" s="2" t="s">
        <v>219</v>
      </c>
      <c r="P1258" s="4">
        <v>89.125399999999999</v>
      </c>
      <c r="Q1258" s="4">
        <v>1</v>
      </c>
      <c r="R1258" s="4">
        <v>-7.4215</v>
      </c>
      <c r="S1258" s="2" t="s">
        <v>92</v>
      </c>
      <c r="T1258" s="2" t="s">
        <v>76</v>
      </c>
    </row>
    <row r="1259" spans="1:20" x14ac:dyDescent="0.25">
      <c r="A1259" s="2" t="s">
        <v>2420</v>
      </c>
      <c r="B1259" s="3">
        <v>41884</v>
      </c>
      <c r="C1259" s="3">
        <v>41886</v>
      </c>
      <c r="D1259" s="2" t="s">
        <v>48</v>
      </c>
      <c r="E1259" s="2" t="s">
        <v>480</v>
      </c>
      <c r="F1259" s="2" t="s">
        <v>481</v>
      </c>
      <c r="G1259" s="2" t="s">
        <v>58</v>
      </c>
      <c r="H1259" s="2" t="s">
        <v>25</v>
      </c>
      <c r="I1259" s="2" t="s">
        <v>355</v>
      </c>
      <c r="J1259" s="2" t="s">
        <v>356</v>
      </c>
      <c r="K1259" s="2" t="s">
        <v>147</v>
      </c>
      <c r="L1259" s="2" t="s">
        <v>45</v>
      </c>
      <c r="M1259" s="2" t="s">
        <v>30</v>
      </c>
      <c r="N1259" s="2" t="s">
        <v>31</v>
      </c>
      <c r="O1259" s="2" t="s">
        <v>46</v>
      </c>
      <c r="P1259" s="4">
        <v>5.4592999999999998</v>
      </c>
      <c r="Q1259" s="4">
        <v>3</v>
      </c>
      <c r="R1259" s="4">
        <v>1.3918999999999999</v>
      </c>
      <c r="S1259" s="2" t="s">
        <v>53</v>
      </c>
      <c r="T1259" s="2" t="s">
        <v>148</v>
      </c>
    </row>
    <row r="1260" spans="1:20" x14ac:dyDescent="0.25">
      <c r="A1260" s="2" t="s">
        <v>2421</v>
      </c>
      <c r="B1260" s="3">
        <v>42922</v>
      </c>
      <c r="C1260" s="3">
        <v>42924</v>
      </c>
      <c r="D1260" s="2" t="s">
        <v>48</v>
      </c>
      <c r="E1260" s="2" t="s">
        <v>2422</v>
      </c>
      <c r="F1260" s="2" t="s">
        <v>2423</v>
      </c>
      <c r="G1260" s="2" t="s">
        <v>58</v>
      </c>
      <c r="H1260" s="2" t="s">
        <v>25</v>
      </c>
      <c r="I1260" s="2" t="s">
        <v>539</v>
      </c>
      <c r="J1260" s="2" t="s">
        <v>91</v>
      </c>
      <c r="K1260" s="2" t="s">
        <v>61</v>
      </c>
      <c r="L1260" s="2" t="s">
        <v>174</v>
      </c>
      <c r="M1260" s="2" t="s">
        <v>30</v>
      </c>
      <c r="N1260" s="2" t="s">
        <v>31</v>
      </c>
      <c r="O1260" s="2" t="s">
        <v>175</v>
      </c>
      <c r="P1260" s="4">
        <v>38.992899999999999</v>
      </c>
      <c r="Q1260" s="4">
        <v>1</v>
      </c>
      <c r="R1260" s="4">
        <v>13.283899999999999</v>
      </c>
      <c r="S1260" s="2" t="s">
        <v>53</v>
      </c>
      <c r="T1260" s="2" t="s">
        <v>86</v>
      </c>
    </row>
    <row r="1261" spans="1:20" x14ac:dyDescent="0.25">
      <c r="A1261" s="2" t="s">
        <v>2421</v>
      </c>
      <c r="B1261" s="3">
        <v>42922</v>
      </c>
      <c r="C1261" s="3">
        <v>42924</v>
      </c>
      <c r="D1261" s="2" t="s">
        <v>48</v>
      </c>
      <c r="E1261" s="2" t="s">
        <v>2422</v>
      </c>
      <c r="F1261" s="2" t="s">
        <v>2423</v>
      </c>
      <c r="G1261" s="2" t="s">
        <v>58</v>
      </c>
      <c r="H1261" s="2" t="s">
        <v>25</v>
      </c>
      <c r="I1261" s="2" t="s">
        <v>539</v>
      </c>
      <c r="J1261" s="2" t="s">
        <v>91</v>
      </c>
      <c r="K1261" s="2" t="s">
        <v>61</v>
      </c>
      <c r="L1261" s="2" t="s">
        <v>820</v>
      </c>
      <c r="M1261" s="2" t="s">
        <v>30</v>
      </c>
      <c r="N1261" s="2" t="s">
        <v>162</v>
      </c>
      <c r="O1261" s="2" t="s">
        <v>821</v>
      </c>
      <c r="P1261" s="4">
        <v>223.27520000000001</v>
      </c>
      <c r="Q1261" s="4">
        <v>3</v>
      </c>
      <c r="R1261" s="4">
        <v>-44.734299999999998</v>
      </c>
      <c r="S1261" s="2" t="s">
        <v>53</v>
      </c>
      <c r="T1261" s="2" t="s">
        <v>86</v>
      </c>
    </row>
    <row r="1262" spans="1:20" x14ac:dyDescent="0.25">
      <c r="A1262" s="2" t="s">
        <v>2424</v>
      </c>
      <c r="B1262" s="3">
        <v>42147</v>
      </c>
      <c r="C1262" s="3">
        <v>42154</v>
      </c>
      <c r="D1262" s="2" t="s">
        <v>55</v>
      </c>
      <c r="E1262" s="2" t="s">
        <v>36</v>
      </c>
      <c r="F1262" s="2" t="s">
        <v>37</v>
      </c>
      <c r="G1262" s="2" t="s">
        <v>38</v>
      </c>
      <c r="H1262" s="2" t="s">
        <v>25</v>
      </c>
      <c r="I1262" s="2" t="s">
        <v>474</v>
      </c>
      <c r="J1262" s="2" t="s">
        <v>475</v>
      </c>
      <c r="K1262" s="2" t="s">
        <v>28</v>
      </c>
      <c r="L1262" s="2" t="s">
        <v>131</v>
      </c>
      <c r="M1262" s="2" t="s">
        <v>30</v>
      </c>
      <c r="N1262" s="2" t="s">
        <v>31</v>
      </c>
      <c r="O1262" s="2" t="s">
        <v>132</v>
      </c>
      <c r="P1262" s="4">
        <v>120.10939999999999</v>
      </c>
      <c r="Q1262" s="4">
        <v>1</v>
      </c>
      <c r="R1262" s="4">
        <v>4.2595000000000001</v>
      </c>
      <c r="S1262" s="2" t="s">
        <v>107</v>
      </c>
      <c r="T1262" s="2" t="s">
        <v>122</v>
      </c>
    </row>
    <row r="1263" spans="1:20" x14ac:dyDescent="0.25">
      <c r="A1263" s="2" t="s">
        <v>2425</v>
      </c>
      <c r="B1263" s="3">
        <v>42770</v>
      </c>
      <c r="C1263" s="3">
        <v>42773</v>
      </c>
      <c r="D1263" s="2" t="s">
        <v>55</v>
      </c>
      <c r="E1263" s="2" t="s">
        <v>456</v>
      </c>
      <c r="F1263" s="2" t="s">
        <v>457</v>
      </c>
      <c r="G1263" s="2" t="s">
        <v>38</v>
      </c>
      <c r="H1263" s="2" t="s">
        <v>25</v>
      </c>
      <c r="I1263" s="2" t="s">
        <v>343</v>
      </c>
      <c r="J1263" s="2" t="s">
        <v>153</v>
      </c>
      <c r="K1263" s="2" t="s">
        <v>147</v>
      </c>
      <c r="L1263" s="2" t="s">
        <v>66</v>
      </c>
      <c r="M1263" s="2" t="s">
        <v>30</v>
      </c>
      <c r="N1263" s="2" t="s">
        <v>31</v>
      </c>
      <c r="O1263" s="2" t="s">
        <v>67</v>
      </c>
      <c r="P1263" s="4">
        <v>82.374600000000001</v>
      </c>
      <c r="Q1263" s="4">
        <v>3</v>
      </c>
      <c r="R1263" s="4">
        <v>33.127600000000001</v>
      </c>
      <c r="S1263" s="2" t="s">
        <v>92</v>
      </c>
      <c r="T1263" s="2" t="s">
        <v>101</v>
      </c>
    </row>
    <row r="1264" spans="1:20" x14ac:dyDescent="0.25">
      <c r="A1264" s="2" t="s">
        <v>2426</v>
      </c>
      <c r="B1264" s="3">
        <v>42590</v>
      </c>
      <c r="C1264" s="3">
        <v>42597</v>
      </c>
      <c r="D1264" s="2" t="s">
        <v>55</v>
      </c>
      <c r="E1264" s="2" t="s">
        <v>831</v>
      </c>
      <c r="F1264" s="2" t="s">
        <v>832</v>
      </c>
      <c r="G1264" s="2" t="s">
        <v>24</v>
      </c>
      <c r="H1264" s="2" t="s">
        <v>25</v>
      </c>
      <c r="I1264" s="2" t="s">
        <v>805</v>
      </c>
      <c r="J1264" s="2" t="s">
        <v>351</v>
      </c>
      <c r="K1264" s="2" t="s">
        <v>147</v>
      </c>
      <c r="L1264" s="2" t="s">
        <v>1476</v>
      </c>
      <c r="M1264" s="2" t="s">
        <v>30</v>
      </c>
      <c r="N1264" s="2" t="s">
        <v>63</v>
      </c>
      <c r="O1264" s="2" t="s">
        <v>1477</v>
      </c>
      <c r="P1264" s="4">
        <v>576.82619999999997</v>
      </c>
      <c r="Q1264" s="4">
        <v>3</v>
      </c>
      <c r="R1264" s="4">
        <v>-22.621300000000002</v>
      </c>
      <c r="S1264" s="2" t="s">
        <v>107</v>
      </c>
      <c r="T1264" s="2" t="s">
        <v>34</v>
      </c>
    </row>
    <row r="1265" spans="1:20" x14ac:dyDescent="0.25">
      <c r="A1265" s="2" t="s">
        <v>2427</v>
      </c>
      <c r="B1265" s="3">
        <v>41844</v>
      </c>
      <c r="C1265" s="3">
        <v>41844</v>
      </c>
      <c r="D1265" s="2" t="s">
        <v>48</v>
      </c>
      <c r="E1265" s="2" t="s">
        <v>2428</v>
      </c>
      <c r="F1265" s="2" t="s">
        <v>2429</v>
      </c>
      <c r="G1265" s="2" t="s">
        <v>58</v>
      </c>
      <c r="H1265" s="2" t="s">
        <v>25</v>
      </c>
      <c r="I1265" s="2" t="s">
        <v>274</v>
      </c>
      <c r="J1265" s="2" t="s">
        <v>146</v>
      </c>
      <c r="K1265" s="2" t="s">
        <v>147</v>
      </c>
      <c r="L1265" s="2" t="s">
        <v>161</v>
      </c>
      <c r="M1265" s="2" t="s">
        <v>30</v>
      </c>
      <c r="N1265" s="2" t="s">
        <v>162</v>
      </c>
      <c r="O1265" s="2" t="s">
        <v>163</v>
      </c>
      <c r="P1265" s="4">
        <v>162.27330000000001</v>
      </c>
      <c r="Q1265" s="4">
        <v>5</v>
      </c>
      <c r="R1265" s="4">
        <v>-24.926600000000001</v>
      </c>
      <c r="S1265" s="2" t="s">
        <v>121</v>
      </c>
      <c r="T1265" s="2" t="s">
        <v>86</v>
      </c>
    </row>
    <row r="1266" spans="1:20" x14ac:dyDescent="0.25">
      <c r="A1266" s="2" t="s">
        <v>2430</v>
      </c>
      <c r="B1266" s="3">
        <v>42038</v>
      </c>
      <c r="C1266" s="3">
        <v>42040</v>
      </c>
      <c r="D1266" s="2" t="s">
        <v>55</v>
      </c>
      <c r="E1266" s="2" t="s">
        <v>801</v>
      </c>
      <c r="F1266" s="2" t="s">
        <v>802</v>
      </c>
      <c r="G1266" s="2" t="s">
        <v>58</v>
      </c>
      <c r="H1266" s="2" t="s">
        <v>25</v>
      </c>
      <c r="I1266" s="2" t="s">
        <v>445</v>
      </c>
      <c r="J1266" s="2" t="s">
        <v>138</v>
      </c>
      <c r="K1266" s="2" t="s">
        <v>82</v>
      </c>
      <c r="L1266" s="2" t="s">
        <v>169</v>
      </c>
      <c r="M1266" s="2" t="s">
        <v>30</v>
      </c>
      <c r="N1266" s="2" t="s">
        <v>162</v>
      </c>
      <c r="O1266" s="2" t="s">
        <v>170</v>
      </c>
      <c r="P1266" s="4">
        <v>986.42809999999997</v>
      </c>
      <c r="Q1266" s="4">
        <v>2</v>
      </c>
      <c r="R1266" s="4">
        <v>-211.72659999999999</v>
      </c>
      <c r="S1266" s="2" t="s">
        <v>53</v>
      </c>
      <c r="T1266" s="2" t="s">
        <v>101</v>
      </c>
    </row>
    <row r="1267" spans="1:20" x14ac:dyDescent="0.25">
      <c r="A1267" s="2" t="s">
        <v>2431</v>
      </c>
      <c r="B1267" s="3">
        <v>42961</v>
      </c>
      <c r="C1267" s="3">
        <v>42965</v>
      </c>
      <c r="D1267" s="2" t="s">
        <v>21</v>
      </c>
      <c r="E1267" s="2" t="s">
        <v>939</v>
      </c>
      <c r="F1267" s="2" t="s">
        <v>940</v>
      </c>
      <c r="G1267" s="2" t="s">
        <v>24</v>
      </c>
      <c r="H1267" s="2" t="s">
        <v>25</v>
      </c>
      <c r="I1267" s="2" t="s">
        <v>773</v>
      </c>
      <c r="J1267" s="2" t="s">
        <v>322</v>
      </c>
      <c r="K1267" s="2" t="s">
        <v>28</v>
      </c>
      <c r="L1267" s="2" t="s">
        <v>677</v>
      </c>
      <c r="M1267" s="2" t="s">
        <v>30</v>
      </c>
      <c r="N1267" s="2" t="s">
        <v>162</v>
      </c>
      <c r="O1267" s="2" t="s">
        <v>678</v>
      </c>
      <c r="P1267" s="4">
        <v>528.70590000000004</v>
      </c>
      <c r="Q1267" s="4">
        <v>3</v>
      </c>
      <c r="R1267" s="4">
        <v>222.3382</v>
      </c>
      <c r="S1267" s="2" t="s">
        <v>75</v>
      </c>
      <c r="T1267" s="2" t="s">
        <v>34</v>
      </c>
    </row>
    <row r="1268" spans="1:20" x14ac:dyDescent="0.25">
      <c r="A1268" s="2" t="s">
        <v>2432</v>
      </c>
      <c r="B1268" s="3">
        <v>42638</v>
      </c>
      <c r="C1268" s="3">
        <v>42644</v>
      </c>
      <c r="D1268" s="2" t="s">
        <v>55</v>
      </c>
      <c r="E1268" s="2" t="s">
        <v>2234</v>
      </c>
      <c r="F1268" s="2" t="s">
        <v>2235</v>
      </c>
      <c r="G1268" s="2" t="s">
        <v>24</v>
      </c>
      <c r="H1268" s="2" t="s">
        <v>25</v>
      </c>
      <c r="I1268" s="2" t="s">
        <v>97</v>
      </c>
      <c r="J1268" s="2" t="s">
        <v>98</v>
      </c>
      <c r="K1268" s="2" t="s">
        <v>82</v>
      </c>
      <c r="L1268" s="2" t="s">
        <v>618</v>
      </c>
      <c r="M1268" s="2" t="s">
        <v>30</v>
      </c>
      <c r="N1268" s="2" t="s">
        <v>63</v>
      </c>
      <c r="O1268" s="2" t="s">
        <v>619</v>
      </c>
      <c r="P1268" s="4">
        <v>197.26949999999999</v>
      </c>
      <c r="Q1268" s="4">
        <v>2</v>
      </c>
      <c r="R1268" s="4">
        <v>9.7238000000000007</v>
      </c>
      <c r="S1268" s="2" t="s">
        <v>65</v>
      </c>
      <c r="T1268" s="2" t="s">
        <v>148</v>
      </c>
    </row>
    <row r="1269" spans="1:20" x14ac:dyDescent="0.25">
      <c r="A1269" s="2" t="s">
        <v>2433</v>
      </c>
      <c r="B1269" s="3">
        <v>42341</v>
      </c>
      <c r="C1269" s="3">
        <v>42346</v>
      </c>
      <c r="D1269" s="2" t="s">
        <v>55</v>
      </c>
      <c r="E1269" s="2" t="s">
        <v>1066</v>
      </c>
      <c r="F1269" s="2" t="s">
        <v>1067</v>
      </c>
      <c r="G1269" s="2" t="s">
        <v>38</v>
      </c>
      <c r="H1269" s="2" t="s">
        <v>25</v>
      </c>
      <c r="I1269" s="2" t="s">
        <v>760</v>
      </c>
      <c r="J1269" s="2" t="s">
        <v>112</v>
      </c>
      <c r="K1269" s="2" t="s">
        <v>28</v>
      </c>
      <c r="L1269" s="2" t="s">
        <v>161</v>
      </c>
      <c r="M1269" s="2" t="s">
        <v>30</v>
      </c>
      <c r="N1269" s="2" t="s">
        <v>162</v>
      </c>
      <c r="O1269" s="2" t="s">
        <v>163</v>
      </c>
      <c r="P1269" s="4">
        <v>1698.1339</v>
      </c>
      <c r="Q1269" s="4">
        <v>3</v>
      </c>
      <c r="R1269" s="4">
        <v>-655.21619999999996</v>
      </c>
      <c r="S1269" s="2" t="s">
        <v>85</v>
      </c>
      <c r="T1269" s="2" t="s">
        <v>76</v>
      </c>
    </row>
    <row r="1270" spans="1:20" x14ac:dyDescent="0.25">
      <c r="A1270" s="2" t="s">
        <v>2434</v>
      </c>
      <c r="B1270" s="3">
        <v>42254</v>
      </c>
      <c r="C1270" s="3">
        <v>42255</v>
      </c>
      <c r="D1270" s="2" t="s">
        <v>21</v>
      </c>
      <c r="E1270" s="2" t="s">
        <v>2435</v>
      </c>
      <c r="F1270" s="2" t="s">
        <v>2436</v>
      </c>
      <c r="G1270" s="2" t="s">
        <v>38</v>
      </c>
      <c r="H1270" s="2" t="s">
        <v>25</v>
      </c>
      <c r="I1270" s="2" t="s">
        <v>1184</v>
      </c>
      <c r="J1270" s="2" t="s">
        <v>435</v>
      </c>
      <c r="K1270" s="2" t="s">
        <v>61</v>
      </c>
      <c r="L1270" s="2" t="s">
        <v>323</v>
      </c>
      <c r="M1270" s="2" t="s">
        <v>30</v>
      </c>
      <c r="N1270" s="2" t="s">
        <v>31</v>
      </c>
      <c r="O1270" s="2" t="s">
        <v>324</v>
      </c>
      <c r="P1270" s="4">
        <v>188.82640000000001</v>
      </c>
      <c r="Q1270" s="4">
        <v>4</v>
      </c>
      <c r="R1270" s="4">
        <v>-19.205300000000001</v>
      </c>
      <c r="S1270" s="2" t="s">
        <v>33</v>
      </c>
      <c r="T1270" s="2" t="s">
        <v>148</v>
      </c>
    </row>
    <row r="1271" spans="1:20" x14ac:dyDescent="0.25">
      <c r="A1271" s="2" t="s">
        <v>2434</v>
      </c>
      <c r="B1271" s="3">
        <v>42254</v>
      </c>
      <c r="C1271" s="3">
        <v>42255</v>
      </c>
      <c r="D1271" s="2" t="s">
        <v>21</v>
      </c>
      <c r="E1271" s="2" t="s">
        <v>2435</v>
      </c>
      <c r="F1271" s="2" t="s">
        <v>2436</v>
      </c>
      <c r="G1271" s="2" t="s">
        <v>38</v>
      </c>
      <c r="H1271" s="2" t="s">
        <v>25</v>
      </c>
      <c r="I1271" s="2" t="s">
        <v>1184</v>
      </c>
      <c r="J1271" s="2" t="s">
        <v>435</v>
      </c>
      <c r="K1271" s="2" t="s">
        <v>61</v>
      </c>
      <c r="L1271" s="2" t="s">
        <v>453</v>
      </c>
      <c r="M1271" s="2" t="s">
        <v>30</v>
      </c>
      <c r="N1271" s="2" t="s">
        <v>42</v>
      </c>
      <c r="O1271" s="2" t="s">
        <v>454</v>
      </c>
      <c r="P1271" s="4">
        <v>289.8424</v>
      </c>
      <c r="Q1271" s="4">
        <v>4</v>
      </c>
      <c r="R1271" s="4">
        <v>54.229599999999998</v>
      </c>
      <c r="S1271" s="2" t="s">
        <v>33</v>
      </c>
      <c r="T1271" s="2" t="s">
        <v>148</v>
      </c>
    </row>
    <row r="1272" spans="1:20" x14ac:dyDescent="0.25">
      <c r="A1272" s="2" t="s">
        <v>2437</v>
      </c>
      <c r="B1272" s="3">
        <v>42610</v>
      </c>
      <c r="C1272" s="3">
        <v>42614</v>
      </c>
      <c r="D1272" s="2" t="s">
        <v>55</v>
      </c>
      <c r="E1272" s="2" t="s">
        <v>2245</v>
      </c>
      <c r="F1272" s="2" t="s">
        <v>1439</v>
      </c>
      <c r="G1272" s="2" t="s">
        <v>58</v>
      </c>
      <c r="H1272" s="2" t="s">
        <v>25</v>
      </c>
      <c r="I1272" s="2" t="s">
        <v>414</v>
      </c>
      <c r="J1272" s="2" t="s">
        <v>206</v>
      </c>
      <c r="K1272" s="2" t="s">
        <v>61</v>
      </c>
      <c r="L1272" s="2" t="s">
        <v>154</v>
      </c>
      <c r="M1272" s="2" t="s">
        <v>30</v>
      </c>
      <c r="N1272" s="2" t="s">
        <v>42</v>
      </c>
      <c r="O1272" s="2" t="s">
        <v>155</v>
      </c>
      <c r="P1272" s="4">
        <v>39.508400000000002</v>
      </c>
      <c r="Q1272" s="4">
        <v>11</v>
      </c>
      <c r="R1272" s="4">
        <v>4.3764000000000003</v>
      </c>
      <c r="S1272" s="2" t="s">
        <v>75</v>
      </c>
      <c r="T1272" s="2" t="s">
        <v>34</v>
      </c>
    </row>
    <row r="1273" spans="1:20" x14ac:dyDescent="0.25">
      <c r="A1273" s="2" t="s">
        <v>2438</v>
      </c>
      <c r="B1273" s="3">
        <v>42285</v>
      </c>
      <c r="C1273" s="3">
        <v>42288</v>
      </c>
      <c r="D1273" s="2" t="s">
        <v>21</v>
      </c>
      <c r="E1273" s="2" t="s">
        <v>1335</v>
      </c>
      <c r="F1273" s="2" t="s">
        <v>1336</v>
      </c>
      <c r="G1273" s="2" t="s">
        <v>58</v>
      </c>
      <c r="H1273" s="2" t="s">
        <v>25</v>
      </c>
      <c r="I1273" s="2" t="s">
        <v>198</v>
      </c>
      <c r="J1273" s="2" t="s">
        <v>199</v>
      </c>
      <c r="K1273" s="2" t="s">
        <v>82</v>
      </c>
      <c r="L1273" s="2" t="s">
        <v>161</v>
      </c>
      <c r="M1273" s="2" t="s">
        <v>30</v>
      </c>
      <c r="N1273" s="2" t="s">
        <v>162</v>
      </c>
      <c r="O1273" s="2" t="s">
        <v>163</v>
      </c>
      <c r="P1273" s="4">
        <v>771.43820000000005</v>
      </c>
      <c r="Q1273" s="4">
        <v>2</v>
      </c>
      <c r="R1273" s="4">
        <v>-51.412500000000001</v>
      </c>
      <c r="S1273" s="2" t="s">
        <v>92</v>
      </c>
      <c r="T1273" s="2" t="s">
        <v>224</v>
      </c>
    </row>
    <row r="1274" spans="1:20" x14ac:dyDescent="0.25">
      <c r="A1274" s="2" t="s">
        <v>2439</v>
      </c>
      <c r="B1274" s="3">
        <v>41926</v>
      </c>
      <c r="C1274" s="3">
        <v>41931</v>
      </c>
      <c r="D1274" s="2" t="s">
        <v>55</v>
      </c>
      <c r="E1274" s="2" t="s">
        <v>2440</v>
      </c>
      <c r="F1274" s="2" t="s">
        <v>2441</v>
      </c>
      <c r="G1274" s="2" t="s">
        <v>58</v>
      </c>
      <c r="H1274" s="2" t="s">
        <v>25</v>
      </c>
      <c r="I1274" s="2" t="s">
        <v>760</v>
      </c>
      <c r="J1274" s="2" t="s">
        <v>112</v>
      </c>
      <c r="K1274" s="2" t="s">
        <v>28</v>
      </c>
      <c r="L1274" s="2" t="s">
        <v>372</v>
      </c>
      <c r="M1274" s="2" t="s">
        <v>30</v>
      </c>
      <c r="N1274" s="2" t="s">
        <v>162</v>
      </c>
      <c r="O1274" s="2" t="s">
        <v>373</v>
      </c>
      <c r="P1274" s="4">
        <v>945.58699999999999</v>
      </c>
      <c r="Q1274" s="4">
        <v>5</v>
      </c>
      <c r="R1274" s="4">
        <v>-170.0616</v>
      </c>
      <c r="S1274" s="2" t="s">
        <v>85</v>
      </c>
      <c r="T1274" s="2" t="s">
        <v>224</v>
      </c>
    </row>
    <row r="1275" spans="1:20" x14ac:dyDescent="0.25">
      <c r="A1275" s="2" t="s">
        <v>2442</v>
      </c>
      <c r="B1275" s="3">
        <v>42307</v>
      </c>
      <c r="C1275" s="3">
        <v>42309</v>
      </c>
      <c r="D1275" s="2" t="s">
        <v>55</v>
      </c>
      <c r="E1275" s="2" t="s">
        <v>2443</v>
      </c>
      <c r="F1275" s="2" t="s">
        <v>2444</v>
      </c>
      <c r="G1275" s="2" t="s">
        <v>38</v>
      </c>
      <c r="H1275" s="2" t="s">
        <v>25</v>
      </c>
      <c r="I1275" s="2" t="s">
        <v>394</v>
      </c>
      <c r="J1275" s="2" t="s">
        <v>289</v>
      </c>
      <c r="K1275" s="2" t="s">
        <v>82</v>
      </c>
      <c r="L1275" s="2" t="s">
        <v>254</v>
      </c>
      <c r="M1275" s="2" t="s">
        <v>30</v>
      </c>
      <c r="N1275" s="2" t="s">
        <v>162</v>
      </c>
      <c r="O1275" s="2" t="s">
        <v>255</v>
      </c>
      <c r="P1275" s="4">
        <v>583.66549999999995</v>
      </c>
      <c r="Q1275" s="4">
        <v>2</v>
      </c>
      <c r="R1275" s="4">
        <v>-214.69059999999999</v>
      </c>
      <c r="S1275" s="2" t="s">
        <v>53</v>
      </c>
      <c r="T1275" s="2" t="s">
        <v>224</v>
      </c>
    </row>
    <row r="1276" spans="1:20" x14ac:dyDescent="0.25">
      <c r="A1276" s="2" t="s">
        <v>2445</v>
      </c>
      <c r="B1276" s="3">
        <v>42854</v>
      </c>
      <c r="C1276" s="3">
        <v>42860</v>
      </c>
      <c r="D1276" s="2" t="s">
        <v>55</v>
      </c>
      <c r="E1276" s="2" t="s">
        <v>257</v>
      </c>
      <c r="F1276" s="2" t="s">
        <v>258</v>
      </c>
      <c r="G1276" s="2" t="s">
        <v>38</v>
      </c>
      <c r="H1276" s="2" t="s">
        <v>25</v>
      </c>
      <c r="I1276" s="2" t="s">
        <v>97</v>
      </c>
      <c r="J1276" s="2" t="s">
        <v>98</v>
      </c>
      <c r="K1276" s="2" t="s">
        <v>82</v>
      </c>
      <c r="L1276" s="2" t="s">
        <v>62</v>
      </c>
      <c r="M1276" s="2" t="s">
        <v>30</v>
      </c>
      <c r="N1276" s="2" t="s">
        <v>63</v>
      </c>
      <c r="O1276" s="2" t="s">
        <v>64</v>
      </c>
      <c r="P1276" s="4">
        <v>289.71839999999997</v>
      </c>
      <c r="Q1276" s="4">
        <v>1</v>
      </c>
      <c r="R1276" s="4">
        <v>-58.2209</v>
      </c>
      <c r="S1276" s="2" t="s">
        <v>65</v>
      </c>
      <c r="T1276" s="2" t="s">
        <v>108</v>
      </c>
    </row>
    <row r="1277" spans="1:20" x14ac:dyDescent="0.25">
      <c r="A1277" s="2" t="s">
        <v>2446</v>
      </c>
      <c r="B1277" s="3">
        <v>42205</v>
      </c>
      <c r="C1277" s="3">
        <v>42205</v>
      </c>
      <c r="D1277" s="2" t="s">
        <v>48</v>
      </c>
      <c r="E1277" s="2" t="s">
        <v>2447</v>
      </c>
      <c r="F1277" s="2" t="s">
        <v>2448</v>
      </c>
      <c r="G1277" s="2" t="s">
        <v>24</v>
      </c>
      <c r="H1277" s="2" t="s">
        <v>25</v>
      </c>
      <c r="I1277" s="2" t="s">
        <v>212</v>
      </c>
      <c r="J1277" s="2" t="s">
        <v>185</v>
      </c>
      <c r="K1277" s="2" t="s">
        <v>147</v>
      </c>
      <c r="L1277" s="2" t="s">
        <v>45</v>
      </c>
      <c r="M1277" s="2" t="s">
        <v>30</v>
      </c>
      <c r="N1277" s="2" t="s">
        <v>31</v>
      </c>
      <c r="O1277" s="2" t="s">
        <v>46</v>
      </c>
      <c r="P1277" s="4">
        <v>61.557499999999997</v>
      </c>
      <c r="Q1277" s="4">
        <v>3</v>
      </c>
      <c r="R1277" s="4">
        <v>31.956</v>
      </c>
      <c r="S1277" s="2" t="s">
        <v>121</v>
      </c>
      <c r="T1277" s="2" t="s">
        <v>86</v>
      </c>
    </row>
    <row r="1278" spans="1:20" x14ac:dyDescent="0.25">
      <c r="A1278" s="2" t="s">
        <v>2449</v>
      </c>
      <c r="B1278" s="3">
        <v>41950</v>
      </c>
      <c r="C1278" s="3">
        <v>41955</v>
      </c>
      <c r="D1278" s="2" t="s">
        <v>55</v>
      </c>
      <c r="E1278" s="2" t="s">
        <v>2450</v>
      </c>
      <c r="F1278" s="2" t="s">
        <v>2451</v>
      </c>
      <c r="G1278" s="2" t="s">
        <v>58</v>
      </c>
      <c r="H1278" s="2" t="s">
        <v>25</v>
      </c>
      <c r="I1278" s="2" t="s">
        <v>1386</v>
      </c>
      <c r="J1278" s="2" t="s">
        <v>806</v>
      </c>
      <c r="K1278" s="2" t="s">
        <v>28</v>
      </c>
      <c r="L1278" s="2" t="s">
        <v>131</v>
      </c>
      <c r="M1278" s="2" t="s">
        <v>30</v>
      </c>
      <c r="N1278" s="2" t="s">
        <v>31</v>
      </c>
      <c r="O1278" s="2" t="s">
        <v>132</v>
      </c>
      <c r="P1278" s="4">
        <v>13.1929</v>
      </c>
      <c r="Q1278" s="4">
        <v>4</v>
      </c>
      <c r="R1278" s="4">
        <v>5.3113999999999999</v>
      </c>
      <c r="S1278" s="2" t="s">
        <v>85</v>
      </c>
      <c r="T1278" s="2" t="s">
        <v>93</v>
      </c>
    </row>
    <row r="1279" spans="1:20" x14ac:dyDescent="0.25">
      <c r="A1279" s="2" t="s">
        <v>2452</v>
      </c>
      <c r="B1279" s="3">
        <v>42780</v>
      </c>
      <c r="C1279" s="3">
        <v>42782</v>
      </c>
      <c r="D1279" s="2" t="s">
        <v>21</v>
      </c>
      <c r="E1279" s="2" t="s">
        <v>2453</v>
      </c>
      <c r="F1279" s="2" t="s">
        <v>2454</v>
      </c>
      <c r="G1279" s="2" t="s">
        <v>58</v>
      </c>
      <c r="H1279" s="2" t="s">
        <v>25</v>
      </c>
      <c r="I1279" s="2" t="s">
        <v>355</v>
      </c>
      <c r="J1279" s="2" t="s">
        <v>356</v>
      </c>
      <c r="K1279" s="2" t="s">
        <v>147</v>
      </c>
      <c r="L1279" s="2" t="s">
        <v>333</v>
      </c>
      <c r="M1279" s="2" t="s">
        <v>30</v>
      </c>
      <c r="N1279" s="2" t="s">
        <v>162</v>
      </c>
      <c r="O1279" s="2" t="s">
        <v>334</v>
      </c>
      <c r="P1279" s="4">
        <v>122.1078</v>
      </c>
      <c r="Q1279" s="4">
        <v>3</v>
      </c>
      <c r="R1279" s="4">
        <v>-20.3886</v>
      </c>
      <c r="S1279" s="2" t="s">
        <v>53</v>
      </c>
      <c r="T1279" s="2" t="s">
        <v>101</v>
      </c>
    </row>
    <row r="1280" spans="1:20" x14ac:dyDescent="0.25">
      <c r="A1280" s="2" t="s">
        <v>2452</v>
      </c>
      <c r="B1280" s="3">
        <v>42780</v>
      </c>
      <c r="C1280" s="3">
        <v>42782</v>
      </c>
      <c r="D1280" s="2" t="s">
        <v>21</v>
      </c>
      <c r="E1280" s="2" t="s">
        <v>2453</v>
      </c>
      <c r="F1280" s="2" t="s">
        <v>2454</v>
      </c>
      <c r="G1280" s="2" t="s">
        <v>58</v>
      </c>
      <c r="H1280" s="2" t="s">
        <v>25</v>
      </c>
      <c r="I1280" s="2" t="s">
        <v>355</v>
      </c>
      <c r="J1280" s="2" t="s">
        <v>356</v>
      </c>
      <c r="K1280" s="2" t="s">
        <v>147</v>
      </c>
      <c r="L1280" s="2" t="s">
        <v>139</v>
      </c>
      <c r="M1280" s="2" t="s">
        <v>30</v>
      </c>
      <c r="N1280" s="2" t="s">
        <v>42</v>
      </c>
      <c r="O1280" s="2" t="s">
        <v>140</v>
      </c>
      <c r="P1280" s="4">
        <v>207.08609999999999</v>
      </c>
      <c r="Q1280" s="4">
        <v>5</v>
      </c>
      <c r="R1280" s="4">
        <v>41.661200000000001</v>
      </c>
      <c r="S1280" s="2" t="s">
        <v>53</v>
      </c>
      <c r="T1280" s="2" t="s">
        <v>101</v>
      </c>
    </row>
    <row r="1281" spans="1:20" x14ac:dyDescent="0.25">
      <c r="A1281" s="2" t="s">
        <v>2455</v>
      </c>
      <c r="B1281" s="3">
        <v>42106</v>
      </c>
      <c r="C1281" s="3">
        <v>42106</v>
      </c>
      <c r="D1281" s="2" t="s">
        <v>21</v>
      </c>
      <c r="E1281" s="2" t="s">
        <v>516</v>
      </c>
      <c r="F1281" s="2" t="s">
        <v>517</v>
      </c>
      <c r="G1281" s="2" t="s">
        <v>58</v>
      </c>
      <c r="H1281" s="2" t="s">
        <v>25</v>
      </c>
      <c r="I1281" s="2" t="s">
        <v>969</v>
      </c>
      <c r="J1281" s="2" t="s">
        <v>387</v>
      </c>
      <c r="K1281" s="2" t="s">
        <v>61</v>
      </c>
      <c r="L1281" s="2" t="s">
        <v>45</v>
      </c>
      <c r="M1281" s="2" t="s">
        <v>30</v>
      </c>
      <c r="N1281" s="2" t="s">
        <v>31</v>
      </c>
      <c r="O1281" s="2" t="s">
        <v>46</v>
      </c>
      <c r="P1281" s="4">
        <v>21.575399999999998</v>
      </c>
      <c r="Q1281" s="4">
        <v>6</v>
      </c>
      <c r="R1281" s="4">
        <v>7.0067000000000004</v>
      </c>
      <c r="S1281" s="2" t="s">
        <v>121</v>
      </c>
      <c r="T1281" s="2" t="s">
        <v>108</v>
      </c>
    </row>
    <row r="1282" spans="1:20" x14ac:dyDescent="0.25">
      <c r="A1282" s="2" t="s">
        <v>2456</v>
      </c>
      <c r="B1282" s="3">
        <v>42451</v>
      </c>
      <c r="C1282" s="3">
        <v>42457</v>
      </c>
      <c r="D1282" s="2" t="s">
        <v>55</v>
      </c>
      <c r="E1282" s="2" t="s">
        <v>1001</v>
      </c>
      <c r="F1282" s="2" t="s">
        <v>1002</v>
      </c>
      <c r="G1282" s="2" t="s">
        <v>24</v>
      </c>
      <c r="H1282" s="2" t="s">
        <v>25</v>
      </c>
      <c r="I1282" s="2" t="s">
        <v>861</v>
      </c>
      <c r="J1282" s="2" t="s">
        <v>403</v>
      </c>
      <c r="K1282" s="2" t="s">
        <v>147</v>
      </c>
      <c r="L1282" s="2" t="s">
        <v>186</v>
      </c>
      <c r="M1282" s="2" t="s">
        <v>30</v>
      </c>
      <c r="N1282" s="2" t="s">
        <v>31</v>
      </c>
      <c r="O1282" s="2" t="s">
        <v>187</v>
      </c>
      <c r="P1282" s="4">
        <v>20.338999999999999</v>
      </c>
      <c r="Q1282" s="4">
        <v>4</v>
      </c>
      <c r="R1282" s="4">
        <v>0.29659999999999997</v>
      </c>
      <c r="S1282" s="2" t="s">
        <v>65</v>
      </c>
      <c r="T1282" s="2" t="s">
        <v>44</v>
      </c>
    </row>
    <row r="1283" spans="1:20" x14ac:dyDescent="0.25">
      <c r="A1283" s="2" t="s">
        <v>2456</v>
      </c>
      <c r="B1283" s="3">
        <v>42451</v>
      </c>
      <c r="C1283" s="3">
        <v>42457</v>
      </c>
      <c r="D1283" s="2" t="s">
        <v>55</v>
      </c>
      <c r="E1283" s="2" t="s">
        <v>1001</v>
      </c>
      <c r="F1283" s="2" t="s">
        <v>1002</v>
      </c>
      <c r="G1283" s="2" t="s">
        <v>24</v>
      </c>
      <c r="H1283" s="2" t="s">
        <v>25</v>
      </c>
      <c r="I1283" s="2" t="s">
        <v>861</v>
      </c>
      <c r="J1283" s="2" t="s">
        <v>403</v>
      </c>
      <c r="K1283" s="2" t="s">
        <v>147</v>
      </c>
      <c r="L1283" s="2" t="s">
        <v>66</v>
      </c>
      <c r="M1283" s="2" t="s">
        <v>30</v>
      </c>
      <c r="N1283" s="2" t="s">
        <v>31</v>
      </c>
      <c r="O1283" s="2" t="s">
        <v>67</v>
      </c>
      <c r="P1283" s="4">
        <v>90.491500000000002</v>
      </c>
      <c r="Q1283" s="4">
        <v>4</v>
      </c>
      <c r="R1283" s="4">
        <v>1.3742000000000001</v>
      </c>
      <c r="S1283" s="2" t="s">
        <v>65</v>
      </c>
      <c r="T1283" s="2" t="s">
        <v>44</v>
      </c>
    </row>
    <row r="1284" spans="1:20" x14ac:dyDescent="0.25">
      <c r="A1284" s="2" t="s">
        <v>2456</v>
      </c>
      <c r="B1284" s="3">
        <v>42451</v>
      </c>
      <c r="C1284" s="3">
        <v>42457</v>
      </c>
      <c r="D1284" s="2" t="s">
        <v>55</v>
      </c>
      <c r="E1284" s="2" t="s">
        <v>1001</v>
      </c>
      <c r="F1284" s="2" t="s">
        <v>1002</v>
      </c>
      <c r="G1284" s="2" t="s">
        <v>24</v>
      </c>
      <c r="H1284" s="2" t="s">
        <v>25</v>
      </c>
      <c r="I1284" s="2" t="s">
        <v>861</v>
      </c>
      <c r="J1284" s="2" t="s">
        <v>403</v>
      </c>
      <c r="K1284" s="2" t="s">
        <v>147</v>
      </c>
      <c r="L1284" s="2" t="s">
        <v>245</v>
      </c>
      <c r="M1284" s="2" t="s">
        <v>30</v>
      </c>
      <c r="N1284" s="2" t="s">
        <v>42</v>
      </c>
      <c r="O1284" s="2" t="s">
        <v>246</v>
      </c>
      <c r="P1284" s="4">
        <v>449.3836</v>
      </c>
      <c r="Q1284" s="4">
        <v>4</v>
      </c>
      <c r="R1284" s="4">
        <v>-86.514399999999995</v>
      </c>
      <c r="S1284" s="2" t="s">
        <v>65</v>
      </c>
      <c r="T1284" s="2" t="s">
        <v>44</v>
      </c>
    </row>
    <row r="1285" spans="1:20" x14ac:dyDescent="0.25">
      <c r="A1285" s="2" t="s">
        <v>2456</v>
      </c>
      <c r="B1285" s="3">
        <v>42451</v>
      </c>
      <c r="C1285" s="3">
        <v>42457</v>
      </c>
      <c r="D1285" s="2" t="s">
        <v>55</v>
      </c>
      <c r="E1285" s="2" t="s">
        <v>1001</v>
      </c>
      <c r="F1285" s="2" t="s">
        <v>1002</v>
      </c>
      <c r="G1285" s="2" t="s">
        <v>24</v>
      </c>
      <c r="H1285" s="2" t="s">
        <v>25</v>
      </c>
      <c r="I1285" s="2" t="s">
        <v>861</v>
      </c>
      <c r="J1285" s="2" t="s">
        <v>403</v>
      </c>
      <c r="K1285" s="2" t="s">
        <v>147</v>
      </c>
      <c r="L1285" s="2" t="s">
        <v>218</v>
      </c>
      <c r="M1285" s="2" t="s">
        <v>30</v>
      </c>
      <c r="N1285" s="2" t="s">
        <v>31</v>
      </c>
      <c r="O1285" s="2" t="s">
        <v>219</v>
      </c>
      <c r="P1285" s="4">
        <v>8.0934000000000008</v>
      </c>
      <c r="Q1285" s="4">
        <v>3</v>
      </c>
      <c r="R1285" s="4">
        <v>-0.44700000000000001</v>
      </c>
      <c r="S1285" s="2" t="s">
        <v>65</v>
      </c>
      <c r="T1285" s="2" t="s">
        <v>44</v>
      </c>
    </row>
    <row r="1286" spans="1:20" x14ac:dyDescent="0.25">
      <c r="A1286" s="2" t="s">
        <v>2457</v>
      </c>
      <c r="B1286" s="3">
        <v>41794</v>
      </c>
      <c r="C1286" s="3">
        <v>41801</v>
      </c>
      <c r="D1286" s="2" t="s">
        <v>55</v>
      </c>
      <c r="E1286" s="2" t="s">
        <v>2292</v>
      </c>
      <c r="F1286" s="2" t="s">
        <v>2293</v>
      </c>
      <c r="G1286" s="2" t="s">
        <v>38</v>
      </c>
      <c r="H1286" s="2" t="s">
        <v>25</v>
      </c>
      <c r="I1286" s="2" t="s">
        <v>617</v>
      </c>
      <c r="J1286" s="2" t="s">
        <v>168</v>
      </c>
      <c r="K1286" s="2" t="s">
        <v>28</v>
      </c>
      <c r="L1286" s="2" t="s">
        <v>252</v>
      </c>
      <c r="M1286" s="2" t="s">
        <v>30</v>
      </c>
      <c r="N1286" s="2" t="s">
        <v>31</v>
      </c>
      <c r="O1286" s="2" t="s">
        <v>253</v>
      </c>
      <c r="P1286" s="4">
        <v>8.0820000000000007</v>
      </c>
      <c r="Q1286" s="4">
        <v>1</v>
      </c>
      <c r="R1286" s="4">
        <v>0.1002</v>
      </c>
      <c r="S1286" s="2" t="s">
        <v>107</v>
      </c>
      <c r="T1286" s="2" t="s">
        <v>133</v>
      </c>
    </row>
    <row r="1287" spans="1:20" x14ac:dyDescent="0.25">
      <c r="A1287" s="2" t="s">
        <v>2458</v>
      </c>
      <c r="B1287" s="3">
        <v>43040</v>
      </c>
      <c r="C1287" s="3">
        <v>43045</v>
      </c>
      <c r="D1287" s="2" t="s">
        <v>55</v>
      </c>
      <c r="E1287" s="2" t="s">
        <v>1108</v>
      </c>
      <c r="F1287" s="2" t="s">
        <v>1109</v>
      </c>
      <c r="G1287" s="2" t="s">
        <v>58</v>
      </c>
      <c r="H1287" s="2" t="s">
        <v>25</v>
      </c>
      <c r="I1287" s="2" t="s">
        <v>364</v>
      </c>
      <c r="J1287" s="2" t="s">
        <v>279</v>
      </c>
      <c r="K1287" s="2" t="s">
        <v>28</v>
      </c>
      <c r="L1287" s="2" t="s">
        <v>218</v>
      </c>
      <c r="M1287" s="2" t="s">
        <v>30</v>
      </c>
      <c r="N1287" s="2" t="s">
        <v>31</v>
      </c>
      <c r="O1287" s="2" t="s">
        <v>219</v>
      </c>
      <c r="P1287" s="4">
        <v>79.083299999999994</v>
      </c>
      <c r="Q1287" s="4">
        <v>1</v>
      </c>
      <c r="R1287" s="4">
        <v>-23.1845</v>
      </c>
      <c r="S1287" s="2" t="s">
        <v>85</v>
      </c>
      <c r="T1287" s="2" t="s">
        <v>93</v>
      </c>
    </row>
    <row r="1288" spans="1:20" x14ac:dyDescent="0.25">
      <c r="A1288" s="2" t="s">
        <v>2459</v>
      </c>
      <c r="B1288" s="3">
        <v>42525</v>
      </c>
      <c r="C1288" s="3">
        <v>42528</v>
      </c>
      <c r="D1288" s="2" t="s">
        <v>55</v>
      </c>
      <c r="E1288" s="2" t="s">
        <v>644</v>
      </c>
      <c r="F1288" s="2" t="s">
        <v>645</v>
      </c>
      <c r="G1288" s="2" t="s">
        <v>38</v>
      </c>
      <c r="H1288" s="2" t="s">
        <v>25</v>
      </c>
      <c r="I1288" s="2" t="s">
        <v>274</v>
      </c>
      <c r="J1288" s="2" t="s">
        <v>146</v>
      </c>
      <c r="K1288" s="2" t="s">
        <v>147</v>
      </c>
      <c r="L1288" s="2" t="s">
        <v>228</v>
      </c>
      <c r="M1288" s="2" t="s">
        <v>30</v>
      </c>
      <c r="N1288" s="2" t="s">
        <v>42</v>
      </c>
      <c r="O1288" s="2" t="s">
        <v>229</v>
      </c>
      <c r="P1288" s="4">
        <v>641.20839999999998</v>
      </c>
      <c r="Q1288" s="4">
        <v>5</v>
      </c>
      <c r="R1288" s="4">
        <v>-88.627099999999999</v>
      </c>
      <c r="S1288" s="2" t="s">
        <v>92</v>
      </c>
      <c r="T1288" s="2" t="s">
        <v>133</v>
      </c>
    </row>
    <row r="1289" spans="1:20" x14ac:dyDescent="0.25">
      <c r="A1289" s="2" t="s">
        <v>2460</v>
      </c>
      <c r="B1289" s="3">
        <v>42836</v>
      </c>
      <c r="C1289" s="3">
        <v>42838</v>
      </c>
      <c r="D1289" s="2" t="s">
        <v>48</v>
      </c>
      <c r="E1289" s="2" t="s">
        <v>56</v>
      </c>
      <c r="F1289" s="2" t="s">
        <v>57</v>
      </c>
      <c r="G1289" s="2" t="s">
        <v>58</v>
      </c>
      <c r="H1289" s="2" t="s">
        <v>25</v>
      </c>
      <c r="I1289" s="2" t="s">
        <v>167</v>
      </c>
      <c r="J1289" s="2" t="s">
        <v>168</v>
      </c>
      <c r="K1289" s="2" t="s">
        <v>28</v>
      </c>
      <c r="L1289" s="2" t="s">
        <v>316</v>
      </c>
      <c r="M1289" s="2" t="s">
        <v>30</v>
      </c>
      <c r="N1289" s="2" t="s">
        <v>42</v>
      </c>
      <c r="O1289" s="2" t="s">
        <v>317</v>
      </c>
      <c r="P1289" s="4">
        <v>292.9366</v>
      </c>
      <c r="Q1289" s="4">
        <v>2</v>
      </c>
      <c r="R1289" s="4">
        <v>47.727600000000002</v>
      </c>
      <c r="S1289" s="2" t="s">
        <v>53</v>
      </c>
      <c r="T1289" s="2" t="s">
        <v>108</v>
      </c>
    </row>
    <row r="1290" spans="1:20" x14ac:dyDescent="0.25">
      <c r="A1290" s="2" t="s">
        <v>2460</v>
      </c>
      <c r="B1290" s="3">
        <v>42836</v>
      </c>
      <c r="C1290" s="3">
        <v>42838</v>
      </c>
      <c r="D1290" s="2" t="s">
        <v>48</v>
      </c>
      <c r="E1290" s="2" t="s">
        <v>56</v>
      </c>
      <c r="F1290" s="2" t="s">
        <v>57</v>
      </c>
      <c r="G1290" s="2" t="s">
        <v>58</v>
      </c>
      <c r="H1290" s="2" t="s">
        <v>25</v>
      </c>
      <c r="I1290" s="2" t="s">
        <v>167</v>
      </c>
      <c r="J1290" s="2" t="s">
        <v>168</v>
      </c>
      <c r="K1290" s="2" t="s">
        <v>28</v>
      </c>
      <c r="L1290" s="2" t="s">
        <v>316</v>
      </c>
      <c r="M1290" s="2" t="s">
        <v>30</v>
      </c>
      <c r="N1290" s="2" t="s">
        <v>42</v>
      </c>
      <c r="O1290" s="2" t="s">
        <v>317</v>
      </c>
      <c r="P1290" s="4">
        <v>237.9802</v>
      </c>
      <c r="Q1290" s="4">
        <v>6</v>
      </c>
      <c r="R1290" s="4">
        <v>26.5152</v>
      </c>
      <c r="S1290" s="2" t="s">
        <v>53</v>
      </c>
      <c r="T1290" s="2" t="s">
        <v>108</v>
      </c>
    </row>
    <row r="1291" spans="1:20" x14ac:dyDescent="0.25">
      <c r="A1291" s="2" t="s">
        <v>2461</v>
      </c>
      <c r="B1291" s="3">
        <v>41846</v>
      </c>
      <c r="C1291" s="3">
        <v>41846</v>
      </c>
      <c r="D1291" s="2" t="s">
        <v>142</v>
      </c>
      <c r="E1291" s="2" t="s">
        <v>1739</v>
      </c>
      <c r="F1291" s="2" t="s">
        <v>1740</v>
      </c>
      <c r="G1291" s="2" t="s">
        <v>38</v>
      </c>
      <c r="H1291" s="2" t="s">
        <v>25</v>
      </c>
      <c r="I1291" s="2" t="s">
        <v>343</v>
      </c>
      <c r="J1291" s="2" t="s">
        <v>153</v>
      </c>
      <c r="K1291" s="2" t="s">
        <v>147</v>
      </c>
      <c r="L1291" s="2" t="s">
        <v>228</v>
      </c>
      <c r="M1291" s="2" t="s">
        <v>30</v>
      </c>
      <c r="N1291" s="2" t="s">
        <v>42</v>
      </c>
      <c r="O1291" s="2" t="s">
        <v>229</v>
      </c>
      <c r="P1291" s="4">
        <v>768.25890000000004</v>
      </c>
      <c r="Q1291" s="4">
        <v>2</v>
      </c>
      <c r="R1291" s="4">
        <v>-172.38300000000001</v>
      </c>
      <c r="S1291" s="2" t="s">
        <v>121</v>
      </c>
      <c r="T1291" s="2" t="s">
        <v>86</v>
      </c>
    </row>
    <row r="1292" spans="1:20" x14ac:dyDescent="0.25">
      <c r="A1292" s="2" t="s">
        <v>2462</v>
      </c>
      <c r="B1292" s="3">
        <v>42987</v>
      </c>
      <c r="C1292" s="3">
        <v>42987</v>
      </c>
      <c r="D1292" s="2" t="s">
        <v>48</v>
      </c>
      <c r="E1292" s="2" t="s">
        <v>2463</v>
      </c>
      <c r="F1292" s="2" t="s">
        <v>2464</v>
      </c>
      <c r="G1292" s="2" t="s">
        <v>58</v>
      </c>
      <c r="H1292" s="2" t="s">
        <v>25</v>
      </c>
      <c r="I1292" s="2" t="s">
        <v>394</v>
      </c>
      <c r="J1292" s="2" t="s">
        <v>289</v>
      </c>
      <c r="K1292" s="2" t="s">
        <v>82</v>
      </c>
      <c r="L1292" s="2" t="s">
        <v>618</v>
      </c>
      <c r="M1292" s="2" t="s">
        <v>30</v>
      </c>
      <c r="N1292" s="2" t="s">
        <v>63</v>
      </c>
      <c r="O1292" s="2" t="s">
        <v>619</v>
      </c>
      <c r="P1292" s="4">
        <v>1171.1950999999999</v>
      </c>
      <c r="Q1292" s="4">
        <v>6</v>
      </c>
      <c r="R1292" s="4">
        <v>1.5605</v>
      </c>
      <c r="S1292" s="2" t="s">
        <v>121</v>
      </c>
      <c r="T1292" s="2" t="s">
        <v>148</v>
      </c>
    </row>
    <row r="1293" spans="1:20" x14ac:dyDescent="0.25">
      <c r="A1293" s="2" t="s">
        <v>2465</v>
      </c>
      <c r="B1293" s="3">
        <v>41892</v>
      </c>
      <c r="C1293" s="3">
        <v>41898</v>
      </c>
      <c r="D1293" s="2" t="s">
        <v>55</v>
      </c>
      <c r="E1293" s="2" t="s">
        <v>2240</v>
      </c>
      <c r="F1293" s="2" t="s">
        <v>2241</v>
      </c>
      <c r="G1293" s="2" t="s">
        <v>58</v>
      </c>
      <c r="H1293" s="2" t="s">
        <v>25</v>
      </c>
      <c r="I1293" s="2" t="s">
        <v>666</v>
      </c>
      <c r="J1293" s="2" t="s">
        <v>667</v>
      </c>
      <c r="K1293" s="2" t="s">
        <v>28</v>
      </c>
      <c r="L1293" s="2" t="s">
        <v>29</v>
      </c>
      <c r="M1293" s="2" t="s">
        <v>30</v>
      </c>
      <c r="N1293" s="2" t="s">
        <v>31</v>
      </c>
      <c r="O1293" s="2" t="s">
        <v>32</v>
      </c>
      <c r="P1293" s="4">
        <v>19.3187</v>
      </c>
      <c r="Q1293" s="4">
        <v>5</v>
      </c>
      <c r="R1293" s="4">
        <v>7.4374000000000002</v>
      </c>
      <c r="S1293" s="2" t="s">
        <v>65</v>
      </c>
      <c r="T1293" s="2" t="s">
        <v>148</v>
      </c>
    </row>
    <row r="1294" spans="1:20" x14ac:dyDescent="0.25">
      <c r="A1294" s="2" t="s">
        <v>2466</v>
      </c>
      <c r="B1294" s="3">
        <v>41895</v>
      </c>
      <c r="C1294" s="3">
        <v>41902</v>
      </c>
      <c r="D1294" s="2" t="s">
        <v>55</v>
      </c>
      <c r="E1294" s="2" t="s">
        <v>262</v>
      </c>
      <c r="F1294" s="2" t="s">
        <v>263</v>
      </c>
      <c r="G1294" s="2" t="s">
        <v>58</v>
      </c>
      <c r="H1294" s="2" t="s">
        <v>25</v>
      </c>
      <c r="I1294" s="2" t="s">
        <v>152</v>
      </c>
      <c r="J1294" s="2" t="s">
        <v>153</v>
      </c>
      <c r="K1294" s="2" t="s">
        <v>147</v>
      </c>
      <c r="L1294" s="2" t="s">
        <v>245</v>
      </c>
      <c r="M1294" s="2" t="s">
        <v>30</v>
      </c>
      <c r="N1294" s="2" t="s">
        <v>42</v>
      </c>
      <c r="O1294" s="2" t="s">
        <v>246</v>
      </c>
      <c r="P1294" s="4">
        <v>542.03030000000001</v>
      </c>
      <c r="Q1294" s="4">
        <v>2</v>
      </c>
      <c r="R1294" s="4">
        <v>32.929900000000004</v>
      </c>
      <c r="S1294" s="2" t="s">
        <v>107</v>
      </c>
      <c r="T1294" s="2" t="s">
        <v>148</v>
      </c>
    </row>
    <row r="1295" spans="1:20" x14ac:dyDescent="0.25">
      <c r="A1295" s="2" t="s">
        <v>2467</v>
      </c>
      <c r="B1295" s="3">
        <v>42490</v>
      </c>
      <c r="C1295" s="3">
        <v>42497</v>
      </c>
      <c r="D1295" s="2" t="s">
        <v>55</v>
      </c>
      <c r="E1295" s="2" t="s">
        <v>1210</v>
      </c>
      <c r="F1295" s="2" t="s">
        <v>1211</v>
      </c>
      <c r="G1295" s="2" t="s">
        <v>24</v>
      </c>
      <c r="H1295" s="2" t="s">
        <v>25</v>
      </c>
      <c r="I1295" s="2" t="s">
        <v>414</v>
      </c>
      <c r="J1295" s="2" t="s">
        <v>206</v>
      </c>
      <c r="K1295" s="2" t="s">
        <v>61</v>
      </c>
      <c r="L1295" s="2" t="s">
        <v>193</v>
      </c>
      <c r="M1295" s="2" t="s">
        <v>30</v>
      </c>
      <c r="N1295" s="2" t="s">
        <v>42</v>
      </c>
      <c r="O1295" s="2" t="s">
        <v>194</v>
      </c>
      <c r="P1295" s="4">
        <v>178.20760000000001</v>
      </c>
      <c r="Q1295" s="4">
        <v>2</v>
      </c>
      <c r="R1295" s="4">
        <v>-34.030099999999997</v>
      </c>
      <c r="S1295" s="2" t="s">
        <v>107</v>
      </c>
      <c r="T1295" s="2" t="s">
        <v>108</v>
      </c>
    </row>
    <row r="1296" spans="1:20" x14ac:dyDescent="0.25">
      <c r="A1296" s="2" t="s">
        <v>2468</v>
      </c>
      <c r="B1296" s="3">
        <v>42459</v>
      </c>
      <c r="C1296" s="3">
        <v>42459</v>
      </c>
      <c r="D1296" s="2" t="s">
        <v>142</v>
      </c>
      <c r="E1296" s="2" t="s">
        <v>884</v>
      </c>
      <c r="F1296" s="2" t="s">
        <v>885</v>
      </c>
      <c r="G1296" s="2" t="s">
        <v>58</v>
      </c>
      <c r="H1296" s="2" t="s">
        <v>25</v>
      </c>
      <c r="I1296" s="2" t="s">
        <v>59</v>
      </c>
      <c r="J1296" s="2" t="s">
        <v>60</v>
      </c>
      <c r="K1296" s="2" t="s">
        <v>61</v>
      </c>
      <c r="L1296" s="2" t="s">
        <v>154</v>
      </c>
      <c r="M1296" s="2" t="s">
        <v>30</v>
      </c>
      <c r="N1296" s="2" t="s">
        <v>42</v>
      </c>
      <c r="O1296" s="2" t="s">
        <v>155</v>
      </c>
      <c r="P1296" s="4">
        <v>942.62819999999999</v>
      </c>
      <c r="Q1296" s="4">
        <v>1</v>
      </c>
      <c r="R1296" s="4">
        <v>323.11219999999997</v>
      </c>
      <c r="S1296" s="2" t="s">
        <v>121</v>
      </c>
      <c r="T1296" s="2" t="s">
        <v>44</v>
      </c>
    </row>
    <row r="1297" spans="1:20" x14ac:dyDescent="0.25">
      <c r="A1297" s="2" t="s">
        <v>2469</v>
      </c>
      <c r="B1297" s="3">
        <v>41812</v>
      </c>
      <c r="C1297" s="3">
        <v>41815</v>
      </c>
      <c r="D1297" s="2" t="s">
        <v>55</v>
      </c>
      <c r="E1297" s="2" t="s">
        <v>823</v>
      </c>
      <c r="F1297" s="2" t="s">
        <v>824</v>
      </c>
      <c r="G1297" s="2" t="s">
        <v>58</v>
      </c>
      <c r="H1297" s="2" t="s">
        <v>25</v>
      </c>
      <c r="I1297" s="2" t="s">
        <v>360</v>
      </c>
      <c r="J1297" s="2" t="s">
        <v>160</v>
      </c>
      <c r="K1297" s="2" t="s">
        <v>61</v>
      </c>
      <c r="L1297" s="2" t="s">
        <v>513</v>
      </c>
      <c r="M1297" s="2" t="s">
        <v>30</v>
      </c>
      <c r="N1297" s="2" t="s">
        <v>63</v>
      </c>
      <c r="O1297" s="2" t="s">
        <v>514</v>
      </c>
      <c r="P1297" s="4">
        <v>495.01339999999999</v>
      </c>
      <c r="Q1297" s="4">
        <v>3</v>
      </c>
      <c r="R1297" s="4">
        <v>-58.473399999999998</v>
      </c>
      <c r="S1297" s="2" t="s">
        <v>92</v>
      </c>
      <c r="T1297" s="2" t="s">
        <v>133</v>
      </c>
    </row>
    <row r="1298" spans="1:20" x14ac:dyDescent="0.25">
      <c r="A1298" s="2" t="s">
        <v>2470</v>
      </c>
      <c r="B1298" s="3">
        <v>41958</v>
      </c>
      <c r="C1298" s="3">
        <v>41960</v>
      </c>
      <c r="D1298" s="2" t="s">
        <v>48</v>
      </c>
      <c r="E1298" s="2" t="s">
        <v>1509</v>
      </c>
      <c r="F1298" s="2" t="s">
        <v>1510</v>
      </c>
      <c r="G1298" s="2" t="s">
        <v>38</v>
      </c>
      <c r="H1298" s="2" t="s">
        <v>25</v>
      </c>
      <c r="I1298" s="2" t="s">
        <v>145</v>
      </c>
      <c r="J1298" s="2" t="s">
        <v>146</v>
      </c>
      <c r="K1298" s="2" t="s">
        <v>147</v>
      </c>
      <c r="L1298" s="2" t="s">
        <v>323</v>
      </c>
      <c r="M1298" s="2" t="s">
        <v>30</v>
      </c>
      <c r="N1298" s="2" t="s">
        <v>31</v>
      </c>
      <c r="O1298" s="2" t="s">
        <v>324</v>
      </c>
      <c r="P1298" s="4">
        <v>52.293399999999998</v>
      </c>
      <c r="Q1298" s="4">
        <v>6</v>
      </c>
      <c r="R1298" s="4">
        <v>2.8666999999999998</v>
      </c>
      <c r="S1298" s="2" t="s">
        <v>53</v>
      </c>
      <c r="T1298" s="2" t="s">
        <v>93</v>
      </c>
    </row>
    <row r="1299" spans="1:20" x14ac:dyDescent="0.25">
      <c r="A1299" s="2" t="s">
        <v>2471</v>
      </c>
      <c r="B1299" s="3">
        <v>42498</v>
      </c>
      <c r="C1299" s="3">
        <v>42499</v>
      </c>
      <c r="D1299" s="2" t="s">
        <v>55</v>
      </c>
      <c r="E1299" s="2" t="s">
        <v>326</v>
      </c>
      <c r="F1299" s="2" t="s">
        <v>327</v>
      </c>
      <c r="G1299" s="2" t="s">
        <v>24</v>
      </c>
      <c r="H1299" s="2" t="s">
        <v>25</v>
      </c>
      <c r="I1299" s="2" t="s">
        <v>474</v>
      </c>
      <c r="J1299" s="2" t="s">
        <v>475</v>
      </c>
      <c r="K1299" s="2" t="s">
        <v>28</v>
      </c>
      <c r="L1299" s="2" t="s">
        <v>1476</v>
      </c>
      <c r="M1299" s="2" t="s">
        <v>30</v>
      </c>
      <c r="N1299" s="2" t="s">
        <v>63</v>
      </c>
      <c r="O1299" s="2" t="s">
        <v>1477</v>
      </c>
      <c r="P1299" s="4">
        <v>174.44380000000001</v>
      </c>
      <c r="Q1299" s="4">
        <v>1</v>
      </c>
      <c r="R1299" s="4">
        <v>66.407499999999999</v>
      </c>
      <c r="S1299" s="2" t="s">
        <v>33</v>
      </c>
      <c r="T1299" s="2" t="s">
        <v>122</v>
      </c>
    </row>
    <row r="1300" spans="1:20" x14ac:dyDescent="0.25">
      <c r="A1300" s="2" t="s">
        <v>2472</v>
      </c>
      <c r="B1300" s="3">
        <v>42266</v>
      </c>
      <c r="C1300" s="3">
        <v>42266</v>
      </c>
      <c r="D1300" s="2" t="s">
        <v>55</v>
      </c>
      <c r="E1300" s="2" t="s">
        <v>1071</v>
      </c>
      <c r="F1300" s="2" t="s">
        <v>1072</v>
      </c>
      <c r="G1300" s="2" t="s">
        <v>58</v>
      </c>
      <c r="H1300" s="2" t="s">
        <v>25</v>
      </c>
      <c r="I1300" s="2" t="s">
        <v>270</v>
      </c>
      <c r="J1300" s="2" t="s">
        <v>72</v>
      </c>
      <c r="K1300" s="2" t="s">
        <v>61</v>
      </c>
      <c r="L1300" s="2" t="s">
        <v>174</v>
      </c>
      <c r="M1300" s="2" t="s">
        <v>30</v>
      </c>
      <c r="N1300" s="2" t="s">
        <v>31</v>
      </c>
      <c r="O1300" s="2" t="s">
        <v>175</v>
      </c>
      <c r="P1300" s="4">
        <v>57.101300000000002</v>
      </c>
      <c r="Q1300" s="4">
        <v>2</v>
      </c>
      <c r="R1300" s="4">
        <v>-13.459899999999999</v>
      </c>
      <c r="S1300" s="2" t="s">
        <v>121</v>
      </c>
      <c r="T1300" s="2" t="s">
        <v>148</v>
      </c>
    </row>
    <row r="1301" spans="1:20" x14ac:dyDescent="0.25">
      <c r="A1301" s="2" t="s">
        <v>2473</v>
      </c>
      <c r="B1301" s="3">
        <v>41935</v>
      </c>
      <c r="C1301" s="3">
        <v>41938</v>
      </c>
      <c r="D1301" s="2" t="s">
        <v>55</v>
      </c>
      <c r="E1301" s="2" t="s">
        <v>257</v>
      </c>
      <c r="F1301" s="2" t="s">
        <v>258</v>
      </c>
      <c r="G1301" s="2" t="s">
        <v>38</v>
      </c>
      <c r="H1301" s="2" t="s">
        <v>25</v>
      </c>
      <c r="I1301" s="2" t="s">
        <v>138</v>
      </c>
      <c r="J1301" s="2" t="s">
        <v>407</v>
      </c>
      <c r="K1301" s="2" t="s">
        <v>28</v>
      </c>
      <c r="L1301" s="2" t="s">
        <v>252</v>
      </c>
      <c r="M1301" s="2" t="s">
        <v>30</v>
      </c>
      <c r="N1301" s="2" t="s">
        <v>31</v>
      </c>
      <c r="O1301" s="2" t="s">
        <v>253</v>
      </c>
      <c r="P1301" s="4">
        <v>124.2257</v>
      </c>
      <c r="Q1301" s="4">
        <v>5</v>
      </c>
      <c r="R1301" s="4">
        <v>2.6049000000000002</v>
      </c>
      <c r="S1301" s="2" t="s">
        <v>92</v>
      </c>
      <c r="T1301" s="2" t="s">
        <v>224</v>
      </c>
    </row>
    <row r="1302" spans="1:20" x14ac:dyDescent="0.25">
      <c r="A1302" s="2" t="s">
        <v>2474</v>
      </c>
      <c r="B1302" s="3">
        <v>42614</v>
      </c>
      <c r="C1302" s="3">
        <v>42621</v>
      </c>
      <c r="D1302" s="2" t="s">
        <v>55</v>
      </c>
      <c r="E1302" s="2" t="s">
        <v>214</v>
      </c>
      <c r="F1302" s="2" t="s">
        <v>215</v>
      </c>
      <c r="G1302" s="2" t="s">
        <v>24</v>
      </c>
      <c r="H1302" s="2" t="s">
        <v>25</v>
      </c>
      <c r="I1302" s="2" t="s">
        <v>682</v>
      </c>
      <c r="J1302" s="2" t="s">
        <v>632</v>
      </c>
      <c r="K1302" s="2" t="s">
        <v>82</v>
      </c>
      <c r="L1302" s="2" t="s">
        <v>245</v>
      </c>
      <c r="M1302" s="2" t="s">
        <v>30</v>
      </c>
      <c r="N1302" s="2" t="s">
        <v>42</v>
      </c>
      <c r="O1302" s="2" t="s">
        <v>246</v>
      </c>
      <c r="P1302" s="4">
        <v>454.27879999999999</v>
      </c>
      <c r="Q1302" s="4">
        <v>6</v>
      </c>
      <c r="R1302" s="4">
        <v>-75.697400000000002</v>
      </c>
      <c r="S1302" s="2" t="s">
        <v>107</v>
      </c>
      <c r="T1302" s="2" t="s">
        <v>148</v>
      </c>
    </row>
    <row r="1303" spans="1:20" x14ac:dyDescent="0.25">
      <c r="A1303" s="2" t="s">
        <v>2474</v>
      </c>
      <c r="B1303" s="3">
        <v>42614</v>
      </c>
      <c r="C1303" s="3">
        <v>42621</v>
      </c>
      <c r="D1303" s="2" t="s">
        <v>55</v>
      </c>
      <c r="E1303" s="2" t="s">
        <v>214</v>
      </c>
      <c r="F1303" s="2" t="s">
        <v>215</v>
      </c>
      <c r="G1303" s="2" t="s">
        <v>24</v>
      </c>
      <c r="H1303" s="2" t="s">
        <v>25</v>
      </c>
      <c r="I1303" s="2" t="s">
        <v>682</v>
      </c>
      <c r="J1303" s="2" t="s">
        <v>632</v>
      </c>
      <c r="K1303" s="2" t="s">
        <v>82</v>
      </c>
      <c r="L1303" s="2" t="s">
        <v>186</v>
      </c>
      <c r="M1303" s="2" t="s">
        <v>30</v>
      </c>
      <c r="N1303" s="2" t="s">
        <v>31</v>
      </c>
      <c r="O1303" s="2" t="s">
        <v>187</v>
      </c>
      <c r="P1303" s="4">
        <v>109.1503</v>
      </c>
      <c r="Q1303" s="4">
        <v>6</v>
      </c>
      <c r="R1303" s="4">
        <v>21.987200000000001</v>
      </c>
      <c r="S1303" s="2" t="s">
        <v>107</v>
      </c>
      <c r="T1303" s="2" t="s">
        <v>148</v>
      </c>
    </row>
    <row r="1304" spans="1:20" x14ac:dyDescent="0.25">
      <c r="A1304" s="2" t="s">
        <v>2475</v>
      </c>
      <c r="B1304" s="3">
        <v>42896</v>
      </c>
      <c r="C1304" s="3">
        <v>42898</v>
      </c>
      <c r="D1304" s="2" t="s">
        <v>55</v>
      </c>
      <c r="E1304" s="2" t="s">
        <v>808</v>
      </c>
      <c r="F1304" s="2" t="s">
        <v>809</v>
      </c>
      <c r="G1304" s="2" t="s">
        <v>58</v>
      </c>
      <c r="H1304" s="2" t="s">
        <v>25</v>
      </c>
      <c r="I1304" s="2" t="s">
        <v>138</v>
      </c>
      <c r="J1304" s="2" t="s">
        <v>407</v>
      </c>
      <c r="K1304" s="2" t="s">
        <v>28</v>
      </c>
      <c r="L1304" s="2" t="s">
        <v>415</v>
      </c>
      <c r="M1304" s="2" t="s">
        <v>30</v>
      </c>
      <c r="N1304" s="2" t="s">
        <v>63</v>
      </c>
      <c r="O1304" s="2" t="s">
        <v>416</v>
      </c>
      <c r="P1304" s="4">
        <v>296.70670000000001</v>
      </c>
      <c r="Q1304" s="4">
        <v>4</v>
      </c>
      <c r="R1304" s="4">
        <v>40.759399999999999</v>
      </c>
      <c r="S1304" s="2" t="s">
        <v>53</v>
      </c>
      <c r="T1304" s="2" t="s">
        <v>133</v>
      </c>
    </row>
    <row r="1305" spans="1:20" x14ac:dyDescent="0.25">
      <c r="A1305" s="2" t="s">
        <v>2476</v>
      </c>
      <c r="B1305" s="3">
        <v>42467</v>
      </c>
      <c r="C1305" s="3">
        <v>42469</v>
      </c>
      <c r="D1305" s="2" t="s">
        <v>21</v>
      </c>
      <c r="E1305" s="2" t="s">
        <v>1163</v>
      </c>
      <c r="F1305" s="2" t="s">
        <v>1164</v>
      </c>
      <c r="G1305" s="2" t="s">
        <v>58</v>
      </c>
      <c r="H1305" s="2" t="s">
        <v>25</v>
      </c>
      <c r="I1305" s="2" t="s">
        <v>469</v>
      </c>
      <c r="J1305" s="2" t="s">
        <v>470</v>
      </c>
      <c r="K1305" s="2" t="s">
        <v>28</v>
      </c>
      <c r="L1305" s="2" t="s">
        <v>235</v>
      </c>
      <c r="M1305" s="2" t="s">
        <v>30</v>
      </c>
      <c r="N1305" s="2" t="s">
        <v>31</v>
      </c>
      <c r="O1305" s="2" t="s">
        <v>236</v>
      </c>
      <c r="P1305" s="4">
        <v>45.244500000000002</v>
      </c>
      <c r="Q1305" s="4">
        <v>5</v>
      </c>
      <c r="R1305" s="4">
        <v>1.1014999999999999</v>
      </c>
      <c r="S1305" s="2" t="s">
        <v>53</v>
      </c>
      <c r="T1305" s="2" t="s">
        <v>108</v>
      </c>
    </row>
    <row r="1306" spans="1:20" x14ac:dyDescent="0.25">
      <c r="A1306" s="2" t="s">
        <v>2477</v>
      </c>
      <c r="B1306" s="3">
        <v>42849</v>
      </c>
      <c r="C1306" s="3">
        <v>42849</v>
      </c>
      <c r="D1306" s="2" t="s">
        <v>55</v>
      </c>
      <c r="E1306" s="2" t="s">
        <v>281</v>
      </c>
      <c r="F1306" s="2" t="s">
        <v>282</v>
      </c>
      <c r="G1306" s="2" t="s">
        <v>58</v>
      </c>
      <c r="H1306" s="2" t="s">
        <v>25</v>
      </c>
      <c r="I1306" s="2" t="s">
        <v>799</v>
      </c>
      <c r="J1306" s="2" t="s">
        <v>160</v>
      </c>
      <c r="K1306" s="2" t="s">
        <v>61</v>
      </c>
      <c r="L1306" s="2" t="s">
        <v>235</v>
      </c>
      <c r="M1306" s="2" t="s">
        <v>30</v>
      </c>
      <c r="N1306" s="2" t="s">
        <v>31</v>
      </c>
      <c r="O1306" s="2" t="s">
        <v>236</v>
      </c>
      <c r="P1306" s="4">
        <v>25.270900000000001</v>
      </c>
      <c r="Q1306" s="4">
        <v>3</v>
      </c>
      <c r="R1306" s="4">
        <v>11.426</v>
      </c>
      <c r="S1306" s="2" t="s">
        <v>121</v>
      </c>
      <c r="T1306" s="2" t="s">
        <v>108</v>
      </c>
    </row>
    <row r="1307" spans="1:20" x14ac:dyDescent="0.25">
      <c r="A1307" s="2" t="s">
        <v>2478</v>
      </c>
      <c r="B1307" s="3">
        <v>41738</v>
      </c>
      <c r="C1307" s="3">
        <v>41738</v>
      </c>
      <c r="D1307" s="2" t="s">
        <v>55</v>
      </c>
      <c r="E1307" s="2" t="s">
        <v>2479</v>
      </c>
      <c r="F1307" s="2" t="s">
        <v>2480</v>
      </c>
      <c r="G1307" s="2" t="s">
        <v>58</v>
      </c>
      <c r="H1307" s="2" t="s">
        <v>25</v>
      </c>
      <c r="I1307" s="2" t="s">
        <v>485</v>
      </c>
      <c r="J1307" s="2" t="s">
        <v>251</v>
      </c>
      <c r="K1307" s="2" t="s">
        <v>147</v>
      </c>
      <c r="L1307" s="2" t="s">
        <v>283</v>
      </c>
      <c r="M1307" s="2" t="s">
        <v>30</v>
      </c>
      <c r="N1307" s="2" t="s">
        <v>162</v>
      </c>
      <c r="O1307" s="2" t="s">
        <v>284</v>
      </c>
      <c r="P1307" s="4">
        <v>270.96899999999999</v>
      </c>
      <c r="Q1307" s="4">
        <v>2</v>
      </c>
      <c r="R1307" s="4">
        <v>-283.97890000000001</v>
      </c>
      <c r="S1307" s="2" t="s">
        <v>121</v>
      </c>
      <c r="T1307" s="2" t="s">
        <v>108</v>
      </c>
    </row>
    <row r="1308" spans="1:20" x14ac:dyDescent="0.25">
      <c r="A1308" s="2" t="s">
        <v>2481</v>
      </c>
      <c r="B1308" s="3">
        <v>42024</v>
      </c>
      <c r="C1308" s="3">
        <v>42025</v>
      </c>
      <c r="D1308" s="2" t="s">
        <v>55</v>
      </c>
      <c r="E1308" s="2" t="s">
        <v>908</v>
      </c>
      <c r="F1308" s="2" t="s">
        <v>909</v>
      </c>
      <c r="G1308" s="2" t="s">
        <v>24</v>
      </c>
      <c r="H1308" s="2" t="s">
        <v>25</v>
      </c>
      <c r="I1308" s="2" t="s">
        <v>445</v>
      </c>
      <c r="J1308" s="2" t="s">
        <v>138</v>
      </c>
      <c r="K1308" s="2" t="s">
        <v>82</v>
      </c>
      <c r="L1308" s="2" t="s">
        <v>113</v>
      </c>
      <c r="M1308" s="2" t="s">
        <v>30</v>
      </c>
      <c r="N1308" s="2" t="s">
        <v>31</v>
      </c>
      <c r="O1308" s="2" t="s">
        <v>114</v>
      </c>
      <c r="P1308" s="4">
        <v>17.1205</v>
      </c>
      <c r="Q1308" s="4">
        <v>1</v>
      </c>
      <c r="R1308" s="4">
        <v>4.6862000000000004</v>
      </c>
      <c r="S1308" s="2" t="s">
        <v>33</v>
      </c>
      <c r="T1308" s="2" t="s">
        <v>115</v>
      </c>
    </row>
    <row r="1309" spans="1:20" x14ac:dyDescent="0.25">
      <c r="A1309" s="2" t="s">
        <v>2482</v>
      </c>
      <c r="B1309" s="3">
        <v>42330</v>
      </c>
      <c r="C1309" s="3">
        <v>42332</v>
      </c>
      <c r="D1309" s="2" t="s">
        <v>21</v>
      </c>
      <c r="E1309" s="2" t="s">
        <v>592</v>
      </c>
      <c r="F1309" s="2" t="s">
        <v>593</v>
      </c>
      <c r="G1309" s="2" t="s">
        <v>58</v>
      </c>
      <c r="H1309" s="2" t="s">
        <v>25</v>
      </c>
      <c r="I1309" s="2" t="s">
        <v>639</v>
      </c>
      <c r="J1309" s="2" t="s">
        <v>192</v>
      </c>
      <c r="K1309" s="2" t="s">
        <v>82</v>
      </c>
      <c r="L1309" s="2" t="s">
        <v>245</v>
      </c>
      <c r="M1309" s="2" t="s">
        <v>30</v>
      </c>
      <c r="N1309" s="2" t="s">
        <v>42</v>
      </c>
      <c r="O1309" s="2" t="s">
        <v>246</v>
      </c>
      <c r="P1309" s="4">
        <v>54.619500000000002</v>
      </c>
      <c r="Q1309" s="4">
        <v>2</v>
      </c>
      <c r="R1309" s="4">
        <v>21.248799999999999</v>
      </c>
      <c r="S1309" s="2" t="s">
        <v>53</v>
      </c>
      <c r="T1309" s="2" t="s">
        <v>93</v>
      </c>
    </row>
    <row r="1310" spans="1:20" x14ac:dyDescent="0.25">
      <c r="A1310" s="2" t="s">
        <v>2483</v>
      </c>
      <c r="B1310" s="3">
        <v>42513</v>
      </c>
      <c r="C1310" s="3">
        <v>42517</v>
      </c>
      <c r="D1310" s="2" t="s">
        <v>55</v>
      </c>
      <c r="E1310" s="2" t="s">
        <v>1245</v>
      </c>
      <c r="F1310" s="2" t="s">
        <v>1246</v>
      </c>
      <c r="G1310" s="2" t="s">
        <v>58</v>
      </c>
      <c r="H1310" s="2" t="s">
        <v>25</v>
      </c>
      <c r="I1310" s="2" t="s">
        <v>662</v>
      </c>
      <c r="J1310" s="2" t="s">
        <v>310</v>
      </c>
      <c r="K1310" s="2" t="s">
        <v>28</v>
      </c>
      <c r="L1310" s="2" t="s">
        <v>139</v>
      </c>
      <c r="M1310" s="2" t="s">
        <v>30</v>
      </c>
      <c r="N1310" s="2" t="s">
        <v>42</v>
      </c>
      <c r="O1310" s="2" t="s">
        <v>140</v>
      </c>
      <c r="P1310" s="4">
        <v>133.3246</v>
      </c>
      <c r="Q1310" s="4">
        <v>5</v>
      </c>
      <c r="R1310" s="4">
        <v>16.015599999999999</v>
      </c>
      <c r="S1310" s="2" t="s">
        <v>75</v>
      </c>
      <c r="T1310" s="2" t="s">
        <v>122</v>
      </c>
    </row>
    <row r="1311" spans="1:20" x14ac:dyDescent="0.25">
      <c r="A1311" s="2" t="s">
        <v>2484</v>
      </c>
      <c r="B1311" s="3">
        <v>42533</v>
      </c>
      <c r="C1311" s="3">
        <v>42534</v>
      </c>
      <c r="D1311" s="2" t="s">
        <v>21</v>
      </c>
      <c r="E1311" s="2" t="s">
        <v>1581</v>
      </c>
      <c r="F1311" s="2" t="s">
        <v>1582</v>
      </c>
      <c r="G1311" s="2" t="s">
        <v>58</v>
      </c>
      <c r="H1311" s="2" t="s">
        <v>25</v>
      </c>
      <c r="I1311" s="2" t="s">
        <v>138</v>
      </c>
      <c r="J1311" s="2" t="s">
        <v>407</v>
      </c>
      <c r="K1311" s="2" t="s">
        <v>28</v>
      </c>
      <c r="L1311" s="2" t="s">
        <v>344</v>
      </c>
      <c r="M1311" s="2" t="s">
        <v>30</v>
      </c>
      <c r="N1311" s="2" t="s">
        <v>42</v>
      </c>
      <c r="O1311" s="2" t="s">
        <v>345</v>
      </c>
      <c r="P1311" s="4">
        <v>470.33890000000002</v>
      </c>
      <c r="Q1311" s="4">
        <v>8</v>
      </c>
      <c r="R1311" s="4">
        <v>161.38140000000001</v>
      </c>
      <c r="S1311" s="2" t="s">
        <v>33</v>
      </c>
      <c r="T1311" s="2" t="s">
        <v>133</v>
      </c>
    </row>
    <row r="1312" spans="1:20" x14ac:dyDescent="0.25">
      <c r="A1312" s="2" t="s">
        <v>2485</v>
      </c>
      <c r="B1312" s="3">
        <v>41950</v>
      </c>
      <c r="C1312" s="3">
        <v>41951</v>
      </c>
      <c r="D1312" s="2" t="s">
        <v>55</v>
      </c>
      <c r="E1312" s="2" t="s">
        <v>56</v>
      </c>
      <c r="F1312" s="2" t="s">
        <v>57</v>
      </c>
      <c r="G1312" s="2" t="s">
        <v>58</v>
      </c>
      <c r="H1312" s="2" t="s">
        <v>25</v>
      </c>
      <c r="I1312" s="2" t="s">
        <v>474</v>
      </c>
      <c r="J1312" s="2" t="s">
        <v>475</v>
      </c>
      <c r="K1312" s="2" t="s">
        <v>28</v>
      </c>
      <c r="L1312" s="2" t="s">
        <v>29</v>
      </c>
      <c r="M1312" s="2" t="s">
        <v>30</v>
      </c>
      <c r="N1312" s="2" t="s">
        <v>31</v>
      </c>
      <c r="O1312" s="2" t="s">
        <v>32</v>
      </c>
      <c r="P1312" s="4">
        <v>64.456100000000006</v>
      </c>
      <c r="Q1312" s="4">
        <v>10</v>
      </c>
      <c r="R1312" s="4">
        <v>-3.7787999999999999</v>
      </c>
      <c r="S1312" s="2" t="s">
        <v>33</v>
      </c>
      <c r="T1312" s="2" t="s">
        <v>93</v>
      </c>
    </row>
    <row r="1313" spans="1:20" x14ac:dyDescent="0.25">
      <c r="A1313" s="2" t="s">
        <v>2486</v>
      </c>
      <c r="B1313" s="3">
        <v>42103</v>
      </c>
      <c r="C1313" s="3">
        <v>42109</v>
      </c>
      <c r="D1313" s="2" t="s">
        <v>55</v>
      </c>
      <c r="E1313" s="2" t="s">
        <v>2487</v>
      </c>
      <c r="F1313" s="2" t="s">
        <v>2488</v>
      </c>
      <c r="G1313" s="2" t="s">
        <v>24</v>
      </c>
      <c r="H1313" s="2" t="s">
        <v>25</v>
      </c>
      <c r="I1313" s="2" t="s">
        <v>216</v>
      </c>
      <c r="J1313" s="2" t="s">
        <v>217</v>
      </c>
      <c r="K1313" s="2" t="s">
        <v>82</v>
      </c>
      <c r="L1313" s="2" t="s">
        <v>45</v>
      </c>
      <c r="M1313" s="2" t="s">
        <v>30</v>
      </c>
      <c r="N1313" s="2" t="s">
        <v>31</v>
      </c>
      <c r="O1313" s="2" t="s">
        <v>46</v>
      </c>
      <c r="P1313" s="4">
        <v>40.668700000000001</v>
      </c>
      <c r="Q1313" s="4">
        <v>2</v>
      </c>
      <c r="R1313" s="4">
        <v>-23.562000000000001</v>
      </c>
      <c r="S1313" s="2" t="s">
        <v>65</v>
      </c>
      <c r="T1313" s="2" t="s">
        <v>108</v>
      </c>
    </row>
    <row r="1314" spans="1:20" x14ac:dyDescent="0.25">
      <c r="A1314" s="2" t="s">
        <v>2489</v>
      </c>
      <c r="B1314" s="3">
        <v>42615</v>
      </c>
      <c r="C1314" s="3">
        <v>42619</v>
      </c>
      <c r="D1314" s="2" t="s">
        <v>55</v>
      </c>
      <c r="E1314" s="2" t="s">
        <v>341</v>
      </c>
      <c r="F1314" s="2" t="s">
        <v>342</v>
      </c>
      <c r="G1314" s="2" t="s">
        <v>58</v>
      </c>
      <c r="H1314" s="2" t="s">
        <v>25</v>
      </c>
      <c r="I1314" s="2" t="s">
        <v>594</v>
      </c>
      <c r="J1314" s="2" t="s">
        <v>595</v>
      </c>
      <c r="K1314" s="2" t="s">
        <v>61</v>
      </c>
      <c r="L1314" s="2" t="s">
        <v>29</v>
      </c>
      <c r="M1314" s="2" t="s">
        <v>30</v>
      </c>
      <c r="N1314" s="2" t="s">
        <v>31</v>
      </c>
      <c r="O1314" s="2" t="s">
        <v>32</v>
      </c>
      <c r="P1314" s="4">
        <v>114.2794</v>
      </c>
      <c r="Q1314" s="4">
        <v>13</v>
      </c>
      <c r="R1314" s="4">
        <v>-8.0076999999999998</v>
      </c>
      <c r="S1314" s="2" t="s">
        <v>75</v>
      </c>
      <c r="T1314" s="2" t="s">
        <v>148</v>
      </c>
    </row>
    <row r="1315" spans="1:20" x14ac:dyDescent="0.25">
      <c r="A1315" s="2" t="s">
        <v>2490</v>
      </c>
      <c r="B1315" s="3">
        <v>41776</v>
      </c>
      <c r="C1315" s="3">
        <v>41778</v>
      </c>
      <c r="D1315" s="2" t="s">
        <v>55</v>
      </c>
      <c r="E1315" s="2" t="s">
        <v>2491</v>
      </c>
      <c r="F1315" s="2" t="s">
        <v>2492</v>
      </c>
      <c r="G1315" s="2" t="s">
        <v>58</v>
      </c>
      <c r="H1315" s="2" t="s">
        <v>25</v>
      </c>
      <c r="I1315" s="2" t="s">
        <v>631</v>
      </c>
      <c r="J1315" s="2" t="s">
        <v>632</v>
      </c>
      <c r="K1315" s="2" t="s">
        <v>82</v>
      </c>
      <c r="L1315" s="2" t="s">
        <v>228</v>
      </c>
      <c r="M1315" s="2" t="s">
        <v>30</v>
      </c>
      <c r="N1315" s="2" t="s">
        <v>42</v>
      </c>
      <c r="O1315" s="2" t="s">
        <v>229</v>
      </c>
      <c r="P1315" s="4">
        <v>577.3759</v>
      </c>
      <c r="Q1315" s="4">
        <v>3</v>
      </c>
      <c r="R1315" s="4">
        <v>-165.2535</v>
      </c>
      <c r="S1315" s="2" t="s">
        <v>53</v>
      </c>
      <c r="T1315" s="2" t="s">
        <v>122</v>
      </c>
    </row>
    <row r="1316" spans="1:20" x14ac:dyDescent="0.25">
      <c r="A1316" s="2" t="s">
        <v>2493</v>
      </c>
      <c r="B1316" s="3">
        <v>42149</v>
      </c>
      <c r="C1316" s="3">
        <v>42151</v>
      </c>
      <c r="D1316" s="2" t="s">
        <v>55</v>
      </c>
      <c r="E1316" s="2" t="s">
        <v>157</v>
      </c>
      <c r="F1316" s="2" t="s">
        <v>158</v>
      </c>
      <c r="G1316" s="2" t="s">
        <v>58</v>
      </c>
      <c r="H1316" s="2" t="s">
        <v>25</v>
      </c>
      <c r="I1316" s="2" t="s">
        <v>1118</v>
      </c>
      <c r="J1316" s="2" t="s">
        <v>435</v>
      </c>
      <c r="K1316" s="2" t="s">
        <v>61</v>
      </c>
      <c r="L1316" s="2" t="s">
        <v>83</v>
      </c>
      <c r="M1316" s="2" t="s">
        <v>30</v>
      </c>
      <c r="N1316" s="2" t="s">
        <v>42</v>
      </c>
      <c r="O1316" s="2" t="s">
        <v>84</v>
      </c>
      <c r="P1316" s="4">
        <v>691.34019999999998</v>
      </c>
      <c r="Q1316" s="4">
        <v>1</v>
      </c>
      <c r="R1316" s="4">
        <v>-2.1181999999999999</v>
      </c>
      <c r="S1316" s="2" t="s">
        <v>53</v>
      </c>
      <c r="T1316" s="2" t="s">
        <v>122</v>
      </c>
    </row>
    <row r="1317" spans="1:20" x14ac:dyDescent="0.25">
      <c r="A1317" s="2" t="s">
        <v>2494</v>
      </c>
      <c r="B1317" s="3">
        <v>42310</v>
      </c>
      <c r="C1317" s="3">
        <v>42314</v>
      </c>
      <c r="D1317" s="2" t="s">
        <v>21</v>
      </c>
      <c r="E1317" s="2" t="s">
        <v>2338</v>
      </c>
      <c r="F1317" s="2" t="s">
        <v>2339</v>
      </c>
      <c r="G1317" s="2" t="s">
        <v>58</v>
      </c>
      <c r="H1317" s="2" t="s">
        <v>25</v>
      </c>
      <c r="I1317" s="2" t="s">
        <v>90</v>
      </c>
      <c r="J1317" s="2" t="s">
        <v>91</v>
      </c>
      <c r="K1317" s="2" t="s">
        <v>61</v>
      </c>
      <c r="L1317" s="2" t="s">
        <v>131</v>
      </c>
      <c r="M1317" s="2" t="s">
        <v>30</v>
      </c>
      <c r="N1317" s="2" t="s">
        <v>31</v>
      </c>
      <c r="O1317" s="2" t="s">
        <v>132</v>
      </c>
      <c r="P1317" s="4">
        <v>202.0746</v>
      </c>
      <c r="Q1317" s="4">
        <v>3</v>
      </c>
      <c r="R1317" s="4">
        <v>8.8915000000000006</v>
      </c>
      <c r="S1317" s="2" t="s">
        <v>75</v>
      </c>
      <c r="T1317" s="2" t="s">
        <v>93</v>
      </c>
    </row>
    <row r="1318" spans="1:20" x14ac:dyDescent="0.25">
      <c r="A1318" s="2" t="s">
        <v>2495</v>
      </c>
      <c r="B1318" s="3">
        <v>41895</v>
      </c>
      <c r="C1318" s="3">
        <v>41899</v>
      </c>
      <c r="D1318" s="2" t="s">
        <v>55</v>
      </c>
      <c r="E1318" s="2" t="s">
        <v>1538</v>
      </c>
      <c r="F1318" s="2" t="s">
        <v>1539</v>
      </c>
      <c r="G1318" s="2" t="s">
        <v>58</v>
      </c>
      <c r="H1318" s="2" t="s">
        <v>25</v>
      </c>
      <c r="I1318" s="2" t="s">
        <v>580</v>
      </c>
      <c r="J1318" s="2" t="s">
        <v>387</v>
      </c>
      <c r="K1318" s="2" t="s">
        <v>61</v>
      </c>
      <c r="L1318" s="2" t="s">
        <v>612</v>
      </c>
      <c r="M1318" s="2" t="s">
        <v>30</v>
      </c>
      <c r="N1318" s="2" t="s">
        <v>162</v>
      </c>
      <c r="O1318" s="2" t="s">
        <v>613</v>
      </c>
      <c r="P1318" s="4">
        <v>1694.0879</v>
      </c>
      <c r="Q1318" s="4">
        <v>5</v>
      </c>
      <c r="R1318" s="4">
        <v>-465.62209999999999</v>
      </c>
      <c r="S1318" s="2" t="s">
        <v>75</v>
      </c>
      <c r="T1318" s="2" t="s">
        <v>148</v>
      </c>
    </row>
    <row r="1319" spans="1:20" x14ac:dyDescent="0.25">
      <c r="A1319" s="2" t="s">
        <v>2496</v>
      </c>
      <c r="B1319" s="3">
        <v>41984</v>
      </c>
      <c r="C1319" s="3">
        <v>41988</v>
      </c>
      <c r="D1319" s="2" t="s">
        <v>21</v>
      </c>
      <c r="E1319" s="2" t="s">
        <v>734</v>
      </c>
      <c r="F1319" s="2" t="s">
        <v>735</v>
      </c>
      <c r="G1319" s="2" t="s">
        <v>58</v>
      </c>
      <c r="H1319" s="2" t="s">
        <v>25</v>
      </c>
      <c r="I1319" s="2" t="s">
        <v>527</v>
      </c>
      <c r="J1319" s="2" t="s">
        <v>496</v>
      </c>
      <c r="K1319" s="2" t="s">
        <v>147</v>
      </c>
      <c r="L1319" s="2" t="s">
        <v>99</v>
      </c>
      <c r="M1319" s="2" t="s">
        <v>30</v>
      </c>
      <c r="N1319" s="2" t="s">
        <v>42</v>
      </c>
      <c r="O1319" s="2" t="s">
        <v>100</v>
      </c>
      <c r="P1319" s="4">
        <v>377.13159999999999</v>
      </c>
      <c r="Q1319" s="4">
        <v>5</v>
      </c>
      <c r="R1319" s="4">
        <v>43.738100000000003</v>
      </c>
      <c r="S1319" s="2" t="s">
        <v>75</v>
      </c>
      <c r="T1319" s="2" t="s">
        <v>76</v>
      </c>
    </row>
    <row r="1320" spans="1:20" x14ac:dyDescent="0.25">
      <c r="A1320" s="2" t="s">
        <v>2496</v>
      </c>
      <c r="B1320" s="3">
        <v>41984</v>
      </c>
      <c r="C1320" s="3">
        <v>41988</v>
      </c>
      <c r="D1320" s="2" t="s">
        <v>21</v>
      </c>
      <c r="E1320" s="2" t="s">
        <v>734</v>
      </c>
      <c r="F1320" s="2" t="s">
        <v>735</v>
      </c>
      <c r="G1320" s="2" t="s">
        <v>58</v>
      </c>
      <c r="H1320" s="2" t="s">
        <v>25</v>
      </c>
      <c r="I1320" s="2" t="s">
        <v>527</v>
      </c>
      <c r="J1320" s="2" t="s">
        <v>496</v>
      </c>
      <c r="K1320" s="2" t="s">
        <v>147</v>
      </c>
      <c r="L1320" s="2" t="s">
        <v>254</v>
      </c>
      <c r="M1320" s="2" t="s">
        <v>30</v>
      </c>
      <c r="N1320" s="2" t="s">
        <v>162</v>
      </c>
      <c r="O1320" s="2" t="s">
        <v>255</v>
      </c>
      <c r="P1320" s="4">
        <v>87.110900000000001</v>
      </c>
      <c r="Q1320" s="4">
        <v>9</v>
      </c>
      <c r="R1320" s="4">
        <v>-21.535699999999999</v>
      </c>
      <c r="S1320" s="2" t="s">
        <v>75</v>
      </c>
      <c r="T1320" s="2" t="s">
        <v>76</v>
      </c>
    </row>
    <row r="1321" spans="1:20" x14ac:dyDescent="0.25">
      <c r="A1321" s="2" t="s">
        <v>2497</v>
      </c>
      <c r="B1321" s="3">
        <v>42525</v>
      </c>
      <c r="C1321" s="3">
        <v>42527</v>
      </c>
      <c r="D1321" s="2" t="s">
        <v>21</v>
      </c>
      <c r="E1321" s="2" t="s">
        <v>1791</v>
      </c>
      <c r="F1321" s="2" t="s">
        <v>1792</v>
      </c>
      <c r="G1321" s="2" t="s">
        <v>38</v>
      </c>
      <c r="H1321" s="2" t="s">
        <v>25</v>
      </c>
      <c r="I1321" s="2" t="s">
        <v>386</v>
      </c>
      <c r="J1321" s="2" t="s">
        <v>387</v>
      </c>
      <c r="K1321" s="2" t="s">
        <v>61</v>
      </c>
      <c r="L1321" s="2" t="s">
        <v>186</v>
      </c>
      <c r="M1321" s="2" t="s">
        <v>30</v>
      </c>
      <c r="N1321" s="2" t="s">
        <v>31</v>
      </c>
      <c r="O1321" s="2" t="s">
        <v>187</v>
      </c>
      <c r="P1321" s="4">
        <v>64.215100000000007</v>
      </c>
      <c r="Q1321" s="4">
        <v>1</v>
      </c>
      <c r="R1321" s="4">
        <v>5.0667999999999997</v>
      </c>
      <c r="S1321" s="2" t="s">
        <v>53</v>
      </c>
      <c r="T1321" s="2" t="s">
        <v>133</v>
      </c>
    </row>
    <row r="1322" spans="1:20" x14ac:dyDescent="0.25">
      <c r="A1322" s="2" t="s">
        <v>2498</v>
      </c>
      <c r="B1322" s="3">
        <v>41810</v>
      </c>
      <c r="C1322" s="3">
        <v>41816</v>
      </c>
      <c r="D1322" s="2" t="s">
        <v>55</v>
      </c>
      <c r="E1322" s="2" t="s">
        <v>1986</v>
      </c>
      <c r="F1322" s="2" t="s">
        <v>1987</v>
      </c>
      <c r="G1322" s="2" t="s">
        <v>38</v>
      </c>
      <c r="H1322" s="2" t="s">
        <v>25</v>
      </c>
      <c r="I1322" s="2" t="s">
        <v>216</v>
      </c>
      <c r="J1322" s="2" t="s">
        <v>217</v>
      </c>
      <c r="K1322" s="2" t="s">
        <v>82</v>
      </c>
      <c r="L1322" s="2" t="s">
        <v>793</v>
      </c>
      <c r="M1322" s="2" t="s">
        <v>30</v>
      </c>
      <c r="N1322" s="2" t="s">
        <v>63</v>
      </c>
      <c r="O1322" s="2" t="s">
        <v>794</v>
      </c>
      <c r="P1322" s="4">
        <v>2899.2593000000002</v>
      </c>
      <c r="Q1322" s="4">
        <v>1</v>
      </c>
      <c r="R1322" s="4">
        <v>-74.006</v>
      </c>
      <c r="S1322" s="2" t="s">
        <v>65</v>
      </c>
      <c r="T1322" s="2" t="s">
        <v>133</v>
      </c>
    </row>
    <row r="1323" spans="1:20" x14ac:dyDescent="0.25">
      <c r="A1323" s="2" t="s">
        <v>2499</v>
      </c>
      <c r="B1323" s="3">
        <v>42639</v>
      </c>
      <c r="C1323" s="3">
        <v>42640</v>
      </c>
      <c r="D1323" s="2" t="s">
        <v>55</v>
      </c>
      <c r="E1323" s="2" t="s">
        <v>1976</v>
      </c>
      <c r="F1323" s="2" t="s">
        <v>1977</v>
      </c>
      <c r="G1323" s="2" t="s">
        <v>38</v>
      </c>
      <c r="H1323" s="2" t="s">
        <v>25</v>
      </c>
      <c r="I1323" s="2" t="s">
        <v>297</v>
      </c>
      <c r="J1323" s="2" t="s">
        <v>234</v>
      </c>
      <c r="K1323" s="2" t="s">
        <v>82</v>
      </c>
      <c r="L1323" s="2" t="s">
        <v>228</v>
      </c>
      <c r="M1323" s="2" t="s">
        <v>30</v>
      </c>
      <c r="N1323" s="2" t="s">
        <v>42</v>
      </c>
      <c r="O1323" s="2" t="s">
        <v>229</v>
      </c>
      <c r="P1323" s="4">
        <v>126.2371</v>
      </c>
      <c r="Q1323" s="4">
        <v>4</v>
      </c>
      <c r="R1323" s="4">
        <v>43.922499999999999</v>
      </c>
      <c r="S1323" s="2" t="s">
        <v>33</v>
      </c>
      <c r="T1323" s="2" t="s">
        <v>148</v>
      </c>
    </row>
    <row r="1324" spans="1:20" x14ac:dyDescent="0.25">
      <c r="A1324" s="2" t="s">
        <v>2500</v>
      </c>
      <c r="B1324" s="3">
        <v>42378</v>
      </c>
      <c r="C1324" s="3">
        <v>42381</v>
      </c>
      <c r="D1324" s="2" t="s">
        <v>21</v>
      </c>
      <c r="E1324" s="2" t="s">
        <v>2501</v>
      </c>
      <c r="F1324" s="2" t="s">
        <v>2502</v>
      </c>
      <c r="G1324" s="2" t="s">
        <v>38</v>
      </c>
      <c r="H1324" s="2" t="s">
        <v>25</v>
      </c>
      <c r="I1324" s="2" t="s">
        <v>805</v>
      </c>
      <c r="J1324" s="2" t="s">
        <v>351</v>
      </c>
      <c r="K1324" s="2" t="s">
        <v>147</v>
      </c>
      <c r="L1324" s="2" t="s">
        <v>372</v>
      </c>
      <c r="M1324" s="2" t="s">
        <v>30</v>
      </c>
      <c r="N1324" s="2" t="s">
        <v>162</v>
      </c>
      <c r="O1324" s="2" t="s">
        <v>373</v>
      </c>
      <c r="P1324" s="4">
        <v>845.40060000000005</v>
      </c>
      <c r="Q1324" s="4">
        <v>4</v>
      </c>
      <c r="R1324" s="4">
        <v>-5.8794000000000004</v>
      </c>
      <c r="S1324" s="2" t="s">
        <v>92</v>
      </c>
      <c r="T1324" s="2" t="s">
        <v>115</v>
      </c>
    </row>
    <row r="1325" spans="1:20" x14ac:dyDescent="0.25">
      <c r="A1325" s="2" t="s">
        <v>2503</v>
      </c>
      <c r="B1325" s="3">
        <v>42926</v>
      </c>
      <c r="C1325" s="3">
        <v>42931</v>
      </c>
      <c r="D1325" s="2" t="s">
        <v>55</v>
      </c>
      <c r="E1325" s="2" t="s">
        <v>2504</v>
      </c>
      <c r="F1325" s="2" t="s">
        <v>2505</v>
      </c>
      <c r="G1325" s="2" t="s">
        <v>24</v>
      </c>
      <c r="H1325" s="2" t="s">
        <v>25</v>
      </c>
      <c r="I1325" s="2" t="s">
        <v>623</v>
      </c>
      <c r="J1325" s="2" t="s">
        <v>40</v>
      </c>
      <c r="K1325" s="2" t="s">
        <v>28</v>
      </c>
      <c r="L1325" s="2" t="s">
        <v>174</v>
      </c>
      <c r="M1325" s="2" t="s">
        <v>30</v>
      </c>
      <c r="N1325" s="2" t="s">
        <v>31</v>
      </c>
      <c r="O1325" s="2" t="s">
        <v>175</v>
      </c>
      <c r="P1325" s="4">
        <v>140.958</v>
      </c>
      <c r="Q1325" s="4">
        <v>2</v>
      </c>
      <c r="R1325" s="4">
        <v>21.279</v>
      </c>
      <c r="S1325" s="2" t="s">
        <v>85</v>
      </c>
      <c r="T1325" s="2" t="s">
        <v>86</v>
      </c>
    </row>
    <row r="1326" spans="1:20" x14ac:dyDescent="0.25">
      <c r="A1326" s="2" t="s">
        <v>2506</v>
      </c>
      <c r="B1326" s="3">
        <v>42575</v>
      </c>
      <c r="C1326" s="3">
        <v>42575</v>
      </c>
      <c r="D1326" s="2" t="s">
        <v>55</v>
      </c>
      <c r="E1326" s="2" t="s">
        <v>1023</v>
      </c>
      <c r="F1326" s="2" t="s">
        <v>1024</v>
      </c>
      <c r="G1326" s="2" t="s">
        <v>24</v>
      </c>
      <c r="H1326" s="2" t="s">
        <v>25</v>
      </c>
      <c r="I1326" s="2" t="s">
        <v>1366</v>
      </c>
      <c r="J1326" s="2" t="s">
        <v>244</v>
      </c>
      <c r="K1326" s="2" t="s">
        <v>61</v>
      </c>
      <c r="L1326" s="2" t="s">
        <v>235</v>
      </c>
      <c r="M1326" s="2" t="s">
        <v>30</v>
      </c>
      <c r="N1326" s="2" t="s">
        <v>31</v>
      </c>
      <c r="O1326" s="2" t="s">
        <v>236</v>
      </c>
      <c r="P1326" s="4">
        <v>581.3125</v>
      </c>
      <c r="Q1326" s="4">
        <v>2</v>
      </c>
      <c r="R1326" s="4">
        <v>-69.837900000000005</v>
      </c>
      <c r="S1326" s="2" t="s">
        <v>121</v>
      </c>
      <c r="T1326" s="2" t="s">
        <v>86</v>
      </c>
    </row>
    <row r="1327" spans="1:20" x14ac:dyDescent="0.25">
      <c r="A1327" s="2" t="s">
        <v>2507</v>
      </c>
      <c r="B1327" s="3">
        <v>42178</v>
      </c>
      <c r="C1327" s="3">
        <v>42179</v>
      </c>
      <c r="D1327" s="2" t="s">
        <v>21</v>
      </c>
      <c r="E1327" s="2" t="s">
        <v>1898</v>
      </c>
      <c r="F1327" s="2" t="s">
        <v>1899</v>
      </c>
      <c r="G1327" s="2" t="s">
        <v>38</v>
      </c>
      <c r="H1327" s="2" t="s">
        <v>25</v>
      </c>
      <c r="I1327" s="2" t="s">
        <v>105</v>
      </c>
      <c r="J1327" s="2" t="s">
        <v>106</v>
      </c>
      <c r="K1327" s="2" t="s">
        <v>61</v>
      </c>
      <c r="L1327" s="2" t="s">
        <v>186</v>
      </c>
      <c r="M1327" s="2" t="s">
        <v>30</v>
      </c>
      <c r="N1327" s="2" t="s">
        <v>31</v>
      </c>
      <c r="O1327" s="2" t="s">
        <v>187</v>
      </c>
      <c r="P1327" s="4">
        <v>150.80629999999999</v>
      </c>
      <c r="Q1327" s="4">
        <v>2</v>
      </c>
      <c r="R1327" s="4">
        <v>27.4221</v>
      </c>
      <c r="S1327" s="2" t="s">
        <v>33</v>
      </c>
      <c r="T1327" s="2" t="s">
        <v>133</v>
      </c>
    </row>
    <row r="1328" spans="1:20" x14ac:dyDescent="0.25">
      <c r="A1328" s="2" t="s">
        <v>2507</v>
      </c>
      <c r="B1328" s="3">
        <v>42178</v>
      </c>
      <c r="C1328" s="3">
        <v>42179</v>
      </c>
      <c r="D1328" s="2" t="s">
        <v>21</v>
      </c>
      <c r="E1328" s="2" t="s">
        <v>1898</v>
      </c>
      <c r="F1328" s="2" t="s">
        <v>1899</v>
      </c>
      <c r="G1328" s="2" t="s">
        <v>38</v>
      </c>
      <c r="H1328" s="2" t="s">
        <v>25</v>
      </c>
      <c r="I1328" s="2" t="s">
        <v>105</v>
      </c>
      <c r="J1328" s="2" t="s">
        <v>106</v>
      </c>
      <c r="K1328" s="2" t="s">
        <v>61</v>
      </c>
      <c r="L1328" s="2" t="s">
        <v>453</v>
      </c>
      <c r="M1328" s="2" t="s">
        <v>30</v>
      </c>
      <c r="N1328" s="2" t="s">
        <v>42</v>
      </c>
      <c r="O1328" s="2" t="s">
        <v>454</v>
      </c>
      <c r="P1328" s="4">
        <v>749.80079999999998</v>
      </c>
      <c r="Q1328" s="4">
        <v>6</v>
      </c>
      <c r="R1328" s="4">
        <v>57.7607</v>
      </c>
      <c r="S1328" s="2" t="s">
        <v>33</v>
      </c>
      <c r="T1328" s="2" t="s">
        <v>133</v>
      </c>
    </row>
    <row r="1329" spans="1:20" x14ac:dyDescent="0.25">
      <c r="A1329" s="2" t="s">
        <v>2508</v>
      </c>
      <c r="B1329" s="3">
        <v>42106</v>
      </c>
      <c r="C1329" s="3">
        <v>42113</v>
      </c>
      <c r="D1329" s="2" t="s">
        <v>55</v>
      </c>
      <c r="E1329" s="2" t="s">
        <v>2509</v>
      </c>
      <c r="F1329" s="2" t="s">
        <v>2510</v>
      </c>
      <c r="G1329" s="2" t="s">
        <v>58</v>
      </c>
      <c r="H1329" s="2" t="s">
        <v>25</v>
      </c>
      <c r="I1329" s="2" t="s">
        <v>982</v>
      </c>
      <c r="J1329" s="2" t="s">
        <v>180</v>
      </c>
      <c r="K1329" s="2" t="s">
        <v>147</v>
      </c>
      <c r="L1329" s="2" t="s">
        <v>207</v>
      </c>
      <c r="M1329" s="2" t="s">
        <v>30</v>
      </c>
      <c r="N1329" s="2" t="s">
        <v>31</v>
      </c>
      <c r="O1329" s="2" t="s">
        <v>208</v>
      </c>
      <c r="P1329" s="4">
        <v>7.1342999999999996</v>
      </c>
      <c r="Q1329" s="4">
        <v>2</v>
      </c>
      <c r="R1329" s="4">
        <v>-3.0669</v>
      </c>
      <c r="S1329" s="2" t="s">
        <v>107</v>
      </c>
      <c r="T1329" s="2" t="s">
        <v>108</v>
      </c>
    </row>
    <row r="1330" spans="1:20" x14ac:dyDescent="0.25">
      <c r="A1330" s="2" t="s">
        <v>2511</v>
      </c>
      <c r="B1330" s="3">
        <v>42182</v>
      </c>
      <c r="C1330" s="3">
        <v>42182</v>
      </c>
      <c r="D1330" s="2" t="s">
        <v>142</v>
      </c>
      <c r="E1330" s="2" t="s">
        <v>498</v>
      </c>
      <c r="F1330" s="2" t="s">
        <v>499</v>
      </c>
      <c r="G1330" s="2" t="s">
        <v>58</v>
      </c>
      <c r="H1330" s="2" t="s">
        <v>25</v>
      </c>
      <c r="I1330" s="2" t="s">
        <v>80</v>
      </c>
      <c r="J1330" s="2" t="s">
        <v>81</v>
      </c>
      <c r="K1330" s="2" t="s">
        <v>82</v>
      </c>
      <c r="L1330" s="2" t="s">
        <v>344</v>
      </c>
      <c r="M1330" s="2" t="s">
        <v>30</v>
      </c>
      <c r="N1330" s="2" t="s">
        <v>42</v>
      </c>
      <c r="O1330" s="2" t="s">
        <v>345</v>
      </c>
      <c r="P1330" s="4">
        <v>689.12480000000005</v>
      </c>
      <c r="Q1330" s="4">
        <v>4</v>
      </c>
      <c r="R1330" s="4">
        <v>-4.7874999999999996</v>
      </c>
      <c r="S1330" s="2" t="s">
        <v>121</v>
      </c>
      <c r="T1330" s="2" t="s">
        <v>133</v>
      </c>
    </row>
    <row r="1331" spans="1:20" x14ac:dyDescent="0.25">
      <c r="A1331" s="2" t="s">
        <v>2512</v>
      </c>
      <c r="B1331" s="3">
        <v>42275</v>
      </c>
      <c r="C1331" s="3">
        <v>42276</v>
      </c>
      <c r="D1331" s="2" t="s">
        <v>55</v>
      </c>
      <c r="E1331" s="2" t="s">
        <v>1605</v>
      </c>
      <c r="F1331" s="2" t="s">
        <v>1606</v>
      </c>
      <c r="G1331" s="2" t="s">
        <v>38</v>
      </c>
      <c r="H1331" s="2" t="s">
        <v>25</v>
      </c>
      <c r="I1331" s="2" t="s">
        <v>137</v>
      </c>
      <c r="J1331" s="2" t="s">
        <v>138</v>
      </c>
      <c r="K1331" s="2" t="s">
        <v>82</v>
      </c>
      <c r="L1331" s="2" t="s">
        <v>235</v>
      </c>
      <c r="M1331" s="2" t="s">
        <v>30</v>
      </c>
      <c r="N1331" s="2" t="s">
        <v>31</v>
      </c>
      <c r="O1331" s="2" t="s">
        <v>236</v>
      </c>
      <c r="P1331" s="4">
        <v>118.0142</v>
      </c>
      <c r="Q1331" s="4">
        <v>3</v>
      </c>
      <c r="R1331" s="4">
        <v>-53.542900000000003</v>
      </c>
      <c r="S1331" s="2" t="s">
        <v>33</v>
      </c>
      <c r="T1331" s="2" t="s">
        <v>148</v>
      </c>
    </row>
    <row r="1332" spans="1:20" x14ac:dyDescent="0.25">
      <c r="A1332" s="2" t="s">
        <v>2513</v>
      </c>
      <c r="B1332" s="3">
        <v>42468</v>
      </c>
      <c r="C1332" s="3">
        <v>42468</v>
      </c>
      <c r="D1332" s="2" t="s">
        <v>48</v>
      </c>
      <c r="E1332" s="2" t="s">
        <v>1635</v>
      </c>
      <c r="F1332" s="2" t="s">
        <v>1636</v>
      </c>
      <c r="G1332" s="2" t="s">
        <v>38</v>
      </c>
      <c r="H1332" s="2" t="s">
        <v>25</v>
      </c>
      <c r="I1332" s="2" t="s">
        <v>1055</v>
      </c>
      <c r="J1332" s="2" t="s">
        <v>106</v>
      </c>
      <c r="K1332" s="2" t="s">
        <v>61</v>
      </c>
      <c r="L1332" s="2" t="s">
        <v>131</v>
      </c>
      <c r="M1332" s="2" t="s">
        <v>30</v>
      </c>
      <c r="N1332" s="2" t="s">
        <v>31</v>
      </c>
      <c r="O1332" s="2" t="s">
        <v>132</v>
      </c>
      <c r="P1332" s="4">
        <v>44.7239</v>
      </c>
      <c r="Q1332" s="4">
        <v>2</v>
      </c>
      <c r="R1332" s="4">
        <v>-10.694100000000001</v>
      </c>
      <c r="S1332" s="2" t="s">
        <v>121</v>
      </c>
      <c r="T1332" s="2" t="s">
        <v>108</v>
      </c>
    </row>
    <row r="1333" spans="1:20" x14ac:dyDescent="0.25">
      <c r="A1333" s="2" t="s">
        <v>2513</v>
      </c>
      <c r="B1333" s="3">
        <v>42468</v>
      </c>
      <c r="C1333" s="3">
        <v>42468</v>
      </c>
      <c r="D1333" s="2" t="s">
        <v>48</v>
      </c>
      <c r="E1333" s="2" t="s">
        <v>1635</v>
      </c>
      <c r="F1333" s="2" t="s">
        <v>1636</v>
      </c>
      <c r="G1333" s="2" t="s">
        <v>38</v>
      </c>
      <c r="H1333" s="2" t="s">
        <v>25</v>
      </c>
      <c r="I1333" s="2" t="s">
        <v>1055</v>
      </c>
      <c r="J1333" s="2" t="s">
        <v>106</v>
      </c>
      <c r="K1333" s="2" t="s">
        <v>61</v>
      </c>
      <c r="L1333" s="2" t="s">
        <v>252</v>
      </c>
      <c r="M1333" s="2" t="s">
        <v>30</v>
      </c>
      <c r="N1333" s="2" t="s">
        <v>31</v>
      </c>
      <c r="O1333" s="2" t="s">
        <v>253</v>
      </c>
      <c r="P1333" s="4">
        <v>32.101599999999998</v>
      </c>
      <c r="Q1333" s="4">
        <v>1</v>
      </c>
      <c r="R1333" s="4">
        <v>-7.4786000000000001</v>
      </c>
      <c r="S1333" s="2" t="s">
        <v>121</v>
      </c>
      <c r="T1333" s="2" t="s">
        <v>108</v>
      </c>
    </row>
    <row r="1334" spans="1:20" x14ac:dyDescent="0.25">
      <c r="A1334" s="2" t="s">
        <v>2514</v>
      </c>
      <c r="B1334" s="3">
        <v>42303</v>
      </c>
      <c r="C1334" s="3">
        <v>42305</v>
      </c>
      <c r="D1334" s="2" t="s">
        <v>21</v>
      </c>
      <c r="E1334" s="2" t="s">
        <v>1175</v>
      </c>
      <c r="F1334" s="2" t="s">
        <v>1176</v>
      </c>
      <c r="G1334" s="2" t="s">
        <v>24</v>
      </c>
      <c r="H1334" s="2" t="s">
        <v>25</v>
      </c>
      <c r="I1334" s="2" t="s">
        <v>1096</v>
      </c>
      <c r="J1334" s="2" t="s">
        <v>806</v>
      </c>
      <c r="K1334" s="2" t="s">
        <v>28</v>
      </c>
      <c r="L1334" s="2" t="s">
        <v>154</v>
      </c>
      <c r="M1334" s="2" t="s">
        <v>30</v>
      </c>
      <c r="N1334" s="2" t="s">
        <v>42</v>
      </c>
      <c r="O1334" s="2" t="s">
        <v>155</v>
      </c>
      <c r="P1334" s="4">
        <v>380.20769999999999</v>
      </c>
      <c r="Q1334" s="4">
        <v>2</v>
      </c>
      <c r="R1334" s="4">
        <v>25.206299999999999</v>
      </c>
      <c r="S1334" s="2" t="s">
        <v>53</v>
      </c>
      <c r="T1334" s="2" t="s">
        <v>224</v>
      </c>
    </row>
    <row r="1335" spans="1:20" x14ac:dyDescent="0.25">
      <c r="A1335" s="2" t="s">
        <v>2515</v>
      </c>
      <c r="B1335" s="3">
        <v>42088</v>
      </c>
      <c r="C1335" s="3">
        <v>42088</v>
      </c>
      <c r="D1335" s="2" t="s">
        <v>55</v>
      </c>
      <c r="E1335" s="2" t="s">
        <v>924</v>
      </c>
      <c r="F1335" s="2" t="s">
        <v>925</v>
      </c>
      <c r="G1335" s="2" t="s">
        <v>58</v>
      </c>
      <c r="H1335" s="2" t="s">
        <v>25</v>
      </c>
      <c r="I1335" s="2" t="s">
        <v>138</v>
      </c>
      <c r="J1335" s="2" t="s">
        <v>407</v>
      </c>
      <c r="K1335" s="2" t="s">
        <v>28</v>
      </c>
      <c r="L1335" s="2" t="s">
        <v>200</v>
      </c>
      <c r="M1335" s="2" t="s">
        <v>30</v>
      </c>
      <c r="N1335" s="2" t="s">
        <v>162</v>
      </c>
      <c r="O1335" s="2" t="s">
        <v>201</v>
      </c>
      <c r="P1335" s="4">
        <v>182.93989999999999</v>
      </c>
      <c r="Q1335" s="4">
        <v>3</v>
      </c>
      <c r="R1335" s="4">
        <v>-63.776699999999998</v>
      </c>
      <c r="S1335" s="2" t="s">
        <v>121</v>
      </c>
      <c r="T1335" s="2" t="s">
        <v>44</v>
      </c>
    </row>
    <row r="1336" spans="1:20" x14ac:dyDescent="0.25">
      <c r="A1336" s="2" t="s">
        <v>2515</v>
      </c>
      <c r="B1336" s="3">
        <v>42088</v>
      </c>
      <c r="C1336" s="3">
        <v>42088</v>
      </c>
      <c r="D1336" s="2" t="s">
        <v>55</v>
      </c>
      <c r="E1336" s="2" t="s">
        <v>924</v>
      </c>
      <c r="F1336" s="2" t="s">
        <v>925</v>
      </c>
      <c r="G1336" s="2" t="s">
        <v>58</v>
      </c>
      <c r="H1336" s="2" t="s">
        <v>25</v>
      </c>
      <c r="I1336" s="2" t="s">
        <v>138</v>
      </c>
      <c r="J1336" s="2" t="s">
        <v>407</v>
      </c>
      <c r="K1336" s="2" t="s">
        <v>28</v>
      </c>
      <c r="L1336" s="2" t="s">
        <v>820</v>
      </c>
      <c r="M1336" s="2" t="s">
        <v>30</v>
      </c>
      <c r="N1336" s="2" t="s">
        <v>162</v>
      </c>
      <c r="O1336" s="2" t="s">
        <v>821</v>
      </c>
      <c r="P1336" s="4">
        <v>959.93759999999997</v>
      </c>
      <c r="Q1336" s="4">
        <v>7</v>
      </c>
      <c r="R1336" s="4">
        <v>130.0077</v>
      </c>
      <c r="S1336" s="2" t="s">
        <v>121</v>
      </c>
      <c r="T1336" s="2" t="s">
        <v>44</v>
      </c>
    </row>
    <row r="1337" spans="1:20" x14ac:dyDescent="0.25">
      <c r="A1337" s="2" t="s">
        <v>2516</v>
      </c>
      <c r="B1337" s="3">
        <v>42803</v>
      </c>
      <c r="C1337" s="3">
        <v>42805</v>
      </c>
      <c r="D1337" s="2" t="s">
        <v>21</v>
      </c>
      <c r="E1337" s="2" t="s">
        <v>568</v>
      </c>
      <c r="F1337" s="2" t="s">
        <v>569</v>
      </c>
      <c r="G1337" s="2" t="s">
        <v>58</v>
      </c>
      <c r="H1337" s="2" t="s">
        <v>25</v>
      </c>
      <c r="I1337" s="2" t="s">
        <v>699</v>
      </c>
      <c r="J1337" s="2" t="s">
        <v>339</v>
      </c>
      <c r="K1337" s="2" t="s">
        <v>82</v>
      </c>
      <c r="L1337" s="2" t="s">
        <v>245</v>
      </c>
      <c r="M1337" s="2" t="s">
        <v>30</v>
      </c>
      <c r="N1337" s="2" t="s">
        <v>42</v>
      </c>
      <c r="O1337" s="2" t="s">
        <v>246</v>
      </c>
      <c r="P1337" s="4">
        <v>383.4271</v>
      </c>
      <c r="Q1337" s="4">
        <v>6</v>
      </c>
      <c r="R1337" s="4">
        <v>211.4376</v>
      </c>
      <c r="S1337" s="2" t="s">
        <v>53</v>
      </c>
      <c r="T1337" s="2" t="s">
        <v>44</v>
      </c>
    </row>
    <row r="1338" spans="1:20" x14ac:dyDescent="0.25">
      <c r="A1338" s="2" t="s">
        <v>2517</v>
      </c>
      <c r="B1338" s="3">
        <v>42386</v>
      </c>
      <c r="C1338" s="3">
        <v>42389</v>
      </c>
      <c r="D1338" s="2" t="s">
        <v>55</v>
      </c>
      <c r="E1338" s="2" t="s">
        <v>2004</v>
      </c>
      <c r="F1338" s="2" t="s">
        <v>2005</v>
      </c>
      <c r="G1338" s="2" t="s">
        <v>38</v>
      </c>
      <c r="H1338" s="2" t="s">
        <v>25</v>
      </c>
      <c r="I1338" s="2" t="s">
        <v>509</v>
      </c>
      <c r="J1338" s="2" t="s">
        <v>356</v>
      </c>
      <c r="K1338" s="2" t="s">
        <v>147</v>
      </c>
      <c r="L1338" s="2" t="s">
        <v>252</v>
      </c>
      <c r="M1338" s="2" t="s">
        <v>30</v>
      </c>
      <c r="N1338" s="2" t="s">
        <v>31</v>
      </c>
      <c r="O1338" s="2" t="s">
        <v>253</v>
      </c>
      <c r="P1338" s="4">
        <v>503.26960000000003</v>
      </c>
      <c r="Q1338" s="4">
        <v>1</v>
      </c>
      <c r="R1338" s="4">
        <v>104.9055</v>
      </c>
      <c r="S1338" s="2" t="s">
        <v>92</v>
      </c>
      <c r="T1338" s="2" t="s">
        <v>115</v>
      </c>
    </row>
    <row r="1339" spans="1:20" x14ac:dyDescent="0.25">
      <c r="A1339" s="2" t="s">
        <v>2518</v>
      </c>
      <c r="B1339" s="3">
        <v>42679</v>
      </c>
      <c r="C1339" s="3">
        <v>42683</v>
      </c>
      <c r="D1339" s="2" t="s">
        <v>21</v>
      </c>
      <c r="E1339" s="2" t="s">
        <v>2106</v>
      </c>
      <c r="F1339" s="2" t="s">
        <v>2107</v>
      </c>
      <c r="G1339" s="2" t="s">
        <v>58</v>
      </c>
      <c r="H1339" s="2" t="s">
        <v>25</v>
      </c>
      <c r="I1339" s="2" t="s">
        <v>977</v>
      </c>
      <c r="J1339" s="2" t="s">
        <v>475</v>
      </c>
      <c r="K1339" s="2" t="s">
        <v>28</v>
      </c>
      <c r="L1339" s="2" t="s">
        <v>83</v>
      </c>
      <c r="M1339" s="2" t="s">
        <v>30</v>
      </c>
      <c r="N1339" s="2" t="s">
        <v>42</v>
      </c>
      <c r="O1339" s="2" t="s">
        <v>84</v>
      </c>
      <c r="P1339" s="4">
        <v>836.40959999999995</v>
      </c>
      <c r="Q1339" s="4">
        <v>2</v>
      </c>
      <c r="R1339" s="4">
        <v>61.740900000000003</v>
      </c>
      <c r="S1339" s="2" t="s">
        <v>75</v>
      </c>
      <c r="T1339" s="2" t="s">
        <v>93</v>
      </c>
    </row>
    <row r="1340" spans="1:20" x14ac:dyDescent="0.25">
      <c r="A1340" s="2" t="s">
        <v>2518</v>
      </c>
      <c r="B1340" s="3">
        <v>42679</v>
      </c>
      <c r="C1340" s="3">
        <v>42683</v>
      </c>
      <c r="D1340" s="2" t="s">
        <v>21</v>
      </c>
      <c r="E1340" s="2" t="s">
        <v>2106</v>
      </c>
      <c r="F1340" s="2" t="s">
        <v>2107</v>
      </c>
      <c r="G1340" s="2" t="s">
        <v>58</v>
      </c>
      <c r="H1340" s="2" t="s">
        <v>25</v>
      </c>
      <c r="I1340" s="2" t="s">
        <v>977</v>
      </c>
      <c r="J1340" s="2" t="s">
        <v>475</v>
      </c>
      <c r="K1340" s="2" t="s">
        <v>28</v>
      </c>
      <c r="L1340" s="2" t="s">
        <v>174</v>
      </c>
      <c r="M1340" s="2" t="s">
        <v>30</v>
      </c>
      <c r="N1340" s="2" t="s">
        <v>31</v>
      </c>
      <c r="O1340" s="2" t="s">
        <v>175</v>
      </c>
      <c r="P1340" s="4">
        <v>6.9842000000000004</v>
      </c>
      <c r="Q1340" s="4">
        <v>2</v>
      </c>
      <c r="R1340" s="4">
        <v>1.9389000000000001</v>
      </c>
      <c r="S1340" s="2" t="s">
        <v>75</v>
      </c>
      <c r="T1340" s="2" t="s">
        <v>93</v>
      </c>
    </row>
    <row r="1341" spans="1:20" x14ac:dyDescent="0.25">
      <c r="A1341" s="2" t="s">
        <v>2519</v>
      </c>
      <c r="B1341" s="3">
        <v>42582</v>
      </c>
      <c r="C1341" s="3">
        <v>42582</v>
      </c>
      <c r="D1341" s="2" t="s">
        <v>55</v>
      </c>
      <c r="E1341" s="2" t="s">
        <v>1482</v>
      </c>
      <c r="F1341" s="2" t="s">
        <v>1483</v>
      </c>
      <c r="G1341" s="2" t="s">
        <v>38</v>
      </c>
      <c r="H1341" s="2" t="s">
        <v>25</v>
      </c>
      <c r="I1341" s="2" t="s">
        <v>152</v>
      </c>
      <c r="J1341" s="2" t="s">
        <v>153</v>
      </c>
      <c r="K1341" s="2" t="s">
        <v>147</v>
      </c>
      <c r="L1341" s="2" t="s">
        <v>254</v>
      </c>
      <c r="M1341" s="2" t="s">
        <v>30</v>
      </c>
      <c r="N1341" s="2" t="s">
        <v>162</v>
      </c>
      <c r="O1341" s="2" t="s">
        <v>255</v>
      </c>
      <c r="P1341" s="4">
        <v>178.5523</v>
      </c>
      <c r="Q1341" s="4">
        <v>2</v>
      </c>
      <c r="R1341" s="4">
        <v>-21.5883</v>
      </c>
      <c r="S1341" s="2" t="s">
        <v>121</v>
      </c>
      <c r="T1341" s="2" t="s">
        <v>86</v>
      </c>
    </row>
    <row r="1342" spans="1:20" x14ac:dyDescent="0.25">
      <c r="A1342" s="2" t="s">
        <v>2519</v>
      </c>
      <c r="B1342" s="3">
        <v>42582</v>
      </c>
      <c r="C1342" s="3">
        <v>42582</v>
      </c>
      <c r="D1342" s="2" t="s">
        <v>55</v>
      </c>
      <c r="E1342" s="2" t="s">
        <v>1482</v>
      </c>
      <c r="F1342" s="2" t="s">
        <v>1483</v>
      </c>
      <c r="G1342" s="2" t="s">
        <v>38</v>
      </c>
      <c r="H1342" s="2" t="s">
        <v>25</v>
      </c>
      <c r="I1342" s="2" t="s">
        <v>152</v>
      </c>
      <c r="J1342" s="2" t="s">
        <v>153</v>
      </c>
      <c r="K1342" s="2" t="s">
        <v>147</v>
      </c>
      <c r="L1342" s="2" t="s">
        <v>99</v>
      </c>
      <c r="M1342" s="2" t="s">
        <v>30</v>
      </c>
      <c r="N1342" s="2" t="s">
        <v>42</v>
      </c>
      <c r="O1342" s="2" t="s">
        <v>100</v>
      </c>
      <c r="P1342" s="4">
        <v>789.88400000000001</v>
      </c>
      <c r="Q1342" s="4">
        <v>1</v>
      </c>
      <c r="R1342" s="4">
        <v>235.95310000000001</v>
      </c>
      <c r="S1342" s="2" t="s">
        <v>121</v>
      </c>
      <c r="T1342" s="2" t="s">
        <v>86</v>
      </c>
    </row>
    <row r="1343" spans="1:20" x14ac:dyDescent="0.25">
      <c r="A1343" s="2" t="s">
        <v>2520</v>
      </c>
      <c r="B1343" s="3">
        <v>42365</v>
      </c>
      <c r="C1343" s="3">
        <v>42367</v>
      </c>
      <c r="D1343" s="2" t="s">
        <v>55</v>
      </c>
      <c r="E1343" s="2" t="s">
        <v>221</v>
      </c>
      <c r="F1343" s="2" t="s">
        <v>222</v>
      </c>
      <c r="G1343" s="2" t="s">
        <v>38</v>
      </c>
      <c r="H1343" s="2" t="s">
        <v>25</v>
      </c>
      <c r="I1343" s="2" t="s">
        <v>355</v>
      </c>
      <c r="J1343" s="2" t="s">
        <v>356</v>
      </c>
      <c r="K1343" s="2" t="s">
        <v>147</v>
      </c>
      <c r="L1343" s="2" t="s">
        <v>139</v>
      </c>
      <c r="M1343" s="2" t="s">
        <v>30</v>
      </c>
      <c r="N1343" s="2" t="s">
        <v>42</v>
      </c>
      <c r="O1343" s="2" t="s">
        <v>140</v>
      </c>
      <c r="P1343" s="4">
        <v>221.86500000000001</v>
      </c>
      <c r="Q1343" s="4">
        <v>3</v>
      </c>
      <c r="R1343" s="4">
        <v>-22.276199999999999</v>
      </c>
      <c r="S1343" s="2" t="s">
        <v>53</v>
      </c>
      <c r="T1343" s="2" t="s">
        <v>76</v>
      </c>
    </row>
    <row r="1344" spans="1:20" x14ac:dyDescent="0.25">
      <c r="A1344" s="2" t="s">
        <v>2520</v>
      </c>
      <c r="B1344" s="3">
        <v>42365</v>
      </c>
      <c r="C1344" s="3">
        <v>42367</v>
      </c>
      <c r="D1344" s="2" t="s">
        <v>55</v>
      </c>
      <c r="E1344" s="2" t="s">
        <v>221</v>
      </c>
      <c r="F1344" s="2" t="s">
        <v>222</v>
      </c>
      <c r="G1344" s="2" t="s">
        <v>38</v>
      </c>
      <c r="H1344" s="2" t="s">
        <v>25</v>
      </c>
      <c r="I1344" s="2" t="s">
        <v>355</v>
      </c>
      <c r="J1344" s="2" t="s">
        <v>356</v>
      </c>
      <c r="K1344" s="2" t="s">
        <v>147</v>
      </c>
      <c r="L1344" s="2" t="s">
        <v>154</v>
      </c>
      <c r="M1344" s="2" t="s">
        <v>30</v>
      </c>
      <c r="N1344" s="2" t="s">
        <v>42</v>
      </c>
      <c r="O1344" s="2" t="s">
        <v>155</v>
      </c>
      <c r="P1344" s="4">
        <v>889.71090000000004</v>
      </c>
      <c r="Q1344" s="4">
        <v>4</v>
      </c>
      <c r="R1344" s="4">
        <v>79.873800000000003</v>
      </c>
      <c r="S1344" s="2" t="s">
        <v>53</v>
      </c>
      <c r="T1344" s="2" t="s">
        <v>76</v>
      </c>
    </row>
    <row r="1345" spans="1:20" x14ac:dyDescent="0.25">
      <c r="A1345" s="2" t="s">
        <v>2520</v>
      </c>
      <c r="B1345" s="3">
        <v>42365</v>
      </c>
      <c r="C1345" s="3">
        <v>42367</v>
      </c>
      <c r="D1345" s="2" t="s">
        <v>55</v>
      </c>
      <c r="E1345" s="2" t="s">
        <v>221</v>
      </c>
      <c r="F1345" s="2" t="s">
        <v>222</v>
      </c>
      <c r="G1345" s="2" t="s">
        <v>38</v>
      </c>
      <c r="H1345" s="2" t="s">
        <v>25</v>
      </c>
      <c r="I1345" s="2" t="s">
        <v>355</v>
      </c>
      <c r="J1345" s="2" t="s">
        <v>356</v>
      </c>
      <c r="K1345" s="2" t="s">
        <v>147</v>
      </c>
      <c r="L1345" s="2" t="s">
        <v>186</v>
      </c>
      <c r="M1345" s="2" t="s">
        <v>30</v>
      </c>
      <c r="N1345" s="2" t="s">
        <v>31</v>
      </c>
      <c r="O1345" s="2" t="s">
        <v>187</v>
      </c>
      <c r="P1345" s="4">
        <v>126.7993</v>
      </c>
      <c r="Q1345" s="4">
        <v>3</v>
      </c>
      <c r="R1345" s="4">
        <v>-20.982500000000002</v>
      </c>
      <c r="S1345" s="2" t="s">
        <v>53</v>
      </c>
      <c r="T1345" s="2" t="s">
        <v>76</v>
      </c>
    </row>
    <row r="1346" spans="1:20" x14ac:dyDescent="0.25">
      <c r="A1346" s="2" t="s">
        <v>2521</v>
      </c>
      <c r="B1346" s="3">
        <v>42116</v>
      </c>
      <c r="C1346" s="3">
        <v>42121</v>
      </c>
      <c r="D1346" s="2" t="s">
        <v>55</v>
      </c>
      <c r="E1346" s="2" t="s">
        <v>2522</v>
      </c>
      <c r="F1346" s="2" t="s">
        <v>2523</v>
      </c>
      <c r="G1346" s="2" t="s">
        <v>38</v>
      </c>
      <c r="H1346" s="2" t="s">
        <v>25</v>
      </c>
      <c r="I1346" s="2" t="s">
        <v>1098</v>
      </c>
      <c r="J1346" s="2" t="s">
        <v>595</v>
      </c>
      <c r="K1346" s="2" t="s">
        <v>61</v>
      </c>
      <c r="L1346" s="2" t="s">
        <v>252</v>
      </c>
      <c r="M1346" s="2" t="s">
        <v>30</v>
      </c>
      <c r="N1346" s="2" t="s">
        <v>31</v>
      </c>
      <c r="O1346" s="2" t="s">
        <v>253</v>
      </c>
      <c r="P1346" s="4">
        <v>30.657</v>
      </c>
      <c r="Q1346" s="4">
        <v>11</v>
      </c>
      <c r="R1346" s="4">
        <v>10.2858</v>
      </c>
      <c r="S1346" s="2" t="s">
        <v>85</v>
      </c>
      <c r="T1346" s="2" t="s">
        <v>108</v>
      </c>
    </row>
    <row r="1347" spans="1:20" x14ac:dyDescent="0.25">
      <c r="A1347" s="2" t="s">
        <v>2524</v>
      </c>
      <c r="B1347" s="3">
        <v>42897</v>
      </c>
      <c r="C1347" s="3">
        <v>42899</v>
      </c>
      <c r="D1347" s="2" t="s">
        <v>55</v>
      </c>
      <c r="E1347" s="2" t="s">
        <v>1479</v>
      </c>
      <c r="F1347" s="2" t="s">
        <v>1480</v>
      </c>
      <c r="G1347" s="2" t="s">
        <v>58</v>
      </c>
      <c r="H1347" s="2" t="s">
        <v>25</v>
      </c>
      <c r="I1347" s="2" t="s">
        <v>474</v>
      </c>
      <c r="J1347" s="2" t="s">
        <v>475</v>
      </c>
      <c r="K1347" s="2" t="s">
        <v>28</v>
      </c>
      <c r="L1347" s="2" t="s">
        <v>618</v>
      </c>
      <c r="M1347" s="2" t="s">
        <v>30</v>
      </c>
      <c r="N1347" s="2" t="s">
        <v>63</v>
      </c>
      <c r="O1347" s="2" t="s">
        <v>619</v>
      </c>
      <c r="P1347" s="4">
        <v>308.28620000000001</v>
      </c>
      <c r="Q1347" s="4">
        <v>1</v>
      </c>
      <c r="R1347" s="4">
        <v>-196.54089999999999</v>
      </c>
      <c r="S1347" s="2" t="s">
        <v>53</v>
      </c>
      <c r="T1347" s="2" t="s">
        <v>133</v>
      </c>
    </row>
    <row r="1348" spans="1:20" x14ac:dyDescent="0.25">
      <c r="A1348" s="2" t="s">
        <v>2524</v>
      </c>
      <c r="B1348" s="3">
        <v>42897</v>
      </c>
      <c r="C1348" s="3">
        <v>42899</v>
      </c>
      <c r="D1348" s="2" t="s">
        <v>55</v>
      </c>
      <c r="E1348" s="2" t="s">
        <v>1479</v>
      </c>
      <c r="F1348" s="2" t="s">
        <v>1480</v>
      </c>
      <c r="G1348" s="2" t="s">
        <v>58</v>
      </c>
      <c r="H1348" s="2" t="s">
        <v>25</v>
      </c>
      <c r="I1348" s="2" t="s">
        <v>474</v>
      </c>
      <c r="J1348" s="2" t="s">
        <v>475</v>
      </c>
      <c r="K1348" s="2" t="s">
        <v>28</v>
      </c>
      <c r="L1348" s="2" t="s">
        <v>186</v>
      </c>
      <c r="M1348" s="2" t="s">
        <v>30</v>
      </c>
      <c r="N1348" s="2" t="s">
        <v>31</v>
      </c>
      <c r="O1348" s="2" t="s">
        <v>187</v>
      </c>
      <c r="P1348" s="4">
        <v>9.0859000000000005</v>
      </c>
      <c r="Q1348" s="4">
        <v>5</v>
      </c>
      <c r="R1348" s="4">
        <v>0.40389999999999998</v>
      </c>
      <c r="S1348" s="2" t="s">
        <v>53</v>
      </c>
      <c r="T1348" s="2" t="s">
        <v>133</v>
      </c>
    </row>
    <row r="1349" spans="1:20" x14ac:dyDescent="0.25">
      <c r="A1349" s="2" t="s">
        <v>2525</v>
      </c>
      <c r="B1349" s="3">
        <v>41822</v>
      </c>
      <c r="C1349" s="3">
        <v>41823</v>
      </c>
      <c r="D1349" s="2" t="s">
        <v>21</v>
      </c>
      <c r="E1349" s="2" t="s">
        <v>1451</v>
      </c>
      <c r="F1349" s="2" t="s">
        <v>1452</v>
      </c>
      <c r="G1349" s="2" t="s">
        <v>38</v>
      </c>
      <c r="H1349" s="2" t="s">
        <v>25</v>
      </c>
      <c r="I1349" s="2" t="s">
        <v>829</v>
      </c>
      <c r="J1349" s="2" t="s">
        <v>199</v>
      </c>
      <c r="K1349" s="2" t="s">
        <v>82</v>
      </c>
      <c r="L1349" s="2" t="s">
        <v>83</v>
      </c>
      <c r="M1349" s="2" t="s">
        <v>30</v>
      </c>
      <c r="N1349" s="2" t="s">
        <v>42</v>
      </c>
      <c r="O1349" s="2" t="s">
        <v>84</v>
      </c>
      <c r="P1349" s="4">
        <v>166.5241</v>
      </c>
      <c r="Q1349" s="4">
        <v>2</v>
      </c>
      <c r="R1349" s="4">
        <v>40.931800000000003</v>
      </c>
      <c r="S1349" s="2" t="s">
        <v>33</v>
      </c>
      <c r="T1349" s="2" t="s">
        <v>86</v>
      </c>
    </row>
    <row r="1350" spans="1:20" x14ac:dyDescent="0.25">
      <c r="A1350" s="2" t="s">
        <v>2525</v>
      </c>
      <c r="B1350" s="3">
        <v>41822</v>
      </c>
      <c r="C1350" s="3">
        <v>41823</v>
      </c>
      <c r="D1350" s="2" t="s">
        <v>21</v>
      </c>
      <c r="E1350" s="2" t="s">
        <v>1451</v>
      </c>
      <c r="F1350" s="2" t="s">
        <v>1452</v>
      </c>
      <c r="G1350" s="2" t="s">
        <v>38</v>
      </c>
      <c r="H1350" s="2" t="s">
        <v>25</v>
      </c>
      <c r="I1350" s="2" t="s">
        <v>829</v>
      </c>
      <c r="J1350" s="2" t="s">
        <v>199</v>
      </c>
      <c r="K1350" s="2" t="s">
        <v>82</v>
      </c>
      <c r="L1350" s="2" t="s">
        <v>154</v>
      </c>
      <c r="M1350" s="2" t="s">
        <v>30</v>
      </c>
      <c r="N1350" s="2" t="s">
        <v>42</v>
      </c>
      <c r="O1350" s="2" t="s">
        <v>155</v>
      </c>
      <c r="P1350" s="4">
        <v>293.13220000000001</v>
      </c>
      <c r="Q1350" s="4">
        <v>3</v>
      </c>
      <c r="R1350" s="4">
        <v>70.320999999999998</v>
      </c>
      <c r="S1350" s="2" t="s">
        <v>33</v>
      </c>
      <c r="T1350" s="2" t="s">
        <v>86</v>
      </c>
    </row>
    <row r="1351" spans="1:20" x14ac:dyDescent="0.25">
      <c r="A1351" s="2" t="s">
        <v>2526</v>
      </c>
      <c r="B1351" s="3">
        <v>42521</v>
      </c>
      <c r="C1351" s="3">
        <v>42522</v>
      </c>
      <c r="D1351" s="2" t="s">
        <v>55</v>
      </c>
      <c r="E1351" s="2" t="s">
        <v>675</v>
      </c>
      <c r="F1351" s="2" t="s">
        <v>676</v>
      </c>
      <c r="G1351" s="2" t="s">
        <v>58</v>
      </c>
      <c r="H1351" s="2" t="s">
        <v>25</v>
      </c>
      <c r="I1351" s="2" t="s">
        <v>1055</v>
      </c>
      <c r="J1351" s="2" t="s">
        <v>106</v>
      </c>
      <c r="K1351" s="2" t="s">
        <v>61</v>
      </c>
      <c r="L1351" s="2" t="s">
        <v>113</v>
      </c>
      <c r="M1351" s="2" t="s">
        <v>30</v>
      </c>
      <c r="N1351" s="2" t="s">
        <v>31</v>
      </c>
      <c r="O1351" s="2" t="s">
        <v>114</v>
      </c>
      <c r="P1351" s="4">
        <v>108.7972</v>
      </c>
      <c r="Q1351" s="4">
        <v>3</v>
      </c>
      <c r="R1351" s="4">
        <v>19.950700000000001</v>
      </c>
      <c r="S1351" s="2" t="s">
        <v>33</v>
      </c>
      <c r="T1351" s="2" t="s">
        <v>122</v>
      </c>
    </row>
    <row r="1352" spans="1:20" x14ac:dyDescent="0.25">
      <c r="A1352" s="2" t="s">
        <v>2527</v>
      </c>
      <c r="B1352" s="3">
        <v>42167</v>
      </c>
      <c r="C1352" s="3">
        <v>42167</v>
      </c>
      <c r="D1352" s="2" t="s">
        <v>55</v>
      </c>
      <c r="E1352" s="2" t="s">
        <v>1876</v>
      </c>
      <c r="F1352" s="2" t="s">
        <v>1877</v>
      </c>
      <c r="G1352" s="2" t="s">
        <v>58</v>
      </c>
      <c r="H1352" s="2" t="s">
        <v>25</v>
      </c>
      <c r="I1352" s="2" t="s">
        <v>179</v>
      </c>
      <c r="J1352" s="2" t="s">
        <v>180</v>
      </c>
      <c r="K1352" s="2" t="s">
        <v>147</v>
      </c>
      <c r="L1352" s="2" t="s">
        <v>933</v>
      </c>
      <c r="M1352" s="2" t="s">
        <v>30</v>
      </c>
      <c r="N1352" s="2" t="s">
        <v>162</v>
      </c>
      <c r="O1352" s="2" t="s">
        <v>934</v>
      </c>
      <c r="P1352" s="4">
        <v>644.60429999999997</v>
      </c>
      <c r="Q1352" s="4">
        <v>4</v>
      </c>
      <c r="R1352" s="4">
        <v>72.267499999999998</v>
      </c>
      <c r="S1352" s="2" t="s">
        <v>121</v>
      </c>
      <c r="T1352" s="2" t="s">
        <v>133</v>
      </c>
    </row>
    <row r="1353" spans="1:20" x14ac:dyDescent="0.25">
      <c r="A1353" s="2" t="s">
        <v>2527</v>
      </c>
      <c r="B1353" s="3">
        <v>42167</v>
      </c>
      <c r="C1353" s="3">
        <v>42167</v>
      </c>
      <c r="D1353" s="2" t="s">
        <v>55</v>
      </c>
      <c r="E1353" s="2" t="s">
        <v>1876</v>
      </c>
      <c r="F1353" s="2" t="s">
        <v>1877</v>
      </c>
      <c r="G1353" s="2" t="s">
        <v>58</v>
      </c>
      <c r="H1353" s="2" t="s">
        <v>25</v>
      </c>
      <c r="I1353" s="2" t="s">
        <v>179</v>
      </c>
      <c r="J1353" s="2" t="s">
        <v>180</v>
      </c>
      <c r="K1353" s="2" t="s">
        <v>147</v>
      </c>
      <c r="L1353" s="2" t="s">
        <v>83</v>
      </c>
      <c r="M1353" s="2" t="s">
        <v>30</v>
      </c>
      <c r="N1353" s="2" t="s">
        <v>42</v>
      </c>
      <c r="O1353" s="2" t="s">
        <v>84</v>
      </c>
      <c r="P1353" s="4">
        <v>252.09059999999999</v>
      </c>
      <c r="Q1353" s="4">
        <v>2</v>
      </c>
      <c r="R1353" s="4">
        <v>-17.566500000000001</v>
      </c>
      <c r="S1353" s="2" t="s">
        <v>121</v>
      </c>
      <c r="T1353" s="2" t="s">
        <v>133</v>
      </c>
    </row>
    <row r="1354" spans="1:20" x14ac:dyDescent="0.25">
      <c r="A1354" s="2" t="s">
        <v>2527</v>
      </c>
      <c r="B1354" s="3">
        <v>42167</v>
      </c>
      <c r="C1354" s="3">
        <v>42167</v>
      </c>
      <c r="D1354" s="2" t="s">
        <v>55</v>
      </c>
      <c r="E1354" s="2" t="s">
        <v>1876</v>
      </c>
      <c r="F1354" s="2" t="s">
        <v>1877</v>
      </c>
      <c r="G1354" s="2" t="s">
        <v>58</v>
      </c>
      <c r="H1354" s="2" t="s">
        <v>25</v>
      </c>
      <c r="I1354" s="2" t="s">
        <v>179</v>
      </c>
      <c r="J1354" s="2" t="s">
        <v>180</v>
      </c>
      <c r="K1354" s="2" t="s">
        <v>147</v>
      </c>
      <c r="L1354" s="2" t="s">
        <v>899</v>
      </c>
      <c r="M1354" s="2" t="s">
        <v>30</v>
      </c>
      <c r="N1354" s="2" t="s">
        <v>63</v>
      </c>
      <c r="O1354" s="2" t="s">
        <v>900</v>
      </c>
      <c r="P1354" s="4">
        <v>177.89529999999999</v>
      </c>
      <c r="Q1354" s="4">
        <v>4</v>
      </c>
      <c r="R1354" s="4">
        <v>-29.524899999999999</v>
      </c>
      <c r="S1354" s="2" t="s">
        <v>121</v>
      </c>
      <c r="T1354" s="2" t="s">
        <v>133</v>
      </c>
    </row>
    <row r="1355" spans="1:20" x14ac:dyDescent="0.25">
      <c r="A1355" s="2" t="s">
        <v>2528</v>
      </c>
      <c r="B1355" s="3">
        <v>42793</v>
      </c>
      <c r="C1355" s="3">
        <v>42796</v>
      </c>
      <c r="D1355" s="2" t="s">
        <v>55</v>
      </c>
      <c r="E1355" s="2" t="s">
        <v>2529</v>
      </c>
      <c r="F1355" s="2" t="s">
        <v>2530</v>
      </c>
      <c r="G1355" s="2" t="s">
        <v>24</v>
      </c>
      <c r="H1355" s="2" t="s">
        <v>25</v>
      </c>
      <c r="I1355" s="2" t="s">
        <v>649</v>
      </c>
      <c r="J1355" s="2" t="s">
        <v>279</v>
      </c>
      <c r="K1355" s="2" t="s">
        <v>28</v>
      </c>
      <c r="L1355" s="2" t="s">
        <v>311</v>
      </c>
      <c r="M1355" s="2" t="s">
        <v>30</v>
      </c>
      <c r="N1355" s="2" t="s">
        <v>63</v>
      </c>
      <c r="O1355" s="2" t="s">
        <v>312</v>
      </c>
      <c r="P1355" s="4">
        <v>879.07799999999997</v>
      </c>
      <c r="Q1355" s="4">
        <v>4</v>
      </c>
      <c r="R1355" s="4">
        <v>310.7808</v>
      </c>
      <c r="S1355" s="2" t="s">
        <v>92</v>
      </c>
      <c r="T1355" s="2" t="s">
        <v>101</v>
      </c>
    </row>
    <row r="1356" spans="1:20" x14ac:dyDescent="0.25">
      <c r="A1356" s="2" t="s">
        <v>2528</v>
      </c>
      <c r="B1356" s="3">
        <v>42793</v>
      </c>
      <c r="C1356" s="3">
        <v>42796</v>
      </c>
      <c r="D1356" s="2" t="s">
        <v>55</v>
      </c>
      <c r="E1356" s="2" t="s">
        <v>2529</v>
      </c>
      <c r="F1356" s="2" t="s">
        <v>2530</v>
      </c>
      <c r="G1356" s="2" t="s">
        <v>24</v>
      </c>
      <c r="H1356" s="2" t="s">
        <v>25</v>
      </c>
      <c r="I1356" s="2" t="s">
        <v>649</v>
      </c>
      <c r="J1356" s="2" t="s">
        <v>279</v>
      </c>
      <c r="K1356" s="2" t="s">
        <v>28</v>
      </c>
      <c r="L1356" s="2" t="s">
        <v>29</v>
      </c>
      <c r="M1356" s="2" t="s">
        <v>30</v>
      </c>
      <c r="N1356" s="2" t="s">
        <v>31</v>
      </c>
      <c r="O1356" s="2" t="s">
        <v>32</v>
      </c>
      <c r="P1356" s="4">
        <v>45.431699999999999</v>
      </c>
      <c r="Q1356" s="4">
        <v>3</v>
      </c>
      <c r="R1356" s="4">
        <v>5.0593000000000004</v>
      </c>
      <c r="S1356" s="2" t="s">
        <v>92</v>
      </c>
      <c r="T1356" s="2" t="s">
        <v>101</v>
      </c>
    </row>
    <row r="1357" spans="1:20" x14ac:dyDescent="0.25">
      <c r="A1357" s="2" t="s">
        <v>2528</v>
      </c>
      <c r="B1357" s="3">
        <v>42793</v>
      </c>
      <c r="C1357" s="3">
        <v>42796</v>
      </c>
      <c r="D1357" s="2" t="s">
        <v>55</v>
      </c>
      <c r="E1357" s="2" t="s">
        <v>2529</v>
      </c>
      <c r="F1357" s="2" t="s">
        <v>2530</v>
      </c>
      <c r="G1357" s="2" t="s">
        <v>24</v>
      </c>
      <c r="H1357" s="2" t="s">
        <v>25</v>
      </c>
      <c r="I1357" s="2" t="s">
        <v>649</v>
      </c>
      <c r="J1357" s="2" t="s">
        <v>279</v>
      </c>
      <c r="K1357" s="2" t="s">
        <v>28</v>
      </c>
      <c r="L1357" s="2" t="s">
        <v>316</v>
      </c>
      <c r="M1357" s="2" t="s">
        <v>30</v>
      </c>
      <c r="N1357" s="2" t="s">
        <v>42</v>
      </c>
      <c r="O1357" s="2" t="s">
        <v>317</v>
      </c>
      <c r="P1357" s="4">
        <v>860.75139999999999</v>
      </c>
      <c r="Q1357" s="4">
        <v>1</v>
      </c>
      <c r="R1357" s="4">
        <v>167.2629</v>
      </c>
      <c r="S1357" s="2" t="s">
        <v>92</v>
      </c>
      <c r="T1357" s="2" t="s">
        <v>101</v>
      </c>
    </row>
    <row r="1358" spans="1:20" x14ac:dyDescent="0.25">
      <c r="A1358" s="2" t="s">
        <v>2531</v>
      </c>
      <c r="B1358" s="3">
        <v>42542</v>
      </c>
      <c r="C1358" s="3">
        <v>42543</v>
      </c>
      <c r="D1358" s="2" t="s">
        <v>55</v>
      </c>
      <c r="E1358" s="2" t="s">
        <v>1112</v>
      </c>
      <c r="F1358" s="2" t="s">
        <v>1113</v>
      </c>
      <c r="G1358" s="2" t="s">
        <v>58</v>
      </c>
      <c r="H1358" s="2" t="s">
        <v>25</v>
      </c>
      <c r="I1358" s="2" t="s">
        <v>297</v>
      </c>
      <c r="J1358" s="2" t="s">
        <v>234</v>
      </c>
      <c r="K1358" s="2" t="s">
        <v>82</v>
      </c>
      <c r="L1358" s="2" t="s">
        <v>83</v>
      </c>
      <c r="M1358" s="2" t="s">
        <v>30</v>
      </c>
      <c r="N1358" s="2" t="s">
        <v>42</v>
      </c>
      <c r="O1358" s="2" t="s">
        <v>84</v>
      </c>
      <c r="P1358" s="4">
        <v>176.43620000000001</v>
      </c>
      <c r="Q1358" s="4">
        <v>3</v>
      </c>
      <c r="R1358" s="4">
        <v>-41.332999999999998</v>
      </c>
      <c r="S1358" s="2" t="s">
        <v>33</v>
      </c>
      <c r="T1358" s="2" t="s">
        <v>133</v>
      </c>
    </row>
    <row r="1359" spans="1:20" x14ac:dyDescent="0.25">
      <c r="A1359" s="2" t="s">
        <v>2532</v>
      </c>
      <c r="B1359" s="3">
        <v>41860</v>
      </c>
      <c r="C1359" s="3">
        <v>41862</v>
      </c>
      <c r="D1359" s="2" t="s">
        <v>55</v>
      </c>
      <c r="E1359" s="2" t="s">
        <v>2533</v>
      </c>
      <c r="F1359" s="2" t="s">
        <v>2534</v>
      </c>
      <c r="G1359" s="2" t="s">
        <v>58</v>
      </c>
      <c r="H1359" s="2" t="s">
        <v>25</v>
      </c>
      <c r="I1359" s="2" t="s">
        <v>51</v>
      </c>
      <c r="J1359" s="2" t="s">
        <v>52</v>
      </c>
      <c r="K1359" s="2" t="s">
        <v>28</v>
      </c>
      <c r="L1359" s="2" t="s">
        <v>66</v>
      </c>
      <c r="M1359" s="2" t="s">
        <v>30</v>
      </c>
      <c r="N1359" s="2" t="s">
        <v>31</v>
      </c>
      <c r="O1359" s="2" t="s">
        <v>67</v>
      </c>
      <c r="P1359" s="4">
        <v>52.640500000000003</v>
      </c>
      <c r="Q1359" s="4">
        <v>1</v>
      </c>
      <c r="R1359" s="4">
        <v>-3.1735000000000002</v>
      </c>
      <c r="S1359" s="2" t="s">
        <v>53</v>
      </c>
      <c r="T1359" s="2" t="s">
        <v>34</v>
      </c>
    </row>
    <row r="1360" spans="1:20" x14ac:dyDescent="0.25">
      <c r="A1360" s="2" t="s">
        <v>2532</v>
      </c>
      <c r="B1360" s="3">
        <v>41860</v>
      </c>
      <c r="C1360" s="3">
        <v>41862</v>
      </c>
      <c r="D1360" s="2" t="s">
        <v>55</v>
      </c>
      <c r="E1360" s="2" t="s">
        <v>2533</v>
      </c>
      <c r="F1360" s="2" t="s">
        <v>2534</v>
      </c>
      <c r="G1360" s="2" t="s">
        <v>58</v>
      </c>
      <c r="H1360" s="2" t="s">
        <v>25</v>
      </c>
      <c r="I1360" s="2" t="s">
        <v>51</v>
      </c>
      <c r="J1360" s="2" t="s">
        <v>52</v>
      </c>
      <c r="K1360" s="2" t="s">
        <v>28</v>
      </c>
      <c r="L1360" s="2" t="s">
        <v>113</v>
      </c>
      <c r="M1360" s="2" t="s">
        <v>30</v>
      </c>
      <c r="N1360" s="2" t="s">
        <v>31</v>
      </c>
      <c r="O1360" s="2" t="s">
        <v>114</v>
      </c>
      <c r="P1360" s="4">
        <v>47.0822</v>
      </c>
      <c r="Q1360" s="4">
        <v>3</v>
      </c>
      <c r="R1360" s="4">
        <v>-5.7641999999999998</v>
      </c>
      <c r="S1360" s="2" t="s">
        <v>53</v>
      </c>
      <c r="T1360" s="2" t="s">
        <v>34</v>
      </c>
    </row>
    <row r="1361" spans="1:20" x14ac:dyDescent="0.25">
      <c r="A1361" s="2" t="s">
        <v>2532</v>
      </c>
      <c r="B1361" s="3">
        <v>41860</v>
      </c>
      <c r="C1361" s="3">
        <v>41862</v>
      </c>
      <c r="D1361" s="2" t="s">
        <v>55</v>
      </c>
      <c r="E1361" s="2" t="s">
        <v>2533</v>
      </c>
      <c r="F1361" s="2" t="s">
        <v>2534</v>
      </c>
      <c r="G1361" s="2" t="s">
        <v>58</v>
      </c>
      <c r="H1361" s="2" t="s">
        <v>25</v>
      </c>
      <c r="I1361" s="2" t="s">
        <v>51</v>
      </c>
      <c r="J1361" s="2" t="s">
        <v>52</v>
      </c>
      <c r="K1361" s="2" t="s">
        <v>28</v>
      </c>
      <c r="L1361" s="2" t="s">
        <v>66</v>
      </c>
      <c r="M1361" s="2" t="s">
        <v>30</v>
      </c>
      <c r="N1361" s="2" t="s">
        <v>31</v>
      </c>
      <c r="O1361" s="2" t="s">
        <v>67</v>
      </c>
      <c r="P1361" s="4">
        <v>245.50190000000001</v>
      </c>
      <c r="Q1361" s="4">
        <v>2</v>
      </c>
      <c r="R1361" s="4">
        <v>-5.9187000000000003</v>
      </c>
      <c r="S1361" s="2" t="s">
        <v>53</v>
      </c>
      <c r="T1361" s="2" t="s">
        <v>34</v>
      </c>
    </row>
    <row r="1362" spans="1:20" x14ac:dyDescent="0.25">
      <c r="A1362" s="2" t="s">
        <v>2532</v>
      </c>
      <c r="B1362" s="3">
        <v>41860</v>
      </c>
      <c r="C1362" s="3">
        <v>41862</v>
      </c>
      <c r="D1362" s="2" t="s">
        <v>55</v>
      </c>
      <c r="E1362" s="2" t="s">
        <v>2533</v>
      </c>
      <c r="F1362" s="2" t="s">
        <v>2534</v>
      </c>
      <c r="G1362" s="2" t="s">
        <v>58</v>
      </c>
      <c r="H1362" s="2" t="s">
        <v>25</v>
      </c>
      <c r="I1362" s="2" t="s">
        <v>51</v>
      </c>
      <c r="J1362" s="2" t="s">
        <v>52</v>
      </c>
      <c r="K1362" s="2" t="s">
        <v>28</v>
      </c>
      <c r="L1362" s="2" t="s">
        <v>235</v>
      </c>
      <c r="M1362" s="2" t="s">
        <v>30</v>
      </c>
      <c r="N1362" s="2" t="s">
        <v>31</v>
      </c>
      <c r="O1362" s="2" t="s">
        <v>236</v>
      </c>
      <c r="P1362" s="4">
        <v>32.974499999999999</v>
      </c>
      <c r="Q1362" s="4">
        <v>2</v>
      </c>
      <c r="R1362" s="4">
        <v>-15.700200000000001</v>
      </c>
      <c r="S1362" s="2" t="s">
        <v>53</v>
      </c>
      <c r="T1362" s="2" t="s">
        <v>34</v>
      </c>
    </row>
    <row r="1363" spans="1:20" x14ac:dyDescent="0.25">
      <c r="A1363" s="2" t="s">
        <v>2535</v>
      </c>
      <c r="B1363" s="3">
        <v>42775</v>
      </c>
      <c r="C1363" s="3">
        <v>42781</v>
      </c>
      <c r="D1363" s="2" t="s">
        <v>55</v>
      </c>
      <c r="E1363" s="2" t="s">
        <v>1043</v>
      </c>
      <c r="F1363" s="2" t="s">
        <v>1044</v>
      </c>
      <c r="G1363" s="2" t="s">
        <v>58</v>
      </c>
      <c r="H1363" s="2" t="s">
        <v>25</v>
      </c>
      <c r="I1363" s="2" t="s">
        <v>760</v>
      </c>
      <c r="J1363" s="2" t="s">
        <v>112</v>
      </c>
      <c r="K1363" s="2" t="s">
        <v>28</v>
      </c>
      <c r="L1363" s="2" t="s">
        <v>618</v>
      </c>
      <c r="M1363" s="2" t="s">
        <v>30</v>
      </c>
      <c r="N1363" s="2" t="s">
        <v>63</v>
      </c>
      <c r="O1363" s="2" t="s">
        <v>619</v>
      </c>
      <c r="P1363" s="4">
        <v>907.8895</v>
      </c>
      <c r="Q1363" s="4">
        <v>7</v>
      </c>
      <c r="R1363" s="4">
        <v>-606.85670000000005</v>
      </c>
      <c r="S1363" s="2" t="s">
        <v>65</v>
      </c>
      <c r="T1363" s="2" t="s">
        <v>101</v>
      </c>
    </row>
    <row r="1364" spans="1:20" x14ac:dyDescent="0.25">
      <c r="A1364" s="2" t="s">
        <v>2536</v>
      </c>
      <c r="B1364" s="3">
        <v>42990</v>
      </c>
      <c r="C1364" s="3">
        <v>42996</v>
      </c>
      <c r="D1364" s="2" t="s">
        <v>55</v>
      </c>
      <c r="E1364" s="2" t="s">
        <v>1149</v>
      </c>
      <c r="F1364" s="2" t="s">
        <v>1150</v>
      </c>
      <c r="G1364" s="2" t="s">
        <v>58</v>
      </c>
      <c r="H1364" s="2" t="s">
        <v>25</v>
      </c>
      <c r="I1364" s="2" t="s">
        <v>539</v>
      </c>
      <c r="J1364" s="2" t="s">
        <v>91</v>
      </c>
      <c r="K1364" s="2" t="s">
        <v>61</v>
      </c>
      <c r="L1364" s="2" t="s">
        <v>131</v>
      </c>
      <c r="M1364" s="2" t="s">
        <v>30</v>
      </c>
      <c r="N1364" s="2" t="s">
        <v>31</v>
      </c>
      <c r="O1364" s="2" t="s">
        <v>132</v>
      </c>
      <c r="P1364" s="4">
        <v>66.337199999999996</v>
      </c>
      <c r="Q1364" s="4">
        <v>2</v>
      </c>
      <c r="R1364" s="4">
        <v>-6.2518000000000002</v>
      </c>
      <c r="S1364" s="2" t="s">
        <v>65</v>
      </c>
      <c r="T1364" s="2" t="s">
        <v>148</v>
      </c>
    </row>
    <row r="1365" spans="1:20" x14ac:dyDescent="0.25">
      <c r="A1365" s="2" t="s">
        <v>2537</v>
      </c>
      <c r="B1365" s="3">
        <v>42296</v>
      </c>
      <c r="C1365" s="3">
        <v>42302</v>
      </c>
      <c r="D1365" s="2" t="s">
        <v>55</v>
      </c>
      <c r="E1365" s="2" t="s">
        <v>2066</v>
      </c>
      <c r="F1365" s="2" t="s">
        <v>2067</v>
      </c>
      <c r="G1365" s="2" t="s">
        <v>38</v>
      </c>
      <c r="H1365" s="2" t="s">
        <v>25</v>
      </c>
      <c r="I1365" s="2" t="s">
        <v>360</v>
      </c>
      <c r="J1365" s="2" t="s">
        <v>160</v>
      </c>
      <c r="K1365" s="2" t="s">
        <v>61</v>
      </c>
      <c r="L1365" s="2" t="s">
        <v>415</v>
      </c>
      <c r="M1365" s="2" t="s">
        <v>30</v>
      </c>
      <c r="N1365" s="2" t="s">
        <v>63</v>
      </c>
      <c r="O1365" s="2" t="s">
        <v>416</v>
      </c>
      <c r="P1365" s="4">
        <v>79.698499999999996</v>
      </c>
      <c r="Q1365" s="4">
        <v>5</v>
      </c>
      <c r="R1365" s="4">
        <v>2.1760000000000002</v>
      </c>
      <c r="S1365" s="2" t="s">
        <v>65</v>
      </c>
      <c r="T1365" s="2" t="s">
        <v>224</v>
      </c>
    </row>
    <row r="1366" spans="1:20" x14ac:dyDescent="0.25">
      <c r="A1366" s="2" t="s">
        <v>2538</v>
      </c>
      <c r="B1366" s="3">
        <v>42298</v>
      </c>
      <c r="C1366" s="3">
        <v>42298</v>
      </c>
      <c r="D1366" s="2" t="s">
        <v>55</v>
      </c>
      <c r="E1366" s="2" t="s">
        <v>574</v>
      </c>
      <c r="F1366" s="2" t="s">
        <v>575</v>
      </c>
      <c r="G1366" s="2" t="s">
        <v>58</v>
      </c>
      <c r="H1366" s="2" t="s">
        <v>25</v>
      </c>
      <c r="I1366" s="2" t="s">
        <v>394</v>
      </c>
      <c r="J1366" s="2" t="s">
        <v>289</v>
      </c>
      <c r="K1366" s="2" t="s">
        <v>82</v>
      </c>
      <c r="L1366" s="2" t="s">
        <v>899</v>
      </c>
      <c r="M1366" s="2" t="s">
        <v>30</v>
      </c>
      <c r="N1366" s="2" t="s">
        <v>63</v>
      </c>
      <c r="O1366" s="2" t="s">
        <v>900</v>
      </c>
      <c r="P1366" s="4">
        <v>217.46250000000001</v>
      </c>
      <c r="Q1366" s="4">
        <v>4</v>
      </c>
      <c r="R1366" s="4">
        <v>-62.327100000000002</v>
      </c>
      <c r="S1366" s="2" t="s">
        <v>121</v>
      </c>
      <c r="T1366" s="2" t="s">
        <v>224</v>
      </c>
    </row>
    <row r="1367" spans="1:20" x14ac:dyDescent="0.25">
      <c r="A1367" s="2" t="s">
        <v>2539</v>
      </c>
      <c r="B1367" s="3">
        <v>42809</v>
      </c>
      <c r="C1367" s="3">
        <v>42813</v>
      </c>
      <c r="D1367" s="2" t="s">
        <v>55</v>
      </c>
      <c r="E1367" s="2" t="s">
        <v>1952</v>
      </c>
      <c r="F1367" s="2" t="s">
        <v>1953</v>
      </c>
      <c r="G1367" s="2" t="s">
        <v>58</v>
      </c>
      <c r="H1367" s="2" t="s">
        <v>25</v>
      </c>
      <c r="I1367" s="2" t="s">
        <v>402</v>
      </c>
      <c r="J1367" s="2" t="s">
        <v>403</v>
      </c>
      <c r="K1367" s="2" t="s">
        <v>147</v>
      </c>
      <c r="L1367" s="2" t="s">
        <v>453</v>
      </c>
      <c r="M1367" s="2" t="s">
        <v>30</v>
      </c>
      <c r="N1367" s="2" t="s">
        <v>42</v>
      </c>
      <c r="O1367" s="2" t="s">
        <v>454</v>
      </c>
      <c r="P1367" s="4">
        <v>45.6631</v>
      </c>
      <c r="Q1367" s="4">
        <v>3</v>
      </c>
      <c r="R1367" s="4">
        <v>21.438099999999999</v>
      </c>
      <c r="S1367" s="2" t="s">
        <v>75</v>
      </c>
      <c r="T1367" s="2" t="s">
        <v>44</v>
      </c>
    </row>
    <row r="1368" spans="1:20" x14ac:dyDescent="0.25">
      <c r="A1368" s="2" t="s">
        <v>2540</v>
      </c>
      <c r="B1368" s="3">
        <v>41747</v>
      </c>
      <c r="C1368" s="3">
        <v>41747</v>
      </c>
      <c r="D1368" s="2" t="s">
        <v>21</v>
      </c>
      <c r="E1368" s="2" t="s">
        <v>1034</v>
      </c>
      <c r="F1368" s="2" t="s">
        <v>1035</v>
      </c>
      <c r="G1368" s="2" t="s">
        <v>38</v>
      </c>
      <c r="H1368" s="2" t="s">
        <v>25</v>
      </c>
      <c r="I1368" s="2" t="s">
        <v>1053</v>
      </c>
      <c r="J1368" s="2" t="s">
        <v>806</v>
      </c>
      <c r="K1368" s="2" t="s">
        <v>28</v>
      </c>
      <c r="L1368" s="2" t="s">
        <v>890</v>
      </c>
      <c r="M1368" s="2" t="s">
        <v>30</v>
      </c>
      <c r="N1368" s="2" t="s">
        <v>63</v>
      </c>
      <c r="O1368" s="2" t="s">
        <v>891</v>
      </c>
      <c r="P1368" s="4">
        <v>854.82349999999997</v>
      </c>
      <c r="Q1368" s="4">
        <v>3</v>
      </c>
      <c r="R1368" s="4">
        <v>-185.91550000000001</v>
      </c>
      <c r="S1368" s="2" t="s">
        <v>121</v>
      </c>
      <c r="T1368" s="2" t="s">
        <v>108</v>
      </c>
    </row>
    <row r="1369" spans="1:20" x14ac:dyDescent="0.25">
      <c r="A1369" s="2" t="s">
        <v>2540</v>
      </c>
      <c r="B1369" s="3">
        <v>41747</v>
      </c>
      <c r="C1369" s="3">
        <v>41747</v>
      </c>
      <c r="D1369" s="2" t="s">
        <v>21</v>
      </c>
      <c r="E1369" s="2" t="s">
        <v>1034</v>
      </c>
      <c r="F1369" s="2" t="s">
        <v>1035</v>
      </c>
      <c r="G1369" s="2" t="s">
        <v>38</v>
      </c>
      <c r="H1369" s="2" t="s">
        <v>25</v>
      </c>
      <c r="I1369" s="2" t="s">
        <v>1053</v>
      </c>
      <c r="J1369" s="2" t="s">
        <v>806</v>
      </c>
      <c r="K1369" s="2" t="s">
        <v>28</v>
      </c>
      <c r="L1369" s="2" t="s">
        <v>218</v>
      </c>
      <c r="M1369" s="2" t="s">
        <v>30</v>
      </c>
      <c r="N1369" s="2" t="s">
        <v>31</v>
      </c>
      <c r="O1369" s="2" t="s">
        <v>219</v>
      </c>
      <c r="P1369" s="4">
        <v>35.460999999999999</v>
      </c>
      <c r="Q1369" s="4">
        <v>4</v>
      </c>
      <c r="R1369" s="4">
        <v>3.3807</v>
      </c>
      <c r="S1369" s="2" t="s">
        <v>121</v>
      </c>
      <c r="T1369" s="2" t="s">
        <v>108</v>
      </c>
    </row>
    <row r="1370" spans="1:20" x14ac:dyDescent="0.25">
      <c r="A1370" s="2" t="s">
        <v>2541</v>
      </c>
      <c r="B1370" s="3">
        <v>42295</v>
      </c>
      <c r="C1370" s="3">
        <v>42296</v>
      </c>
      <c r="D1370" s="2" t="s">
        <v>55</v>
      </c>
      <c r="E1370" s="2" t="s">
        <v>1296</v>
      </c>
      <c r="F1370" s="2" t="s">
        <v>1297</v>
      </c>
      <c r="G1370" s="2" t="s">
        <v>58</v>
      </c>
      <c r="H1370" s="2" t="s">
        <v>25</v>
      </c>
      <c r="I1370" s="2" t="s">
        <v>1449</v>
      </c>
      <c r="J1370" s="2" t="s">
        <v>753</v>
      </c>
      <c r="K1370" s="2" t="s">
        <v>147</v>
      </c>
      <c r="L1370" s="2" t="s">
        <v>1476</v>
      </c>
      <c r="M1370" s="2" t="s">
        <v>30</v>
      </c>
      <c r="N1370" s="2" t="s">
        <v>63</v>
      </c>
      <c r="O1370" s="2" t="s">
        <v>1477</v>
      </c>
      <c r="P1370" s="4">
        <v>3211.9373000000001</v>
      </c>
      <c r="Q1370" s="4">
        <v>5</v>
      </c>
      <c r="R1370" s="4">
        <v>11.8299</v>
      </c>
      <c r="S1370" s="2" t="s">
        <v>33</v>
      </c>
      <c r="T1370" s="2" t="s">
        <v>224</v>
      </c>
    </row>
    <row r="1371" spans="1:20" x14ac:dyDescent="0.25">
      <c r="A1371" s="2" t="s">
        <v>2541</v>
      </c>
      <c r="B1371" s="3">
        <v>42295</v>
      </c>
      <c r="C1371" s="3">
        <v>42296</v>
      </c>
      <c r="D1371" s="2" t="s">
        <v>55</v>
      </c>
      <c r="E1371" s="2" t="s">
        <v>1296</v>
      </c>
      <c r="F1371" s="2" t="s">
        <v>1297</v>
      </c>
      <c r="G1371" s="2" t="s">
        <v>58</v>
      </c>
      <c r="H1371" s="2" t="s">
        <v>25</v>
      </c>
      <c r="I1371" s="2" t="s">
        <v>1449</v>
      </c>
      <c r="J1371" s="2" t="s">
        <v>753</v>
      </c>
      <c r="K1371" s="2" t="s">
        <v>147</v>
      </c>
      <c r="L1371" s="2" t="s">
        <v>186</v>
      </c>
      <c r="M1371" s="2" t="s">
        <v>30</v>
      </c>
      <c r="N1371" s="2" t="s">
        <v>31</v>
      </c>
      <c r="O1371" s="2" t="s">
        <v>187</v>
      </c>
      <c r="P1371" s="4">
        <v>241.21360000000001</v>
      </c>
      <c r="Q1371" s="4">
        <v>5</v>
      </c>
      <c r="R1371" s="4">
        <v>38.677900000000001</v>
      </c>
      <c r="S1371" s="2" t="s">
        <v>33</v>
      </c>
      <c r="T1371" s="2" t="s">
        <v>224</v>
      </c>
    </row>
    <row r="1372" spans="1:20" x14ac:dyDescent="0.25">
      <c r="A1372" s="2" t="s">
        <v>2542</v>
      </c>
      <c r="B1372" s="3">
        <v>42002</v>
      </c>
      <c r="C1372" s="3">
        <v>42005</v>
      </c>
      <c r="D1372" s="2" t="s">
        <v>55</v>
      </c>
      <c r="E1372" s="2" t="s">
        <v>945</v>
      </c>
      <c r="F1372" s="2" t="s">
        <v>946</v>
      </c>
      <c r="G1372" s="2" t="s">
        <v>58</v>
      </c>
      <c r="H1372" s="2" t="s">
        <v>25</v>
      </c>
      <c r="I1372" s="2" t="s">
        <v>501</v>
      </c>
      <c r="J1372" s="2" t="s">
        <v>234</v>
      </c>
      <c r="K1372" s="2" t="s">
        <v>82</v>
      </c>
      <c r="L1372" s="2" t="s">
        <v>193</v>
      </c>
      <c r="M1372" s="2" t="s">
        <v>30</v>
      </c>
      <c r="N1372" s="2" t="s">
        <v>42</v>
      </c>
      <c r="O1372" s="2" t="s">
        <v>194</v>
      </c>
      <c r="P1372" s="4">
        <v>503.28730000000002</v>
      </c>
      <c r="Q1372" s="4">
        <v>4</v>
      </c>
      <c r="R1372" s="4">
        <v>-73.967500000000001</v>
      </c>
      <c r="S1372" s="2" t="s">
        <v>92</v>
      </c>
      <c r="T1372" s="2" t="s">
        <v>76</v>
      </c>
    </row>
    <row r="1373" spans="1:20" x14ac:dyDescent="0.25">
      <c r="A1373" s="2" t="s">
        <v>2543</v>
      </c>
      <c r="B1373" s="3">
        <v>43033</v>
      </c>
      <c r="C1373" s="3">
        <v>43039</v>
      </c>
      <c r="D1373" s="2" t="s">
        <v>55</v>
      </c>
      <c r="E1373" s="2" t="s">
        <v>2185</v>
      </c>
      <c r="F1373" s="2" t="s">
        <v>2186</v>
      </c>
      <c r="G1373" s="2" t="s">
        <v>24</v>
      </c>
      <c r="H1373" s="2" t="s">
        <v>25</v>
      </c>
      <c r="I1373" s="2" t="s">
        <v>1055</v>
      </c>
      <c r="J1373" s="2" t="s">
        <v>106</v>
      </c>
      <c r="K1373" s="2" t="s">
        <v>61</v>
      </c>
      <c r="L1373" s="2" t="s">
        <v>207</v>
      </c>
      <c r="M1373" s="2" t="s">
        <v>30</v>
      </c>
      <c r="N1373" s="2" t="s">
        <v>31</v>
      </c>
      <c r="O1373" s="2" t="s">
        <v>208</v>
      </c>
      <c r="P1373" s="4">
        <v>105.8944</v>
      </c>
      <c r="Q1373" s="4">
        <v>3</v>
      </c>
      <c r="R1373" s="4">
        <v>-58.965400000000002</v>
      </c>
      <c r="S1373" s="2" t="s">
        <v>65</v>
      </c>
      <c r="T1373" s="2" t="s">
        <v>224</v>
      </c>
    </row>
    <row r="1374" spans="1:20" x14ac:dyDescent="0.25">
      <c r="A1374" s="2" t="s">
        <v>2544</v>
      </c>
      <c r="B1374" s="3">
        <v>42639</v>
      </c>
      <c r="C1374" s="3">
        <v>42640</v>
      </c>
      <c r="D1374" s="2" t="s">
        <v>21</v>
      </c>
      <c r="E1374" s="2" t="s">
        <v>2545</v>
      </c>
      <c r="F1374" s="2" t="s">
        <v>2546</v>
      </c>
      <c r="G1374" s="2" t="s">
        <v>58</v>
      </c>
      <c r="H1374" s="2" t="s">
        <v>25</v>
      </c>
      <c r="I1374" s="2" t="s">
        <v>297</v>
      </c>
      <c r="J1374" s="2" t="s">
        <v>234</v>
      </c>
      <c r="K1374" s="2" t="s">
        <v>82</v>
      </c>
      <c r="L1374" s="2" t="s">
        <v>99</v>
      </c>
      <c r="M1374" s="2" t="s">
        <v>30</v>
      </c>
      <c r="N1374" s="2" t="s">
        <v>42</v>
      </c>
      <c r="O1374" s="2" t="s">
        <v>100</v>
      </c>
      <c r="P1374" s="4">
        <v>305.60289999999998</v>
      </c>
      <c r="Q1374" s="4">
        <v>2</v>
      </c>
      <c r="R1374" s="4">
        <v>133.73259999999999</v>
      </c>
      <c r="S1374" s="2" t="s">
        <v>33</v>
      </c>
      <c r="T1374" s="2" t="s">
        <v>148</v>
      </c>
    </row>
    <row r="1375" spans="1:20" x14ac:dyDescent="0.25">
      <c r="A1375" s="2" t="s">
        <v>2547</v>
      </c>
      <c r="B1375" s="3">
        <v>41874</v>
      </c>
      <c r="C1375" s="3">
        <v>41876</v>
      </c>
      <c r="D1375" s="2" t="s">
        <v>55</v>
      </c>
      <c r="E1375" s="2" t="s">
        <v>2203</v>
      </c>
      <c r="F1375" s="2" t="s">
        <v>2204</v>
      </c>
      <c r="G1375" s="2" t="s">
        <v>24</v>
      </c>
      <c r="H1375" s="2" t="s">
        <v>25</v>
      </c>
      <c r="I1375" s="2" t="s">
        <v>371</v>
      </c>
      <c r="J1375" s="2" t="s">
        <v>127</v>
      </c>
      <c r="K1375" s="2" t="s">
        <v>82</v>
      </c>
      <c r="L1375" s="2" t="s">
        <v>99</v>
      </c>
      <c r="M1375" s="2" t="s">
        <v>30</v>
      </c>
      <c r="N1375" s="2" t="s">
        <v>42</v>
      </c>
      <c r="O1375" s="2" t="s">
        <v>100</v>
      </c>
      <c r="P1375" s="4">
        <v>427.66219999999998</v>
      </c>
      <c r="Q1375" s="4">
        <v>4</v>
      </c>
      <c r="R1375" s="4">
        <v>-20.007999999999999</v>
      </c>
      <c r="S1375" s="2" t="s">
        <v>53</v>
      </c>
      <c r="T1375" s="2" t="s">
        <v>34</v>
      </c>
    </row>
    <row r="1376" spans="1:20" x14ac:dyDescent="0.25">
      <c r="A1376" s="2" t="s">
        <v>2547</v>
      </c>
      <c r="B1376" s="3">
        <v>41874</v>
      </c>
      <c r="C1376" s="3">
        <v>41876</v>
      </c>
      <c r="D1376" s="2" t="s">
        <v>55</v>
      </c>
      <c r="E1376" s="2" t="s">
        <v>2203</v>
      </c>
      <c r="F1376" s="2" t="s">
        <v>2204</v>
      </c>
      <c r="G1376" s="2" t="s">
        <v>24</v>
      </c>
      <c r="H1376" s="2" t="s">
        <v>25</v>
      </c>
      <c r="I1376" s="2" t="s">
        <v>371</v>
      </c>
      <c r="J1376" s="2" t="s">
        <v>127</v>
      </c>
      <c r="K1376" s="2" t="s">
        <v>82</v>
      </c>
      <c r="L1376" s="2" t="s">
        <v>218</v>
      </c>
      <c r="M1376" s="2" t="s">
        <v>30</v>
      </c>
      <c r="N1376" s="2" t="s">
        <v>31</v>
      </c>
      <c r="O1376" s="2" t="s">
        <v>219</v>
      </c>
      <c r="P1376" s="4">
        <v>383.22480000000002</v>
      </c>
      <c r="Q1376" s="4">
        <v>4</v>
      </c>
      <c r="R1376" s="4">
        <v>100.2398</v>
      </c>
      <c r="S1376" s="2" t="s">
        <v>53</v>
      </c>
      <c r="T1376" s="2" t="s">
        <v>34</v>
      </c>
    </row>
    <row r="1377" spans="1:20" x14ac:dyDescent="0.25">
      <c r="A1377" s="2" t="s">
        <v>2548</v>
      </c>
      <c r="B1377" s="3">
        <v>42455</v>
      </c>
      <c r="C1377" s="3">
        <v>42458</v>
      </c>
      <c r="D1377" s="2" t="s">
        <v>55</v>
      </c>
      <c r="E1377" s="2" t="s">
        <v>831</v>
      </c>
      <c r="F1377" s="2" t="s">
        <v>832</v>
      </c>
      <c r="G1377" s="2" t="s">
        <v>58</v>
      </c>
      <c r="H1377" s="2" t="s">
        <v>25</v>
      </c>
      <c r="I1377" s="2" t="s">
        <v>1300</v>
      </c>
      <c r="J1377" s="2" t="s">
        <v>60</v>
      </c>
      <c r="K1377" s="2" t="s">
        <v>61</v>
      </c>
      <c r="L1377" s="2" t="s">
        <v>66</v>
      </c>
      <c r="M1377" s="2" t="s">
        <v>30</v>
      </c>
      <c r="N1377" s="2" t="s">
        <v>31</v>
      </c>
      <c r="O1377" s="2" t="s">
        <v>67</v>
      </c>
      <c r="P1377" s="4">
        <v>19.959900000000001</v>
      </c>
      <c r="Q1377" s="4">
        <v>9</v>
      </c>
      <c r="R1377" s="4">
        <v>5.1794000000000002</v>
      </c>
      <c r="S1377" s="2" t="s">
        <v>92</v>
      </c>
      <c r="T1377" s="2" t="s">
        <v>44</v>
      </c>
    </row>
    <row r="1378" spans="1:20" x14ac:dyDescent="0.25">
      <c r="A1378" s="2" t="s">
        <v>2548</v>
      </c>
      <c r="B1378" s="3">
        <v>42455</v>
      </c>
      <c r="C1378" s="3">
        <v>42458</v>
      </c>
      <c r="D1378" s="2" t="s">
        <v>55</v>
      </c>
      <c r="E1378" s="2" t="s">
        <v>831</v>
      </c>
      <c r="F1378" s="2" t="s">
        <v>832</v>
      </c>
      <c r="G1378" s="2" t="s">
        <v>58</v>
      </c>
      <c r="H1378" s="2" t="s">
        <v>25</v>
      </c>
      <c r="I1378" s="2" t="s">
        <v>1300</v>
      </c>
      <c r="J1378" s="2" t="s">
        <v>60</v>
      </c>
      <c r="K1378" s="2" t="s">
        <v>61</v>
      </c>
      <c r="L1378" s="2" t="s">
        <v>453</v>
      </c>
      <c r="M1378" s="2" t="s">
        <v>30</v>
      </c>
      <c r="N1378" s="2" t="s">
        <v>42</v>
      </c>
      <c r="O1378" s="2" t="s">
        <v>454</v>
      </c>
      <c r="P1378" s="4">
        <v>431.52159999999998</v>
      </c>
      <c r="Q1378" s="4">
        <v>5</v>
      </c>
      <c r="R1378" s="4">
        <v>219.21090000000001</v>
      </c>
      <c r="S1378" s="2" t="s">
        <v>92</v>
      </c>
      <c r="T1378" s="2" t="s">
        <v>44</v>
      </c>
    </row>
    <row r="1379" spans="1:20" x14ac:dyDescent="0.25">
      <c r="A1379" s="2" t="s">
        <v>2548</v>
      </c>
      <c r="B1379" s="3">
        <v>42455</v>
      </c>
      <c r="C1379" s="3">
        <v>42458</v>
      </c>
      <c r="D1379" s="2" t="s">
        <v>55</v>
      </c>
      <c r="E1379" s="2" t="s">
        <v>831</v>
      </c>
      <c r="F1379" s="2" t="s">
        <v>832</v>
      </c>
      <c r="G1379" s="2" t="s">
        <v>58</v>
      </c>
      <c r="H1379" s="2" t="s">
        <v>25</v>
      </c>
      <c r="I1379" s="2" t="s">
        <v>1300</v>
      </c>
      <c r="J1379" s="2" t="s">
        <v>60</v>
      </c>
      <c r="K1379" s="2" t="s">
        <v>61</v>
      </c>
      <c r="L1379" s="2" t="s">
        <v>66</v>
      </c>
      <c r="M1379" s="2" t="s">
        <v>30</v>
      </c>
      <c r="N1379" s="2" t="s">
        <v>31</v>
      </c>
      <c r="O1379" s="2" t="s">
        <v>67</v>
      </c>
      <c r="P1379" s="4">
        <v>37.025100000000002</v>
      </c>
      <c r="Q1379" s="4">
        <v>3</v>
      </c>
      <c r="R1379" s="4">
        <v>21.433800000000002</v>
      </c>
      <c r="S1379" s="2" t="s">
        <v>92</v>
      </c>
      <c r="T1379" s="2" t="s">
        <v>44</v>
      </c>
    </row>
    <row r="1380" spans="1:20" x14ac:dyDescent="0.25">
      <c r="A1380" s="2" t="s">
        <v>2549</v>
      </c>
      <c r="B1380" s="3">
        <v>42620</v>
      </c>
      <c r="C1380" s="3">
        <v>42620</v>
      </c>
      <c r="D1380" s="2" t="s">
        <v>21</v>
      </c>
      <c r="E1380" s="2" t="s">
        <v>1676</v>
      </c>
      <c r="F1380" s="2" t="s">
        <v>1677</v>
      </c>
      <c r="G1380" s="2" t="s">
        <v>58</v>
      </c>
      <c r="H1380" s="2" t="s">
        <v>25</v>
      </c>
      <c r="I1380" s="2" t="s">
        <v>682</v>
      </c>
      <c r="J1380" s="2" t="s">
        <v>632</v>
      </c>
      <c r="K1380" s="2" t="s">
        <v>82</v>
      </c>
      <c r="L1380" s="2" t="s">
        <v>66</v>
      </c>
      <c r="M1380" s="2" t="s">
        <v>30</v>
      </c>
      <c r="N1380" s="2" t="s">
        <v>31</v>
      </c>
      <c r="O1380" s="2" t="s">
        <v>67</v>
      </c>
      <c r="P1380" s="4">
        <v>26.8782</v>
      </c>
      <c r="Q1380" s="4">
        <v>1</v>
      </c>
      <c r="R1380" s="4">
        <v>6.3151000000000002</v>
      </c>
      <c r="S1380" s="2" t="s">
        <v>121</v>
      </c>
      <c r="T1380" s="2" t="s">
        <v>148</v>
      </c>
    </row>
    <row r="1381" spans="1:20" x14ac:dyDescent="0.25">
      <c r="A1381" s="2" t="s">
        <v>2550</v>
      </c>
      <c r="B1381" s="3">
        <v>41932</v>
      </c>
      <c r="C1381" s="3">
        <v>41932</v>
      </c>
      <c r="D1381" s="2" t="s">
        <v>21</v>
      </c>
      <c r="E1381" s="2" t="s">
        <v>472</v>
      </c>
      <c r="F1381" s="2" t="s">
        <v>473</v>
      </c>
      <c r="G1381" s="2" t="s">
        <v>38</v>
      </c>
      <c r="H1381" s="2" t="s">
        <v>25</v>
      </c>
      <c r="I1381" s="2" t="s">
        <v>617</v>
      </c>
      <c r="J1381" s="2" t="s">
        <v>168</v>
      </c>
      <c r="K1381" s="2" t="s">
        <v>28</v>
      </c>
      <c r="L1381" s="2" t="s">
        <v>186</v>
      </c>
      <c r="M1381" s="2" t="s">
        <v>30</v>
      </c>
      <c r="N1381" s="2" t="s">
        <v>31</v>
      </c>
      <c r="O1381" s="2" t="s">
        <v>187</v>
      </c>
      <c r="P1381" s="4">
        <v>108.1065</v>
      </c>
      <c r="Q1381" s="4">
        <v>2</v>
      </c>
      <c r="R1381" s="4">
        <v>41.808</v>
      </c>
      <c r="S1381" s="2" t="s">
        <v>121</v>
      </c>
      <c r="T1381" s="2" t="s">
        <v>224</v>
      </c>
    </row>
    <row r="1382" spans="1:20" x14ac:dyDescent="0.25">
      <c r="A1382" s="2" t="s">
        <v>2551</v>
      </c>
      <c r="B1382" s="3">
        <v>42153</v>
      </c>
      <c r="C1382" s="3">
        <v>42157</v>
      </c>
      <c r="D1382" s="2" t="s">
        <v>55</v>
      </c>
      <c r="E1382" s="2" t="s">
        <v>2230</v>
      </c>
      <c r="F1382" s="2" t="s">
        <v>2231</v>
      </c>
      <c r="G1382" s="2" t="s">
        <v>58</v>
      </c>
      <c r="H1382" s="2" t="s">
        <v>25</v>
      </c>
      <c r="I1382" s="2" t="s">
        <v>727</v>
      </c>
      <c r="J1382" s="2" t="s">
        <v>728</v>
      </c>
      <c r="K1382" s="2" t="s">
        <v>147</v>
      </c>
      <c r="L1382" s="2" t="s">
        <v>99</v>
      </c>
      <c r="M1382" s="2" t="s">
        <v>30</v>
      </c>
      <c r="N1382" s="2" t="s">
        <v>42</v>
      </c>
      <c r="O1382" s="2" t="s">
        <v>100</v>
      </c>
      <c r="P1382" s="4">
        <v>248.65880000000001</v>
      </c>
      <c r="Q1382" s="4">
        <v>1</v>
      </c>
      <c r="R1382" s="4">
        <v>-34.6098</v>
      </c>
      <c r="S1382" s="2" t="s">
        <v>75</v>
      </c>
      <c r="T1382" s="2" t="s">
        <v>122</v>
      </c>
    </row>
    <row r="1383" spans="1:20" x14ac:dyDescent="0.25">
      <c r="A1383" s="2" t="s">
        <v>2552</v>
      </c>
      <c r="B1383" s="3">
        <v>42038</v>
      </c>
      <c r="C1383" s="3">
        <v>42040</v>
      </c>
      <c r="D1383" s="2" t="s">
        <v>48</v>
      </c>
      <c r="E1383" s="2" t="s">
        <v>196</v>
      </c>
      <c r="F1383" s="2" t="s">
        <v>197</v>
      </c>
      <c r="G1383" s="2" t="s">
        <v>38</v>
      </c>
      <c r="H1383" s="2" t="s">
        <v>25</v>
      </c>
      <c r="I1383" s="2" t="s">
        <v>212</v>
      </c>
      <c r="J1383" s="2" t="s">
        <v>185</v>
      </c>
      <c r="K1383" s="2" t="s">
        <v>147</v>
      </c>
      <c r="L1383" s="2" t="s">
        <v>323</v>
      </c>
      <c r="M1383" s="2" t="s">
        <v>30</v>
      </c>
      <c r="N1383" s="2" t="s">
        <v>31</v>
      </c>
      <c r="O1383" s="2" t="s">
        <v>324</v>
      </c>
      <c r="P1383" s="4">
        <v>33.478900000000003</v>
      </c>
      <c r="Q1383" s="4">
        <v>4</v>
      </c>
      <c r="R1383" s="4">
        <v>-12.578099999999999</v>
      </c>
      <c r="S1383" s="2" t="s">
        <v>53</v>
      </c>
      <c r="T1383" s="2" t="s">
        <v>101</v>
      </c>
    </row>
    <row r="1384" spans="1:20" x14ac:dyDescent="0.25">
      <c r="A1384" s="2" t="s">
        <v>2553</v>
      </c>
      <c r="B1384" s="3">
        <v>42760</v>
      </c>
      <c r="C1384" s="3">
        <v>42762</v>
      </c>
      <c r="D1384" s="2" t="s">
        <v>55</v>
      </c>
      <c r="E1384" s="2" t="s">
        <v>1791</v>
      </c>
      <c r="F1384" s="2" t="s">
        <v>1792</v>
      </c>
      <c r="G1384" s="2" t="s">
        <v>58</v>
      </c>
      <c r="H1384" s="2" t="s">
        <v>25</v>
      </c>
      <c r="I1384" s="2" t="s">
        <v>736</v>
      </c>
      <c r="J1384" s="2" t="s">
        <v>728</v>
      </c>
      <c r="K1384" s="2" t="s">
        <v>147</v>
      </c>
      <c r="L1384" s="2" t="s">
        <v>41</v>
      </c>
      <c r="M1384" s="2" t="s">
        <v>30</v>
      </c>
      <c r="N1384" s="2" t="s">
        <v>42</v>
      </c>
      <c r="O1384" s="2" t="s">
        <v>43</v>
      </c>
      <c r="P1384" s="4">
        <v>1076.6866</v>
      </c>
      <c r="Q1384" s="4">
        <v>2</v>
      </c>
      <c r="R1384" s="4">
        <v>-135.1961</v>
      </c>
      <c r="S1384" s="2" t="s">
        <v>53</v>
      </c>
      <c r="T1384" s="2" t="s">
        <v>115</v>
      </c>
    </row>
    <row r="1385" spans="1:20" x14ac:dyDescent="0.25">
      <c r="A1385" s="2" t="s">
        <v>2554</v>
      </c>
      <c r="B1385" s="3">
        <v>41933</v>
      </c>
      <c r="C1385" s="3">
        <v>41939</v>
      </c>
      <c r="D1385" s="2" t="s">
        <v>55</v>
      </c>
      <c r="E1385" s="2" t="s">
        <v>1416</v>
      </c>
      <c r="F1385" s="2" t="s">
        <v>1417</v>
      </c>
      <c r="G1385" s="2" t="s">
        <v>58</v>
      </c>
      <c r="H1385" s="2" t="s">
        <v>25</v>
      </c>
      <c r="I1385" s="2" t="s">
        <v>297</v>
      </c>
      <c r="J1385" s="2" t="s">
        <v>234</v>
      </c>
      <c r="K1385" s="2" t="s">
        <v>82</v>
      </c>
      <c r="L1385" s="2" t="s">
        <v>228</v>
      </c>
      <c r="M1385" s="2" t="s">
        <v>30</v>
      </c>
      <c r="N1385" s="2" t="s">
        <v>42</v>
      </c>
      <c r="O1385" s="2" t="s">
        <v>229</v>
      </c>
      <c r="P1385" s="4">
        <v>1003.0293</v>
      </c>
      <c r="Q1385" s="4">
        <v>2</v>
      </c>
      <c r="R1385" s="4">
        <v>206.4862</v>
      </c>
      <c r="S1385" s="2" t="s">
        <v>65</v>
      </c>
      <c r="T1385" s="2" t="s">
        <v>224</v>
      </c>
    </row>
    <row r="1386" spans="1:20" x14ac:dyDescent="0.25">
      <c r="A1386" s="2" t="s">
        <v>2555</v>
      </c>
      <c r="B1386" s="3">
        <v>42926</v>
      </c>
      <c r="C1386" s="3">
        <v>42928</v>
      </c>
      <c r="D1386" s="2" t="s">
        <v>48</v>
      </c>
      <c r="E1386" s="2" t="s">
        <v>2556</v>
      </c>
      <c r="F1386" s="2" t="s">
        <v>2557</v>
      </c>
      <c r="G1386" s="2" t="s">
        <v>38</v>
      </c>
      <c r="H1386" s="2" t="s">
        <v>25</v>
      </c>
      <c r="I1386" s="2" t="s">
        <v>982</v>
      </c>
      <c r="J1386" s="2" t="s">
        <v>180</v>
      </c>
      <c r="K1386" s="2" t="s">
        <v>147</v>
      </c>
      <c r="L1386" s="2" t="s">
        <v>45</v>
      </c>
      <c r="M1386" s="2" t="s">
        <v>30</v>
      </c>
      <c r="N1386" s="2" t="s">
        <v>31</v>
      </c>
      <c r="O1386" s="2" t="s">
        <v>46</v>
      </c>
      <c r="P1386" s="4">
        <v>173.96530000000001</v>
      </c>
      <c r="Q1386" s="4">
        <v>2</v>
      </c>
      <c r="R1386" s="4">
        <v>43.544800000000002</v>
      </c>
      <c r="S1386" s="2" t="s">
        <v>53</v>
      </c>
      <c r="T1386" s="2" t="s">
        <v>86</v>
      </c>
    </row>
    <row r="1387" spans="1:20" x14ac:dyDescent="0.25">
      <c r="A1387" s="2" t="s">
        <v>2558</v>
      </c>
      <c r="B1387" s="3">
        <v>42560</v>
      </c>
      <c r="C1387" s="3">
        <v>42562</v>
      </c>
      <c r="D1387" s="2" t="s">
        <v>55</v>
      </c>
      <c r="E1387" s="2" t="s">
        <v>2533</v>
      </c>
      <c r="F1387" s="2" t="s">
        <v>2534</v>
      </c>
      <c r="G1387" s="2" t="s">
        <v>58</v>
      </c>
      <c r="H1387" s="2" t="s">
        <v>25</v>
      </c>
      <c r="I1387" s="2" t="s">
        <v>243</v>
      </c>
      <c r="J1387" s="2" t="s">
        <v>244</v>
      </c>
      <c r="K1387" s="2" t="s">
        <v>61</v>
      </c>
      <c r="L1387" s="2" t="s">
        <v>207</v>
      </c>
      <c r="M1387" s="2" t="s">
        <v>30</v>
      </c>
      <c r="N1387" s="2" t="s">
        <v>31</v>
      </c>
      <c r="O1387" s="2" t="s">
        <v>208</v>
      </c>
      <c r="P1387" s="4">
        <v>151.7116</v>
      </c>
      <c r="Q1387" s="4">
        <v>4</v>
      </c>
      <c r="R1387" s="4">
        <v>-51.786900000000003</v>
      </c>
      <c r="S1387" s="2" t="s">
        <v>53</v>
      </c>
      <c r="T1387" s="2" t="s">
        <v>86</v>
      </c>
    </row>
    <row r="1388" spans="1:20" x14ac:dyDescent="0.25">
      <c r="A1388" s="2" t="s">
        <v>2559</v>
      </c>
      <c r="B1388" s="3">
        <v>41935</v>
      </c>
      <c r="C1388" s="3">
        <v>41935</v>
      </c>
      <c r="D1388" s="2" t="s">
        <v>55</v>
      </c>
      <c r="E1388" s="2" t="s">
        <v>2338</v>
      </c>
      <c r="F1388" s="2" t="s">
        <v>2339</v>
      </c>
      <c r="G1388" s="2" t="s">
        <v>38</v>
      </c>
      <c r="H1388" s="2" t="s">
        <v>25</v>
      </c>
      <c r="I1388" s="2" t="s">
        <v>394</v>
      </c>
      <c r="J1388" s="2" t="s">
        <v>289</v>
      </c>
      <c r="K1388" s="2" t="s">
        <v>82</v>
      </c>
      <c r="L1388" s="2" t="s">
        <v>41</v>
      </c>
      <c r="M1388" s="2" t="s">
        <v>30</v>
      </c>
      <c r="N1388" s="2" t="s">
        <v>42</v>
      </c>
      <c r="O1388" s="2" t="s">
        <v>43</v>
      </c>
      <c r="P1388" s="4">
        <v>133.1249</v>
      </c>
      <c r="Q1388" s="4">
        <v>5</v>
      </c>
      <c r="R1388" s="4">
        <v>50.794899999999998</v>
      </c>
      <c r="S1388" s="2" t="s">
        <v>121</v>
      </c>
      <c r="T1388" s="2" t="s">
        <v>224</v>
      </c>
    </row>
    <row r="1389" spans="1:20" x14ac:dyDescent="0.25">
      <c r="A1389" s="2" t="s">
        <v>2560</v>
      </c>
      <c r="B1389" s="3">
        <v>42581</v>
      </c>
      <c r="C1389" s="3">
        <v>42587</v>
      </c>
      <c r="D1389" s="2" t="s">
        <v>55</v>
      </c>
      <c r="E1389" s="2" t="s">
        <v>248</v>
      </c>
      <c r="F1389" s="2" t="s">
        <v>249</v>
      </c>
      <c r="G1389" s="2" t="s">
        <v>24</v>
      </c>
      <c r="H1389" s="2" t="s">
        <v>25</v>
      </c>
      <c r="I1389" s="2" t="s">
        <v>902</v>
      </c>
      <c r="J1389" s="2" t="s">
        <v>632</v>
      </c>
      <c r="K1389" s="2" t="s">
        <v>82</v>
      </c>
      <c r="L1389" s="2" t="s">
        <v>254</v>
      </c>
      <c r="M1389" s="2" t="s">
        <v>30</v>
      </c>
      <c r="N1389" s="2" t="s">
        <v>162</v>
      </c>
      <c r="O1389" s="2" t="s">
        <v>255</v>
      </c>
      <c r="P1389" s="4">
        <v>195.96430000000001</v>
      </c>
      <c r="Q1389" s="4">
        <v>4</v>
      </c>
      <c r="R1389" s="4">
        <v>-155.4144</v>
      </c>
      <c r="S1389" s="2" t="s">
        <v>65</v>
      </c>
      <c r="T1389" s="2" t="s">
        <v>86</v>
      </c>
    </row>
    <row r="1390" spans="1:20" x14ac:dyDescent="0.25">
      <c r="A1390" s="2" t="s">
        <v>2561</v>
      </c>
      <c r="B1390" s="3">
        <v>42566</v>
      </c>
      <c r="C1390" s="3">
        <v>42569</v>
      </c>
      <c r="D1390" s="2" t="s">
        <v>55</v>
      </c>
      <c r="E1390" s="2" t="s">
        <v>304</v>
      </c>
      <c r="F1390" s="2" t="s">
        <v>305</v>
      </c>
      <c r="G1390" s="2" t="s">
        <v>58</v>
      </c>
      <c r="H1390" s="2" t="s">
        <v>25</v>
      </c>
      <c r="I1390" s="2" t="s">
        <v>243</v>
      </c>
      <c r="J1390" s="2" t="s">
        <v>244</v>
      </c>
      <c r="K1390" s="2" t="s">
        <v>61</v>
      </c>
      <c r="L1390" s="2" t="s">
        <v>29</v>
      </c>
      <c r="M1390" s="2" t="s">
        <v>30</v>
      </c>
      <c r="N1390" s="2" t="s">
        <v>31</v>
      </c>
      <c r="O1390" s="2" t="s">
        <v>32</v>
      </c>
      <c r="P1390" s="4">
        <v>25.6816</v>
      </c>
      <c r="Q1390" s="4">
        <v>5</v>
      </c>
      <c r="R1390" s="4">
        <v>5.7808999999999999</v>
      </c>
      <c r="S1390" s="2" t="s">
        <v>92</v>
      </c>
      <c r="T1390" s="2" t="s">
        <v>86</v>
      </c>
    </row>
    <row r="1391" spans="1:20" x14ac:dyDescent="0.25">
      <c r="A1391" s="2" t="s">
        <v>2562</v>
      </c>
      <c r="B1391" s="3">
        <v>42038</v>
      </c>
      <c r="C1391" s="3">
        <v>42040</v>
      </c>
      <c r="D1391" s="2" t="s">
        <v>55</v>
      </c>
      <c r="E1391" s="2" t="s">
        <v>2563</v>
      </c>
      <c r="F1391" s="2" t="s">
        <v>2564</v>
      </c>
      <c r="G1391" s="2" t="s">
        <v>38</v>
      </c>
      <c r="H1391" s="2" t="s">
        <v>25</v>
      </c>
      <c r="I1391" s="2" t="s">
        <v>223</v>
      </c>
      <c r="J1391" s="2" t="s">
        <v>81</v>
      </c>
      <c r="K1391" s="2" t="s">
        <v>82</v>
      </c>
      <c r="L1391" s="2" t="s">
        <v>200</v>
      </c>
      <c r="M1391" s="2" t="s">
        <v>30</v>
      </c>
      <c r="N1391" s="2" t="s">
        <v>162</v>
      </c>
      <c r="O1391" s="2" t="s">
        <v>201</v>
      </c>
      <c r="P1391" s="4">
        <v>1396.5669</v>
      </c>
      <c r="Q1391" s="4">
        <v>5</v>
      </c>
      <c r="R1391" s="4">
        <v>461.27179999999998</v>
      </c>
      <c r="S1391" s="2" t="s">
        <v>53</v>
      </c>
      <c r="T1391" s="2" t="s">
        <v>101</v>
      </c>
    </row>
    <row r="1392" spans="1:20" x14ac:dyDescent="0.25">
      <c r="A1392" s="2" t="s">
        <v>2565</v>
      </c>
      <c r="B1392" s="3">
        <v>42255</v>
      </c>
      <c r="C1392" s="3">
        <v>42259</v>
      </c>
      <c r="D1392" s="2" t="s">
        <v>21</v>
      </c>
      <c r="E1392" s="2" t="s">
        <v>2566</v>
      </c>
      <c r="F1392" s="2" t="s">
        <v>2567</v>
      </c>
      <c r="G1392" s="2" t="s">
        <v>58</v>
      </c>
      <c r="H1392" s="2" t="s">
        <v>25</v>
      </c>
      <c r="I1392" s="2" t="s">
        <v>90</v>
      </c>
      <c r="J1392" s="2" t="s">
        <v>91</v>
      </c>
      <c r="K1392" s="2" t="s">
        <v>61</v>
      </c>
      <c r="L1392" s="2" t="s">
        <v>174</v>
      </c>
      <c r="M1392" s="2" t="s">
        <v>30</v>
      </c>
      <c r="N1392" s="2" t="s">
        <v>31</v>
      </c>
      <c r="O1392" s="2" t="s">
        <v>175</v>
      </c>
      <c r="P1392" s="4">
        <v>26.720500000000001</v>
      </c>
      <c r="Q1392" s="4">
        <v>5</v>
      </c>
      <c r="R1392" s="4">
        <v>-1.7122999999999999</v>
      </c>
      <c r="S1392" s="2" t="s">
        <v>75</v>
      </c>
      <c r="T1392" s="2" t="s">
        <v>148</v>
      </c>
    </row>
    <row r="1393" spans="1:20" x14ac:dyDescent="0.25">
      <c r="A1393" s="2" t="s">
        <v>2568</v>
      </c>
      <c r="B1393" s="3">
        <v>43061</v>
      </c>
      <c r="C1393" s="3">
        <v>43062</v>
      </c>
      <c r="D1393" s="2" t="s">
        <v>21</v>
      </c>
      <c r="E1393" s="2" t="s">
        <v>489</v>
      </c>
      <c r="F1393" s="2" t="s">
        <v>490</v>
      </c>
      <c r="G1393" s="2" t="s">
        <v>38</v>
      </c>
      <c r="H1393" s="2" t="s">
        <v>25</v>
      </c>
      <c r="I1393" s="2" t="s">
        <v>576</v>
      </c>
      <c r="J1393" s="2" t="s">
        <v>470</v>
      </c>
      <c r="K1393" s="2" t="s">
        <v>28</v>
      </c>
      <c r="L1393" s="2" t="s">
        <v>207</v>
      </c>
      <c r="M1393" s="2" t="s">
        <v>30</v>
      </c>
      <c r="N1393" s="2" t="s">
        <v>31</v>
      </c>
      <c r="O1393" s="2" t="s">
        <v>208</v>
      </c>
      <c r="P1393" s="4">
        <v>242.4023</v>
      </c>
      <c r="Q1393" s="4">
        <v>2</v>
      </c>
      <c r="R1393" s="4">
        <v>-101.4213</v>
      </c>
      <c r="S1393" s="2" t="s">
        <v>33</v>
      </c>
      <c r="T1393" s="2" t="s">
        <v>93</v>
      </c>
    </row>
    <row r="1394" spans="1:20" x14ac:dyDescent="0.25">
      <c r="A1394" s="2" t="s">
        <v>2569</v>
      </c>
      <c r="B1394" s="3">
        <v>41948</v>
      </c>
      <c r="C1394" s="3">
        <v>41948</v>
      </c>
      <c r="D1394" s="2" t="s">
        <v>55</v>
      </c>
      <c r="E1394" s="2" t="s">
        <v>578</v>
      </c>
      <c r="F1394" s="2" t="s">
        <v>579</v>
      </c>
      <c r="G1394" s="2" t="s">
        <v>58</v>
      </c>
      <c r="H1394" s="2" t="s">
        <v>25</v>
      </c>
      <c r="I1394" s="2" t="s">
        <v>167</v>
      </c>
      <c r="J1394" s="2" t="s">
        <v>168</v>
      </c>
      <c r="K1394" s="2" t="s">
        <v>28</v>
      </c>
      <c r="L1394" s="2" t="s">
        <v>252</v>
      </c>
      <c r="M1394" s="2" t="s">
        <v>30</v>
      </c>
      <c r="N1394" s="2" t="s">
        <v>31</v>
      </c>
      <c r="O1394" s="2" t="s">
        <v>253</v>
      </c>
      <c r="P1394" s="4">
        <v>56.8962</v>
      </c>
      <c r="Q1394" s="4">
        <v>5</v>
      </c>
      <c r="R1394" s="4">
        <v>21.128</v>
      </c>
      <c r="S1394" s="2" t="s">
        <v>121</v>
      </c>
      <c r="T1394" s="2" t="s">
        <v>93</v>
      </c>
    </row>
    <row r="1395" spans="1:20" x14ac:dyDescent="0.25">
      <c r="A1395" s="2" t="s">
        <v>2570</v>
      </c>
      <c r="B1395" s="3">
        <v>41683</v>
      </c>
      <c r="C1395" s="3">
        <v>41685</v>
      </c>
      <c r="D1395" s="2" t="s">
        <v>55</v>
      </c>
      <c r="E1395" s="2" t="s">
        <v>1645</v>
      </c>
      <c r="F1395" s="2" t="s">
        <v>1646</v>
      </c>
      <c r="G1395" s="2" t="s">
        <v>58</v>
      </c>
      <c r="H1395" s="2" t="s">
        <v>25</v>
      </c>
      <c r="I1395" s="2" t="s">
        <v>350</v>
      </c>
      <c r="J1395" s="2" t="s">
        <v>351</v>
      </c>
      <c r="K1395" s="2" t="s">
        <v>147</v>
      </c>
      <c r="L1395" s="2" t="s">
        <v>73</v>
      </c>
      <c r="M1395" s="2" t="s">
        <v>30</v>
      </c>
      <c r="N1395" s="2" t="s">
        <v>42</v>
      </c>
      <c r="O1395" s="2" t="s">
        <v>74</v>
      </c>
      <c r="P1395" s="4">
        <v>160.48259999999999</v>
      </c>
      <c r="Q1395" s="4">
        <v>4</v>
      </c>
      <c r="R1395" s="4">
        <v>24.1599</v>
      </c>
      <c r="S1395" s="2" t="s">
        <v>53</v>
      </c>
      <c r="T1395" s="2" t="s">
        <v>101</v>
      </c>
    </row>
    <row r="1396" spans="1:20" x14ac:dyDescent="0.25">
      <c r="A1396" s="2" t="s">
        <v>2570</v>
      </c>
      <c r="B1396" s="3">
        <v>41683</v>
      </c>
      <c r="C1396" s="3">
        <v>41685</v>
      </c>
      <c r="D1396" s="2" t="s">
        <v>55</v>
      </c>
      <c r="E1396" s="2" t="s">
        <v>1645</v>
      </c>
      <c r="F1396" s="2" t="s">
        <v>1646</v>
      </c>
      <c r="G1396" s="2" t="s">
        <v>58</v>
      </c>
      <c r="H1396" s="2" t="s">
        <v>25</v>
      </c>
      <c r="I1396" s="2" t="s">
        <v>350</v>
      </c>
      <c r="J1396" s="2" t="s">
        <v>351</v>
      </c>
      <c r="K1396" s="2" t="s">
        <v>147</v>
      </c>
      <c r="L1396" s="2" t="s">
        <v>245</v>
      </c>
      <c r="M1396" s="2" t="s">
        <v>30</v>
      </c>
      <c r="N1396" s="2" t="s">
        <v>42</v>
      </c>
      <c r="O1396" s="2" t="s">
        <v>246</v>
      </c>
      <c r="P1396" s="4">
        <v>331.61160000000001</v>
      </c>
      <c r="Q1396" s="4">
        <v>2</v>
      </c>
      <c r="R1396" s="4">
        <v>114.054</v>
      </c>
      <c r="S1396" s="2" t="s">
        <v>53</v>
      </c>
      <c r="T1396" s="2" t="s">
        <v>101</v>
      </c>
    </row>
    <row r="1397" spans="1:20" x14ac:dyDescent="0.25">
      <c r="A1397" s="2" t="s">
        <v>2570</v>
      </c>
      <c r="B1397" s="3">
        <v>41683</v>
      </c>
      <c r="C1397" s="3">
        <v>41685</v>
      </c>
      <c r="D1397" s="2" t="s">
        <v>55</v>
      </c>
      <c r="E1397" s="2" t="s">
        <v>1645</v>
      </c>
      <c r="F1397" s="2" t="s">
        <v>1646</v>
      </c>
      <c r="G1397" s="2" t="s">
        <v>58</v>
      </c>
      <c r="H1397" s="2" t="s">
        <v>25</v>
      </c>
      <c r="I1397" s="2" t="s">
        <v>350</v>
      </c>
      <c r="J1397" s="2" t="s">
        <v>351</v>
      </c>
      <c r="K1397" s="2" t="s">
        <v>147</v>
      </c>
      <c r="L1397" s="2" t="s">
        <v>66</v>
      </c>
      <c r="M1397" s="2" t="s">
        <v>30</v>
      </c>
      <c r="N1397" s="2" t="s">
        <v>31</v>
      </c>
      <c r="O1397" s="2" t="s">
        <v>67</v>
      </c>
      <c r="P1397" s="4">
        <v>22.851800000000001</v>
      </c>
      <c r="Q1397" s="4">
        <v>8</v>
      </c>
      <c r="R1397" s="4">
        <v>-6.6002000000000001</v>
      </c>
      <c r="S1397" s="2" t="s">
        <v>53</v>
      </c>
      <c r="T1397" s="2" t="s">
        <v>101</v>
      </c>
    </row>
    <row r="1398" spans="1:20" x14ac:dyDescent="0.25">
      <c r="A1398" s="2" t="s">
        <v>2571</v>
      </c>
      <c r="B1398" s="3">
        <v>42612</v>
      </c>
      <c r="C1398" s="3">
        <v>42612</v>
      </c>
      <c r="D1398" s="2" t="s">
        <v>48</v>
      </c>
      <c r="E1398" s="2" t="s">
        <v>262</v>
      </c>
      <c r="F1398" s="2" t="s">
        <v>263</v>
      </c>
      <c r="G1398" s="2" t="s">
        <v>58</v>
      </c>
      <c r="H1398" s="2" t="s">
        <v>25</v>
      </c>
      <c r="I1398" s="2" t="s">
        <v>402</v>
      </c>
      <c r="J1398" s="2" t="s">
        <v>403</v>
      </c>
      <c r="K1398" s="2" t="s">
        <v>147</v>
      </c>
      <c r="L1398" s="2" t="s">
        <v>344</v>
      </c>
      <c r="M1398" s="2" t="s">
        <v>30</v>
      </c>
      <c r="N1398" s="2" t="s">
        <v>42</v>
      </c>
      <c r="O1398" s="2" t="s">
        <v>345</v>
      </c>
      <c r="P1398" s="4">
        <v>211.49080000000001</v>
      </c>
      <c r="Q1398" s="4">
        <v>3</v>
      </c>
      <c r="R1398" s="4">
        <v>6.8419999999999996</v>
      </c>
      <c r="S1398" s="2" t="s">
        <v>121</v>
      </c>
      <c r="T1398" s="2" t="s">
        <v>34</v>
      </c>
    </row>
    <row r="1399" spans="1:20" x14ac:dyDescent="0.25">
      <c r="A1399" s="2" t="s">
        <v>2572</v>
      </c>
      <c r="B1399" s="3">
        <v>42479</v>
      </c>
      <c r="C1399" s="3">
        <v>42479</v>
      </c>
      <c r="D1399" s="2" t="s">
        <v>142</v>
      </c>
      <c r="E1399" s="2" t="s">
        <v>1883</v>
      </c>
      <c r="F1399" s="2" t="s">
        <v>1884</v>
      </c>
      <c r="G1399" s="2" t="s">
        <v>38</v>
      </c>
      <c r="H1399" s="2" t="s">
        <v>25</v>
      </c>
      <c r="I1399" s="2" t="s">
        <v>394</v>
      </c>
      <c r="J1399" s="2" t="s">
        <v>289</v>
      </c>
      <c r="K1399" s="2" t="s">
        <v>82</v>
      </c>
      <c r="L1399" s="2" t="s">
        <v>139</v>
      </c>
      <c r="M1399" s="2" t="s">
        <v>30</v>
      </c>
      <c r="N1399" s="2" t="s">
        <v>42</v>
      </c>
      <c r="O1399" s="2" t="s">
        <v>140</v>
      </c>
      <c r="P1399" s="4">
        <v>1191.5678</v>
      </c>
      <c r="Q1399" s="4">
        <v>2</v>
      </c>
      <c r="R1399" s="4">
        <v>-48.667299999999997</v>
      </c>
      <c r="S1399" s="2" t="s">
        <v>121</v>
      </c>
      <c r="T1399" s="2" t="s">
        <v>108</v>
      </c>
    </row>
    <row r="1400" spans="1:20" x14ac:dyDescent="0.25">
      <c r="A1400" s="2" t="s">
        <v>2573</v>
      </c>
      <c r="B1400" s="3">
        <v>41838</v>
      </c>
      <c r="C1400" s="3">
        <v>41838</v>
      </c>
      <c r="D1400" s="2" t="s">
        <v>55</v>
      </c>
      <c r="E1400" s="2" t="s">
        <v>2574</v>
      </c>
      <c r="F1400" s="2" t="s">
        <v>2575</v>
      </c>
      <c r="G1400" s="2" t="s">
        <v>24</v>
      </c>
      <c r="H1400" s="2" t="s">
        <v>25</v>
      </c>
      <c r="I1400" s="2" t="s">
        <v>829</v>
      </c>
      <c r="J1400" s="2" t="s">
        <v>199</v>
      </c>
      <c r="K1400" s="2" t="s">
        <v>82</v>
      </c>
      <c r="L1400" s="2" t="s">
        <v>186</v>
      </c>
      <c r="M1400" s="2" t="s">
        <v>30</v>
      </c>
      <c r="N1400" s="2" t="s">
        <v>31</v>
      </c>
      <c r="O1400" s="2" t="s">
        <v>187</v>
      </c>
      <c r="P1400" s="4">
        <v>172.45330000000001</v>
      </c>
      <c r="Q1400" s="4">
        <v>4</v>
      </c>
      <c r="R1400" s="4">
        <v>-58.781799999999997</v>
      </c>
      <c r="S1400" s="2" t="s">
        <v>121</v>
      </c>
      <c r="T1400" s="2" t="s">
        <v>86</v>
      </c>
    </row>
    <row r="1401" spans="1:20" x14ac:dyDescent="0.25">
      <c r="A1401" s="2" t="s">
        <v>2576</v>
      </c>
      <c r="B1401" s="3">
        <v>42543</v>
      </c>
      <c r="C1401" s="3">
        <v>42543</v>
      </c>
      <c r="D1401" s="2" t="s">
        <v>48</v>
      </c>
      <c r="E1401" s="2" t="s">
        <v>2066</v>
      </c>
      <c r="F1401" s="2" t="s">
        <v>2067</v>
      </c>
      <c r="G1401" s="2" t="s">
        <v>24</v>
      </c>
      <c r="H1401" s="2" t="s">
        <v>25</v>
      </c>
      <c r="I1401" s="2" t="s">
        <v>699</v>
      </c>
      <c r="J1401" s="2" t="s">
        <v>339</v>
      </c>
      <c r="K1401" s="2" t="s">
        <v>82</v>
      </c>
      <c r="L1401" s="2" t="s">
        <v>890</v>
      </c>
      <c r="M1401" s="2" t="s">
        <v>30</v>
      </c>
      <c r="N1401" s="2" t="s">
        <v>63</v>
      </c>
      <c r="O1401" s="2" t="s">
        <v>891</v>
      </c>
      <c r="P1401" s="4">
        <v>157.68299999999999</v>
      </c>
      <c r="Q1401" s="4">
        <v>1</v>
      </c>
      <c r="R1401" s="4">
        <v>22.3645</v>
      </c>
      <c r="S1401" s="2" t="s">
        <v>121</v>
      </c>
      <c r="T1401" s="2" t="s">
        <v>133</v>
      </c>
    </row>
    <row r="1402" spans="1:20" x14ac:dyDescent="0.25">
      <c r="A1402" s="2" t="s">
        <v>2576</v>
      </c>
      <c r="B1402" s="3">
        <v>42543</v>
      </c>
      <c r="C1402" s="3">
        <v>42543</v>
      </c>
      <c r="D1402" s="2" t="s">
        <v>48</v>
      </c>
      <c r="E1402" s="2" t="s">
        <v>2066</v>
      </c>
      <c r="F1402" s="2" t="s">
        <v>2067</v>
      </c>
      <c r="G1402" s="2" t="s">
        <v>24</v>
      </c>
      <c r="H1402" s="2" t="s">
        <v>25</v>
      </c>
      <c r="I1402" s="2" t="s">
        <v>699</v>
      </c>
      <c r="J1402" s="2" t="s">
        <v>339</v>
      </c>
      <c r="K1402" s="2" t="s">
        <v>82</v>
      </c>
      <c r="L1402" s="2" t="s">
        <v>235</v>
      </c>
      <c r="M1402" s="2" t="s">
        <v>30</v>
      </c>
      <c r="N1402" s="2" t="s">
        <v>31</v>
      </c>
      <c r="O1402" s="2" t="s">
        <v>236</v>
      </c>
      <c r="P1402" s="4">
        <v>69.141499999999994</v>
      </c>
      <c r="Q1402" s="4">
        <v>2</v>
      </c>
      <c r="R1402" s="4">
        <v>-10.431699999999999</v>
      </c>
      <c r="S1402" s="2" t="s">
        <v>121</v>
      </c>
      <c r="T1402" s="2" t="s">
        <v>133</v>
      </c>
    </row>
    <row r="1403" spans="1:20" x14ac:dyDescent="0.25">
      <c r="A1403" s="2" t="s">
        <v>2577</v>
      </c>
      <c r="B1403" s="3">
        <v>42446</v>
      </c>
      <c r="C1403" s="3">
        <v>42447</v>
      </c>
      <c r="D1403" s="2" t="s">
        <v>55</v>
      </c>
      <c r="E1403" s="2" t="s">
        <v>467</v>
      </c>
      <c r="F1403" s="2" t="s">
        <v>468</v>
      </c>
      <c r="G1403" s="2" t="s">
        <v>24</v>
      </c>
      <c r="H1403" s="2" t="s">
        <v>25</v>
      </c>
      <c r="I1403" s="2" t="s">
        <v>364</v>
      </c>
      <c r="J1403" s="2" t="s">
        <v>279</v>
      </c>
      <c r="K1403" s="2" t="s">
        <v>28</v>
      </c>
      <c r="L1403" s="2" t="s">
        <v>66</v>
      </c>
      <c r="M1403" s="2" t="s">
        <v>30</v>
      </c>
      <c r="N1403" s="2" t="s">
        <v>31</v>
      </c>
      <c r="O1403" s="2" t="s">
        <v>67</v>
      </c>
      <c r="P1403" s="4">
        <v>29.596800000000002</v>
      </c>
      <c r="Q1403" s="4">
        <v>2</v>
      </c>
      <c r="R1403" s="4">
        <v>8.0657999999999994</v>
      </c>
      <c r="S1403" s="2" t="s">
        <v>33</v>
      </c>
      <c r="T1403" s="2" t="s">
        <v>44</v>
      </c>
    </row>
    <row r="1404" spans="1:20" x14ac:dyDescent="0.25">
      <c r="A1404" s="2" t="s">
        <v>2578</v>
      </c>
      <c r="B1404" s="3">
        <v>41672</v>
      </c>
      <c r="C1404" s="3">
        <v>41672</v>
      </c>
      <c r="D1404" s="2" t="s">
        <v>55</v>
      </c>
      <c r="E1404" s="2" t="s">
        <v>2283</v>
      </c>
      <c r="F1404" s="2" t="s">
        <v>2284</v>
      </c>
      <c r="G1404" s="2" t="s">
        <v>58</v>
      </c>
      <c r="H1404" s="2" t="s">
        <v>25</v>
      </c>
      <c r="I1404" s="2" t="s">
        <v>482</v>
      </c>
      <c r="J1404" s="2" t="s">
        <v>120</v>
      </c>
      <c r="K1404" s="2" t="s">
        <v>61</v>
      </c>
      <c r="L1404" s="2" t="s">
        <v>174</v>
      </c>
      <c r="M1404" s="2" t="s">
        <v>30</v>
      </c>
      <c r="N1404" s="2" t="s">
        <v>31</v>
      </c>
      <c r="O1404" s="2" t="s">
        <v>175</v>
      </c>
      <c r="P1404" s="4">
        <v>37.1967</v>
      </c>
      <c r="Q1404" s="4">
        <v>2</v>
      </c>
      <c r="R1404" s="4">
        <v>1.5952999999999999</v>
      </c>
      <c r="S1404" s="2" t="s">
        <v>121</v>
      </c>
      <c r="T1404" s="2" t="s">
        <v>101</v>
      </c>
    </row>
    <row r="1405" spans="1:20" x14ac:dyDescent="0.25">
      <c r="A1405" s="2" t="s">
        <v>2579</v>
      </c>
      <c r="B1405" s="3">
        <v>42969</v>
      </c>
      <c r="C1405" s="3">
        <v>42976</v>
      </c>
      <c r="D1405" s="2" t="s">
        <v>55</v>
      </c>
      <c r="E1405" s="2" t="s">
        <v>2509</v>
      </c>
      <c r="F1405" s="2" t="s">
        <v>2510</v>
      </c>
      <c r="G1405" s="2" t="s">
        <v>58</v>
      </c>
      <c r="H1405" s="2" t="s">
        <v>25</v>
      </c>
      <c r="I1405" s="2" t="s">
        <v>80</v>
      </c>
      <c r="J1405" s="2" t="s">
        <v>81</v>
      </c>
      <c r="K1405" s="2" t="s">
        <v>82</v>
      </c>
      <c r="L1405" s="2" t="s">
        <v>41</v>
      </c>
      <c r="M1405" s="2" t="s">
        <v>30</v>
      </c>
      <c r="N1405" s="2" t="s">
        <v>42</v>
      </c>
      <c r="O1405" s="2" t="s">
        <v>43</v>
      </c>
      <c r="P1405" s="4">
        <v>150.75360000000001</v>
      </c>
      <c r="Q1405" s="4">
        <v>4</v>
      </c>
      <c r="R1405" s="4">
        <v>52.902900000000002</v>
      </c>
      <c r="S1405" s="2" t="s">
        <v>107</v>
      </c>
      <c r="T1405" s="2" t="s">
        <v>34</v>
      </c>
    </row>
    <row r="1406" spans="1:20" x14ac:dyDescent="0.25">
      <c r="A1406" s="2" t="s">
        <v>2580</v>
      </c>
      <c r="B1406" s="3">
        <v>41907</v>
      </c>
      <c r="C1406" s="3">
        <v>41907</v>
      </c>
      <c r="D1406" s="2" t="s">
        <v>55</v>
      </c>
      <c r="E1406" s="2" t="s">
        <v>392</v>
      </c>
      <c r="F1406" s="2" t="s">
        <v>393</v>
      </c>
      <c r="G1406" s="2" t="s">
        <v>58</v>
      </c>
      <c r="H1406" s="2" t="s">
        <v>25</v>
      </c>
      <c r="I1406" s="2" t="s">
        <v>216</v>
      </c>
      <c r="J1406" s="2" t="s">
        <v>217</v>
      </c>
      <c r="K1406" s="2" t="s">
        <v>82</v>
      </c>
      <c r="L1406" s="2" t="s">
        <v>193</v>
      </c>
      <c r="M1406" s="2" t="s">
        <v>30</v>
      </c>
      <c r="N1406" s="2" t="s">
        <v>42</v>
      </c>
      <c r="O1406" s="2" t="s">
        <v>194</v>
      </c>
      <c r="P1406" s="4">
        <v>172.1454</v>
      </c>
      <c r="Q1406" s="4">
        <v>4</v>
      </c>
      <c r="R1406" s="4">
        <v>12.7896</v>
      </c>
      <c r="S1406" s="2" t="s">
        <v>121</v>
      </c>
      <c r="T1406" s="2" t="s">
        <v>148</v>
      </c>
    </row>
    <row r="1407" spans="1:20" x14ac:dyDescent="0.25">
      <c r="A1407" s="2" t="s">
        <v>2581</v>
      </c>
      <c r="B1407" s="3">
        <v>42327</v>
      </c>
      <c r="C1407" s="3">
        <v>42332</v>
      </c>
      <c r="D1407" s="2" t="s">
        <v>55</v>
      </c>
      <c r="E1407" s="2" t="s">
        <v>1529</v>
      </c>
      <c r="F1407" s="2" t="s">
        <v>1530</v>
      </c>
      <c r="G1407" s="2" t="s">
        <v>24</v>
      </c>
      <c r="H1407" s="2" t="s">
        <v>25</v>
      </c>
      <c r="I1407" s="2" t="s">
        <v>829</v>
      </c>
      <c r="J1407" s="2" t="s">
        <v>199</v>
      </c>
      <c r="K1407" s="2" t="s">
        <v>82</v>
      </c>
      <c r="L1407" s="2" t="s">
        <v>66</v>
      </c>
      <c r="M1407" s="2" t="s">
        <v>30</v>
      </c>
      <c r="N1407" s="2" t="s">
        <v>31</v>
      </c>
      <c r="O1407" s="2" t="s">
        <v>67</v>
      </c>
      <c r="P1407" s="4">
        <v>38.477400000000003</v>
      </c>
      <c r="Q1407" s="4">
        <v>1</v>
      </c>
      <c r="R1407" s="4">
        <v>18.5823</v>
      </c>
      <c r="S1407" s="2" t="s">
        <v>85</v>
      </c>
      <c r="T1407" s="2" t="s">
        <v>93</v>
      </c>
    </row>
    <row r="1408" spans="1:20" x14ac:dyDescent="0.25">
      <c r="A1408" s="2" t="s">
        <v>2582</v>
      </c>
      <c r="B1408" s="3">
        <v>42216</v>
      </c>
      <c r="C1408" s="3">
        <v>42216</v>
      </c>
      <c r="D1408" s="2" t="s">
        <v>48</v>
      </c>
      <c r="E1408" s="2" t="s">
        <v>2082</v>
      </c>
      <c r="F1408" s="2" t="s">
        <v>2083</v>
      </c>
      <c r="G1408" s="2" t="s">
        <v>24</v>
      </c>
      <c r="H1408" s="2" t="s">
        <v>25</v>
      </c>
      <c r="I1408" s="2" t="s">
        <v>179</v>
      </c>
      <c r="J1408" s="2" t="s">
        <v>180</v>
      </c>
      <c r="K1408" s="2" t="s">
        <v>147</v>
      </c>
      <c r="L1408" s="2" t="s">
        <v>73</v>
      </c>
      <c r="M1408" s="2" t="s">
        <v>30</v>
      </c>
      <c r="N1408" s="2" t="s">
        <v>42</v>
      </c>
      <c r="O1408" s="2" t="s">
        <v>74</v>
      </c>
      <c r="P1408" s="4">
        <v>170.05420000000001</v>
      </c>
      <c r="Q1408" s="4">
        <v>4</v>
      </c>
      <c r="R1408" s="4">
        <v>30.075299999999999</v>
      </c>
      <c r="S1408" s="2" t="s">
        <v>121</v>
      </c>
      <c r="T1408" s="2" t="s">
        <v>86</v>
      </c>
    </row>
    <row r="1409" spans="1:20" x14ac:dyDescent="0.25">
      <c r="A1409" s="2" t="s">
        <v>2583</v>
      </c>
      <c r="B1409" s="3">
        <v>42137</v>
      </c>
      <c r="C1409" s="3">
        <v>42137</v>
      </c>
      <c r="D1409" s="2" t="s">
        <v>21</v>
      </c>
      <c r="E1409" s="2" t="s">
        <v>1322</v>
      </c>
      <c r="F1409" s="2" t="s">
        <v>1323</v>
      </c>
      <c r="G1409" s="2" t="s">
        <v>58</v>
      </c>
      <c r="H1409" s="2" t="s">
        <v>25</v>
      </c>
      <c r="I1409" s="2" t="s">
        <v>623</v>
      </c>
      <c r="J1409" s="2" t="s">
        <v>40</v>
      </c>
      <c r="K1409" s="2" t="s">
        <v>28</v>
      </c>
      <c r="L1409" s="2" t="s">
        <v>62</v>
      </c>
      <c r="M1409" s="2" t="s">
        <v>30</v>
      </c>
      <c r="N1409" s="2" t="s">
        <v>63</v>
      </c>
      <c r="O1409" s="2" t="s">
        <v>64</v>
      </c>
      <c r="P1409" s="4">
        <v>184.00739999999999</v>
      </c>
      <c r="Q1409" s="4">
        <v>5</v>
      </c>
      <c r="R1409" s="4">
        <v>-26.058599999999998</v>
      </c>
      <c r="S1409" s="2" t="s">
        <v>121</v>
      </c>
      <c r="T1409" s="2" t="s">
        <v>122</v>
      </c>
    </row>
    <row r="1410" spans="1:20" x14ac:dyDescent="0.25">
      <c r="A1410" s="2" t="s">
        <v>2584</v>
      </c>
      <c r="B1410" s="3">
        <v>42904</v>
      </c>
      <c r="C1410" s="3">
        <v>42904</v>
      </c>
      <c r="D1410" s="2" t="s">
        <v>21</v>
      </c>
      <c r="E1410" s="2" t="s">
        <v>2052</v>
      </c>
      <c r="F1410" s="2" t="s">
        <v>2053</v>
      </c>
      <c r="G1410" s="2" t="s">
        <v>38</v>
      </c>
      <c r="H1410" s="2" t="s">
        <v>25</v>
      </c>
      <c r="I1410" s="2" t="s">
        <v>699</v>
      </c>
      <c r="J1410" s="2" t="s">
        <v>339</v>
      </c>
      <c r="K1410" s="2" t="s">
        <v>82</v>
      </c>
      <c r="L1410" s="2" t="s">
        <v>890</v>
      </c>
      <c r="M1410" s="2" t="s">
        <v>30</v>
      </c>
      <c r="N1410" s="2" t="s">
        <v>63</v>
      </c>
      <c r="O1410" s="2" t="s">
        <v>891</v>
      </c>
      <c r="P1410" s="4">
        <v>45.893799999999999</v>
      </c>
      <c r="Q1410" s="4">
        <v>2</v>
      </c>
      <c r="R1410" s="4">
        <v>-5.6744000000000003</v>
      </c>
      <c r="S1410" s="2" t="s">
        <v>121</v>
      </c>
      <c r="T1410" s="2" t="s">
        <v>133</v>
      </c>
    </row>
    <row r="1411" spans="1:20" x14ac:dyDescent="0.25">
      <c r="A1411" s="2" t="s">
        <v>2585</v>
      </c>
      <c r="B1411" s="3">
        <v>42048</v>
      </c>
      <c r="C1411" s="3">
        <v>42048</v>
      </c>
      <c r="D1411" s="2" t="s">
        <v>48</v>
      </c>
      <c r="E1411" s="2" t="s">
        <v>592</v>
      </c>
      <c r="F1411" s="2" t="s">
        <v>593</v>
      </c>
      <c r="G1411" s="2" t="s">
        <v>58</v>
      </c>
      <c r="H1411" s="2" t="s">
        <v>25</v>
      </c>
      <c r="I1411" s="2" t="s">
        <v>1449</v>
      </c>
      <c r="J1411" s="2" t="s">
        <v>753</v>
      </c>
      <c r="K1411" s="2" t="s">
        <v>147</v>
      </c>
      <c r="L1411" s="2" t="s">
        <v>45</v>
      </c>
      <c r="M1411" s="2" t="s">
        <v>30</v>
      </c>
      <c r="N1411" s="2" t="s">
        <v>31</v>
      </c>
      <c r="O1411" s="2" t="s">
        <v>46</v>
      </c>
      <c r="P1411" s="4">
        <v>42.241799999999998</v>
      </c>
      <c r="Q1411" s="4">
        <v>1</v>
      </c>
      <c r="R1411" s="4">
        <v>14.1424</v>
      </c>
      <c r="S1411" s="2" t="s">
        <v>121</v>
      </c>
      <c r="T1411" s="2" t="s">
        <v>101</v>
      </c>
    </row>
    <row r="1412" spans="1:20" x14ac:dyDescent="0.25">
      <c r="A1412" s="2" t="s">
        <v>2586</v>
      </c>
      <c r="B1412" s="3">
        <v>42296</v>
      </c>
      <c r="C1412" s="3">
        <v>42300</v>
      </c>
      <c r="D1412" s="2" t="s">
        <v>55</v>
      </c>
      <c r="E1412" s="2" t="s">
        <v>95</v>
      </c>
      <c r="F1412" s="2" t="s">
        <v>96</v>
      </c>
      <c r="G1412" s="2" t="s">
        <v>24</v>
      </c>
      <c r="H1412" s="2" t="s">
        <v>25</v>
      </c>
      <c r="I1412" s="2" t="s">
        <v>137</v>
      </c>
      <c r="J1412" s="2" t="s">
        <v>138</v>
      </c>
      <c r="K1412" s="2" t="s">
        <v>82</v>
      </c>
      <c r="L1412" s="2" t="s">
        <v>174</v>
      </c>
      <c r="M1412" s="2" t="s">
        <v>30</v>
      </c>
      <c r="N1412" s="2" t="s">
        <v>31</v>
      </c>
      <c r="O1412" s="2" t="s">
        <v>175</v>
      </c>
      <c r="P1412" s="4">
        <v>126.6122</v>
      </c>
      <c r="Q1412" s="4">
        <v>1</v>
      </c>
      <c r="R1412" s="4">
        <v>-12.967000000000001</v>
      </c>
      <c r="S1412" s="2" t="s">
        <v>75</v>
      </c>
      <c r="T1412" s="2" t="s">
        <v>224</v>
      </c>
    </row>
    <row r="1413" spans="1:20" x14ac:dyDescent="0.25">
      <c r="A1413" s="2" t="s">
        <v>2587</v>
      </c>
      <c r="B1413" s="3">
        <v>42546</v>
      </c>
      <c r="C1413" s="3">
        <v>42549</v>
      </c>
      <c r="D1413" s="2" t="s">
        <v>55</v>
      </c>
      <c r="E1413" s="2" t="s">
        <v>1112</v>
      </c>
      <c r="F1413" s="2" t="s">
        <v>1113</v>
      </c>
      <c r="G1413" s="2" t="s">
        <v>58</v>
      </c>
      <c r="H1413" s="2" t="s">
        <v>25</v>
      </c>
      <c r="I1413" s="2" t="s">
        <v>760</v>
      </c>
      <c r="J1413" s="2" t="s">
        <v>112</v>
      </c>
      <c r="K1413" s="2" t="s">
        <v>28</v>
      </c>
      <c r="L1413" s="2" t="s">
        <v>252</v>
      </c>
      <c r="M1413" s="2" t="s">
        <v>30</v>
      </c>
      <c r="N1413" s="2" t="s">
        <v>31</v>
      </c>
      <c r="O1413" s="2" t="s">
        <v>253</v>
      </c>
      <c r="P1413" s="4">
        <v>15.5397</v>
      </c>
      <c r="Q1413" s="4">
        <v>3</v>
      </c>
      <c r="R1413" s="4">
        <v>1.4744999999999999</v>
      </c>
      <c r="S1413" s="2" t="s">
        <v>92</v>
      </c>
      <c r="T1413" s="2" t="s">
        <v>133</v>
      </c>
    </row>
    <row r="1414" spans="1:20" x14ac:dyDescent="0.25">
      <c r="A1414" s="2" t="s">
        <v>2588</v>
      </c>
      <c r="B1414" s="3">
        <v>42025</v>
      </c>
      <c r="C1414" s="3">
        <v>42029</v>
      </c>
      <c r="D1414" s="2" t="s">
        <v>21</v>
      </c>
      <c r="E1414" s="2" t="s">
        <v>341</v>
      </c>
      <c r="F1414" s="2" t="s">
        <v>342</v>
      </c>
      <c r="G1414" s="2" t="s">
        <v>38</v>
      </c>
      <c r="H1414" s="2" t="s">
        <v>25</v>
      </c>
      <c r="I1414" s="2" t="s">
        <v>138</v>
      </c>
      <c r="J1414" s="2" t="s">
        <v>407</v>
      </c>
      <c r="K1414" s="2" t="s">
        <v>28</v>
      </c>
      <c r="L1414" s="2" t="s">
        <v>161</v>
      </c>
      <c r="M1414" s="2" t="s">
        <v>30</v>
      </c>
      <c r="N1414" s="2" t="s">
        <v>162</v>
      </c>
      <c r="O1414" s="2" t="s">
        <v>163</v>
      </c>
      <c r="P1414" s="4">
        <v>2078.3579</v>
      </c>
      <c r="Q1414" s="4">
        <v>4</v>
      </c>
      <c r="R1414" s="4">
        <v>-165.25489999999999</v>
      </c>
      <c r="S1414" s="2" t="s">
        <v>75</v>
      </c>
      <c r="T1414" s="2" t="s">
        <v>115</v>
      </c>
    </row>
    <row r="1415" spans="1:20" x14ac:dyDescent="0.25">
      <c r="A1415" s="2" t="s">
        <v>2589</v>
      </c>
      <c r="B1415" s="3">
        <v>42224</v>
      </c>
      <c r="C1415" s="3">
        <v>42228</v>
      </c>
      <c r="D1415" s="2" t="s">
        <v>55</v>
      </c>
      <c r="E1415" s="2" t="s">
        <v>1818</v>
      </c>
      <c r="F1415" s="2" t="s">
        <v>1819</v>
      </c>
      <c r="G1415" s="2" t="s">
        <v>58</v>
      </c>
      <c r="H1415" s="2" t="s">
        <v>25</v>
      </c>
      <c r="I1415" s="2" t="s">
        <v>482</v>
      </c>
      <c r="J1415" s="2" t="s">
        <v>120</v>
      </c>
      <c r="K1415" s="2" t="s">
        <v>61</v>
      </c>
      <c r="L1415" s="2" t="s">
        <v>41</v>
      </c>
      <c r="M1415" s="2" t="s">
        <v>30</v>
      </c>
      <c r="N1415" s="2" t="s">
        <v>42</v>
      </c>
      <c r="O1415" s="2" t="s">
        <v>43</v>
      </c>
      <c r="P1415" s="4">
        <v>621.94550000000004</v>
      </c>
      <c r="Q1415" s="4">
        <v>2</v>
      </c>
      <c r="R1415" s="4">
        <v>161.15790000000001</v>
      </c>
      <c r="S1415" s="2" t="s">
        <v>75</v>
      </c>
      <c r="T1415" s="2" t="s">
        <v>34</v>
      </c>
    </row>
    <row r="1416" spans="1:20" x14ac:dyDescent="0.25">
      <c r="A1416" s="2" t="s">
        <v>2590</v>
      </c>
      <c r="B1416" s="3">
        <v>41768</v>
      </c>
      <c r="C1416" s="3">
        <v>41775</v>
      </c>
      <c r="D1416" s="2" t="s">
        <v>55</v>
      </c>
      <c r="E1416" s="2" t="s">
        <v>957</v>
      </c>
      <c r="F1416" s="2" t="s">
        <v>958</v>
      </c>
      <c r="G1416" s="2" t="s">
        <v>24</v>
      </c>
      <c r="H1416" s="2" t="s">
        <v>25</v>
      </c>
      <c r="I1416" s="2" t="s">
        <v>274</v>
      </c>
      <c r="J1416" s="2" t="s">
        <v>146</v>
      </c>
      <c r="K1416" s="2" t="s">
        <v>147</v>
      </c>
      <c r="L1416" s="2" t="s">
        <v>252</v>
      </c>
      <c r="M1416" s="2" t="s">
        <v>30</v>
      </c>
      <c r="N1416" s="2" t="s">
        <v>31</v>
      </c>
      <c r="O1416" s="2" t="s">
        <v>253</v>
      </c>
      <c r="P1416" s="4">
        <v>15.94</v>
      </c>
      <c r="Q1416" s="4">
        <v>5</v>
      </c>
      <c r="R1416" s="4">
        <v>1.5407</v>
      </c>
      <c r="S1416" s="2" t="s">
        <v>107</v>
      </c>
      <c r="T1416" s="2" t="s">
        <v>122</v>
      </c>
    </row>
    <row r="1417" spans="1:20" x14ac:dyDescent="0.25">
      <c r="A1417" s="2" t="s">
        <v>2591</v>
      </c>
      <c r="B1417" s="3">
        <v>42292</v>
      </c>
      <c r="C1417" s="3">
        <v>42294</v>
      </c>
      <c r="D1417" s="2" t="s">
        <v>21</v>
      </c>
      <c r="E1417" s="2" t="s">
        <v>409</v>
      </c>
      <c r="F1417" s="2" t="s">
        <v>410</v>
      </c>
      <c r="G1417" s="2" t="s">
        <v>38</v>
      </c>
      <c r="H1417" s="2" t="s">
        <v>25</v>
      </c>
      <c r="I1417" s="2" t="s">
        <v>274</v>
      </c>
      <c r="J1417" s="2" t="s">
        <v>146</v>
      </c>
      <c r="K1417" s="2" t="s">
        <v>147</v>
      </c>
      <c r="L1417" s="2" t="s">
        <v>66</v>
      </c>
      <c r="M1417" s="2" t="s">
        <v>30</v>
      </c>
      <c r="N1417" s="2" t="s">
        <v>31</v>
      </c>
      <c r="O1417" s="2" t="s">
        <v>67</v>
      </c>
      <c r="P1417" s="4">
        <v>132.04179999999999</v>
      </c>
      <c r="Q1417" s="4">
        <v>3</v>
      </c>
      <c r="R1417" s="4">
        <v>2.9056000000000002</v>
      </c>
      <c r="S1417" s="2" t="s">
        <v>53</v>
      </c>
      <c r="T1417" s="2" t="s">
        <v>224</v>
      </c>
    </row>
    <row r="1418" spans="1:20" x14ac:dyDescent="0.25">
      <c r="A1418" s="2" t="s">
        <v>2592</v>
      </c>
      <c r="B1418" s="3">
        <v>42398</v>
      </c>
      <c r="C1418" s="3">
        <v>42400</v>
      </c>
      <c r="D1418" s="2" t="s">
        <v>55</v>
      </c>
      <c r="E1418" s="2" t="s">
        <v>693</v>
      </c>
      <c r="F1418" s="2" t="s">
        <v>694</v>
      </c>
      <c r="G1418" s="2" t="s">
        <v>38</v>
      </c>
      <c r="H1418" s="2" t="s">
        <v>25</v>
      </c>
      <c r="I1418" s="2" t="s">
        <v>539</v>
      </c>
      <c r="J1418" s="2" t="s">
        <v>91</v>
      </c>
      <c r="K1418" s="2" t="s">
        <v>61</v>
      </c>
      <c r="L1418" s="2" t="s">
        <v>139</v>
      </c>
      <c r="M1418" s="2" t="s">
        <v>30</v>
      </c>
      <c r="N1418" s="2" t="s">
        <v>42</v>
      </c>
      <c r="O1418" s="2" t="s">
        <v>140</v>
      </c>
      <c r="P1418" s="4">
        <v>153.82929999999999</v>
      </c>
      <c r="Q1418" s="4">
        <v>2</v>
      </c>
      <c r="R1418" s="4">
        <v>28.122199999999999</v>
      </c>
      <c r="S1418" s="2" t="s">
        <v>53</v>
      </c>
      <c r="T1418" s="2" t="s">
        <v>115</v>
      </c>
    </row>
    <row r="1419" spans="1:20" x14ac:dyDescent="0.25">
      <c r="A1419" s="2" t="s">
        <v>2593</v>
      </c>
      <c r="B1419" s="3">
        <v>42585</v>
      </c>
      <c r="C1419" s="3">
        <v>42591</v>
      </c>
      <c r="D1419" s="2" t="s">
        <v>55</v>
      </c>
      <c r="E1419" s="2" t="s">
        <v>791</v>
      </c>
      <c r="F1419" s="2" t="s">
        <v>792</v>
      </c>
      <c r="G1419" s="2" t="s">
        <v>58</v>
      </c>
      <c r="H1419" s="2" t="s">
        <v>25</v>
      </c>
      <c r="I1419" s="2" t="s">
        <v>97</v>
      </c>
      <c r="J1419" s="2" t="s">
        <v>98</v>
      </c>
      <c r="K1419" s="2" t="s">
        <v>82</v>
      </c>
      <c r="L1419" s="2" t="s">
        <v>890</v>
      </c>
      <c r="M1419" s="2" t="s">
        <v>30</v>
      </c>
      <c r="N1419" s="2" t="s">
        <v>63</v>
      </c>
      <c r="O1419" s="2" t="s">
        <v>891</v>
      </c>
      <c r="P1419" s="4">
        <v>84.822299999999998</v>
      </c>
      <c r="Q1419" s="4">
        <v>1</v>
      </c>
      <c r="R1419" s="4">
        <v>27.098400000000002</v>
      </c>
      <c r="S1419" s="2" t="s">
        <v>65</v>
      </c>
      <c r="T1419" s="2" t="s">
        <v>34</v>
      </c>
    </row>
    <row r="1420" spans="1:20" x14ac:dyDescent="0.25">
      <c r="A1420" s="2" t="s">
        <v>2594</v>
      </c>
      <c r="B1420" s="3">
        <v>42288</v>
      </c>
      <c r="C1420" s="3">
        <v>42290</v>
      </c>
      <c r="D1420" s="2" t="s">
        <v>48</v>
      </c>
      <c r="E1420" s="2" t="s">
        <v>2595</v>
      </c>
      <c r="F1420" s="2" t="s">
        <v>2596</v>
      </c>
      <c r="G1420" s="2" t="s">
        <v>58</v>
      </c>
      <c r="H1420" s="2" t="s">
        <v>25</v>
      </c>
      <c r="I1420" s="2" t="s">
        <v>1243</v>
      </c>
      <c r="J1420" s="2" t="s">
        <v>595</v>
      </c>
      <c r="K1420" s="2" t="s">
        <v>61</v>
      </c>
      <c r="L1420" s="2" t="s">
        <v>316</v>
      </c>
      <c r="M1420" s="2" t="s">
        <v>30</v>
      </c>
      <c r="N1420" s="2" t="s">
        <v>42</v>
      </c>
      <c r="O1420" s="2" t="s">
        <v>317</v>
      </c>
      <c r="P1420" s="4">
        <v>105.1503</v>
      </c>
      <c r="Q1420" s="4">
        <v>4</v>
      </c>
      <c r="R1420" s="4">
        <v>1.4036</v>
      </c>
      <c r="S1420" s="2" t="s">
        <v>53</v>
      </c>
      <c r="T1420" s="2" t="s">
        <v>224</v>
      </c>
    </row>
    <row r="1421" spans="1:20" x14ac:dyDescent="0.25">
      <c r="A1421" s="2" t="s">
        <v>2594</v>
      </c>
      <c r="B1421" s="3">
        <v>42288</v>
      </c>
      <c r="C1421" s="3">
        <v>42290</v>
      </c>
      <c r="D1421" s="2" t="s">
        <v>48</v>
      </c>
      <c r="E1421" s="2" t="s">
        <v>2595</v>
      </c>
      <c r="F1421" s="2" t="s">
        <v>2596</v>
      </c>
      <c r="G1421" s="2" t="s">
        <v>58</v>
      </c>
      <c r="H1421" s="2" t="s">
        <v>25</v>
      </c>
      <c r="I1421" s="2" t="s">
        <v>1243</v>
      </c>
      <c r="J1421" s="2" t="s">
        <v>595</v>
      </c>
      <c r="K1421" s="2" t="s">
        <v>61</v>
      </c>
      <c r="L1421" s="2" t="s">
        <v>41</v>
      </c>
      <c r="M1421" s="2" t="s">
        <v>30</v>
      </c>
      <c r="N1421" s="2" t="s">
        <v>42</v>
      </c>
      <c r="O1421" s="2" t="s">
        <v>43</v>
      </c>
      <c r="P1421" s="4">
        <v>73.738900000000001</v>
      </c>
      <c r="Q1421" s="4">
        <v>4</v>
      </c>
      <c r="R1421" s="4">
        <v>12.0565</v>
      </c>
      <c r="S1421" s="2" t="s">
        <v>53</v>
      </c>
      <c r="T1421" s="2" t="s">
        <v>224</v>
      </c>
    </row>
    <row r="1422" spans="1:20" x14ac:dyDescent="0.25">
      <c r="A1422" s="2" t="s">
        <v>2597</v>
      </c>
      <c r="B1422" s="3">
        <v>42441</v>
      </c>
      <c r="C1422" s="3">
        <v>42445</v>
      </c>
      <c r="D1422" s="2" t="s">
        <v>55</v>
      </c>
      <c r="E1422" s="2" t="s">
        <v>1142</v>
      </c>
      <c r="F1422" s="2" t="s">
        <v>1143</v>
      </c>
      <c r="G1422" s="2" t="s">
        <v>58</v>
      </c>
      <c r="H1422" s="2" t="s">
        <v>25</v>
      </c>
      <c r="I1422" s="2" t="s">
        <v>605</v>
      </c>
      <c r="J1422" s="2" t="s">
        <v>424</v>
      </c>
      <c r="K1422" s="2" t="s">
        <v>28</v>
      </c>
      <c r="L1422" s="2" t="s">
        <v>131</v>
      </c>
      <c r="M1422" s="2" t="s">
        <v>30</v>
      </c>
      <c r="N1422" s="2" t="s">
        <v>31</v>
      </c>
      <c r="O1422" s="2" t="s">
        <v>132</v>
      </c>
      <c r="P1422" s="4">
        <v>13.0587</v>
      </c>
      <c r="Q1422" s="4">
        <v>3</v>
      </c>
      <c r="R1422" s="4">
        <v>4.1753999999999998</v>
      </c>
      <c r="S1422" s="2" t="s">
        <v>75</v>
      </c>
      <c r="T1422" s="2" t="s">
        <v>44</v>
      </c>
    </row>
    <row r="1423" spans="1:20" x14ac:dyDescent="0.25">
      <c r="A1423" s="2" t="s">
        <v>2597</v>
      </c>
      <c r="B1423" s="3">
        <v>42441</v>
      </c>
      <c r="C1423" s="3">
        <v>42445</v>
      </c>
      <c r="D1423" s="2" t="s">
        <v>55</v>
      </c>
      <c r="E1423" s="2" t="s">
        <v>1142</v>
      </c>
      <c r="F1423" s="2" t="s">
        <v>1143</v>
      </c>
      <c r="G1423" s="2" t="s">
        <v>58</v>
      </c>
      <c r="H1423" s="2" t="s">
        <v>25</v>
      </c>
      <c r="I1423" s="2" t="s">
        <v>605</v>
      </c>
      <c r="J1423" s="2" t="s">
        <v>424</v>
      </c>
      <c r="K1423" s="2" t="s">
        <v>28</v>
      </c>
      <c r="L1423" s="2" t="s">
        <v>139</v>
      </c>
      <c r="M1423" s="2" t="s">
        <v>30</v>
      </c>
      <c r="N1423" s="2" t="s">
        <v>42</v>
      </c>
      <c r="O1423" s="2" t="s">
        <v>140</v>
      </c>
      <c r="P1423" s="4">
        <v>100.3282</v>
      </c>
      <c r="Q1423" s="4">
        <v>6</v>
      </c>
      <c r="R1423" s="4">
        <v>-28.013999999999999</v>
      </c>
      <c r="S1423" s="2" t="s">
        <v>75</v>
      </c>
      <c r="T1423" s="2" t="s">
        <v>44</v>
      </c>
    </row>
    <row r="1424" spans="1:20" x14ac:dyDescent="0.25">
      <c r="A1424" s="2" t="s">
        <v>2598</v>
      </c>
      <c r="B1424" s="3">
        <v>42882</v>
      </c>
      <c r="C1424" s="3">
        <v>42883</v>
      </c>
      <c r="D1424" s="2" t="s">
        <v>55</v>
      </c>
      <c r="E1424" s="2" t="s">
        <v>2599</v>
      </c>
      <c r="F1424" s="2" t="s">
        <v>2600</v>
      </c>
      <c r="G1424" s="2" t="s">
        <v>58</v>
      </c>
      <c r="H1424" s="2" t="s">
        <v>25</v>
      </c>
      <c r="I1424" s="2" t="s">
        <v>491</v>
      </c>
      <c r="J1424" s="2" t="s">
        <v>310</v>
      </c>
      <c r="K1424" s="2" t="s">
        <v>28</v>
      </c>
      <c r="L1424" s="2" t="s">
        <v>139</v>
      </c>
      <c r="M1424" s="2" t="s">
        <v>30</v>
      </c>
      <c r="N1424" s="2" t="s">
        <v>42</v>
      </c>
      <c r="O1424" s="2" t="s">
        <v>140</v>
      </c>
      <c r="P1424" s="4">
        <v>290.64449999999999</v>
      </c>
      <c r="Q1424" s="4">
        <v>4</v>
      </c>
      <c r="R1424" s="4">
        <v>-29.381799999999998</v>
      </c>
      <c r="S1424" s="2" t="s">
        <v>33</v>
      </c>
      <c r="T1424" s="2" t="s">
        <v>122</v>
      </c>
    </row>
    <row r="1425" spans="1:20" x14ac:dyDescent="0.25">
      <c r="A1425" s="2" t="s">
        <v>2601</v>
      </c>
      <c r="B1425" s="3">
        <v>42884</v>
      </c>
      <c r="C1425" s="3">
        <v>42888</v>
      </c>
      <c r="D1425" s="2" t="s">
        <v>55</v>
      </c>
      <c r="E1425" s="2" t="s">
        <v>2602</v>
      </c>
      <c r="F1425" s="2" t="s">
        <v>2603</v>
      </c>
      <c r="G1425" s="2" t="s">
        <v>58</v>
      </c>
      <c r="H1425" s="2" t="s">
        <v>25</v>
      </c>
      <c r="I1425" s="2" t="s">
        <v>216</v>
      </c>
      <c r="J1425" s="2" t="s">
        <v>217</v>
      </c>
      <c r="K1425" s="2" t="s">
        <v>82</v>
      </c>
      <c r="L1425" s="2" t="s">
        <v>83</v>
      </c>
      <c r="M1425" s="2" t="s">
        <v>30</v>
      </c>
      <c r="N1425" s="2" t="s">
        <v>42</v>
      </c>
      <c r="O1425" s="2" t="s">
        <v>84</v>
      </c>
      <c r="P1425" s="4">
        <v>202.19309999999999</v>
      </c>
      <c r="Q1425" s="4">
        <v>5</v>
      </c>
      <c r="R1425" s="4">
        <v>53.702800000000003</v>
      </c>
      <c r="S1425" s="2" t="s">
        <v>75</v>
      </c>
      <c r="T1425" s="2" t="s">
        <v>122</v>
      </c>
    </row>
    <row r="1426" spans="1:20" x14ac:dyDescent="0.25">
      <c r="A1426" s="2" t="s">
        <v>2604</v>
      </c>
      <c r="B1426" s="3">
        <v>43040</v>
      </c>
      <c r="C1426" s="3">
        <v>43045</v>
      </c>
      <c r="D1426" s="2" t="s">
        <v>55</v>
      </c>
      <c r="E1426" s="2" t="s">
        <v>519</v>
      </c>
      <c r="F1426" s="2" t="s">
        <v>520</v>
      </c>
      <c r="G1426" s="2" t="s">
        <v>58</v>
      </c>
      <c r="H1426" s="2" t="s">
        <v>25</v>
      </c>
      <c r="I1426" s="2" t="s">
        <v>1053</v>
      </c>
      <c r="J1426" s="2" t="s">
        <v>806</v>
      </c>
      <c r="K1426" s="2" t="s">
        <v>28</v>
      </c>
      <c r="L1426" s="2" t="s">
        <v>186</v>
      </c>
      <c r="M1426" s="2" t="s">
        <v>30</v>
      </c>
      <c r="N1426" s="2" t="s">
        <v>31</v>
      </c>
      <c r="O1426" s="2" t="s">
        <v>187</v>
      </c>
      <c r="P1426" s="4">
        <v>49.137799999999999</v>
      </c>
      <c r="Q1426" s="4">
        <v>2</v>
      </c>
      <c r="R1426" s="4">
        <v>1.1369</v>
      </c>
      <c r="S1426" s="2" t="s">
        <v>85</v>
      </c>
      <c r="T1426" s="2" t="s">
        <v>93</v>
      </c>
    </row>
    <row r="1427" spans="1:20" x14ac:dyDescent="0.25">
      <c r="A1427" s="2" t="s">
        <v>2605</v>
      </c>
      <c r="B1427" s="3">
        <v>42797</v>
      </c>
      <c r="C1427" s="3">
        <v>42802</v>
      </c>
      <c r="D1427" s="2" t="s">
        <v>55</v>
      </c>
      <c r="E1427" s="2" t="s">
        <v>1468</v>
      </c>
      <c r="F1427" s="2" t="s">
        <v>1469</v>
      </c>
      <c r="G1427" s="2" t="s">
        <v>58</v>
      </c>
      <c r="H1427" s="2" t="s">
        <v>25</v>
      </c>
      <c r="I1427" s="2" t="s">
        <v>1055</v>
      </c>
      <c r="J1427" s="2" t="s">
        <v>106</v>
      </c>
      <c r="K1427" s="2" t="s">
        <v>61</v>
      </c>
      <c r="L1427" s="2" t="s">
        <v>186</v>
      </c>
      <c r="M1427" s="2" t="s">
        <v>30</v>
      </c>
      <c r="N1427" s="2" t="s">
        <v>31</v>
      </c>
      <c r="O1427" s="2" t="s">
        <v>187</v>
      </c>
      <c r="P1427" s="4">
        <v>144.8185</v>
      </c>
      <c r="Q1427" s="4">
        <v>3</v>
      </c>
      <c r="R1427" s="4">
        <v>13.146000000000001</v>
      </c>
      <c r="S1427" s="2" t="s">
        <v>85</v>
      </c>
      <c r="T1427" s="2" t="s">
        <v>44</v>
      </c>
    </row>
    <row r="1428" spans="1:20" x14ac:dyDescent="0.25">
      <c r="A1428" s="2" t="s">
        <v>2606</v>
      </c>
      <c r="B1428" s="3">
        <v>42938</v>
      </c>
      <c r="C1428" s="3">
        <v>42938</v>
      </c>
      <c r="D1428" s="2" t="s">
        <v>142</v>
      </c>
      <c r="E1428" s="2" t="s">
        <v>2607</v>
      </c>
      <c r="F1428" s="2" t="s">
        <v>2608</v>
      </c>
      <c r="G1428" s="2" t="s">
        <v>38</v>
      </c>
      <c r="H1428" s="2" t="s">
        <v>25</v>
      </c>
      <c r="I1428" s="2" t="s">
        <v>917</v>
      </c>
      <c r="J1428" s="2" t="s">
        <v>120</v>
      </c>
      <c r="K1428" s="2" t="s">
        <v>61</v>
      </c>
      <c r="L1428" s="2" t="s">
        <v>207</v>
      </c>
      <c r="M1428" s="2" t="s">
        <v>30</v>
      </c>
      <c r="N1428" s="2" t="s">
        <v>31</v>
      </c>
      <c r="O1428" s="2" t="s">
        <v>208</v>
      </c>
      <c r="P1428" s="4">
        <v>3.6598000000000002</v>
      </c>
      <c r="Q1428" s="4">
        <v>1</v>
      </c>
      <c r="R1428" s="4">
        <v>5.6800000000000003E-2</v>
      </c>
      <c r="S1428" s="2" t="s">
        <v>121</v>
      </c>
      <c r="T1428" s="2" t="s">
        <v>86</v>
      </c>
    </row>
    <row r="1429" spans="1:20" x14ac:dyDescent="0.25">
      <c r="A1429" s="2" t="s">
        <v>2609</v>
      </c>
      <c r="B1429" s="3">
        <v>43090</v>
      </c>
      <c r="C1429" s="3">
        <v>43091</v>
      </c>
      <c r="D1429" s="2" t="s">
        <v>55</v>
      </c>
      <c r="E1429" s="2" t="s">
        <v>507</v>
      </c>
      <c r="F1429" s="2" t="s">
        <v>508</v>
      </c>
      <c r="G1429" s="2" t="s">
        <v>58</v>
      </c>
      <c r="H1429" s="2" t="s">
        <v>25</v>
      </c>
      <c r="I1429" s="2" t="s">
        <v>233</v>
      </c>
      <c r="J1429" s="2" t="s">
        <v>234</v>
      </c>
      <c r="K1429" s="2" t="s">
        <v>82</v>
      </c>
      <c r="L1429" s="2" t="s">
        <v>245</v>
      </c>
      <c r="M1429" s="2" t="s">
        <v>30</v>
      </c>
      <c r="N1429" s="2" t="s">
        <v>42</v>
      </c>
      <c r="O1429" s="2" t="s">
        <v>246</v>
      </c>
      <c r="P1429" s="4">
        <v>405.53739999999999</v>
      </c>
      <c r="Q1429" s="4">
        <v>3</v>
      </c>
      <c r="R1429" s="4">
        <v>78.680199999999999</v>
      </c>
      <c r="S1429" s="2" t="s">
        <v>33</v>
      </c>
      <c r="T1429" s="2" t="s">
        <v>76</v>
      </c>
    </row>
    <row r="1430" spans="1:20" x14ac:dyDescent="0.25">
      <c r="A1430" s="2" t="s">
        <v>2610</v>
      </c>
      <c r="B1430" s="3">
        <v>41806</v>
      </c>
      <c r="C1430" s="3">
        <v>41809</v>
      </c>
      <c r="D1430" s="2" t="s">
        <v>55</v>
      </c>
      <c r="E1430" s="2" t="s">
        <v>755</v>
      </c>
      <c r="F1430" s="2" t="s">
        <v>756</v>
      </c>
      <c r="G1430" s="2" t="s">
        <v>38</v>
      </c>
      <c r="H1430" s="2" t="s">
        <v>25</v>
      </c>
      <c r="I1430" s="2" t="s">
        <v>59</v>
      </c>
      <c r="J1430" s="2" t="s">
        <v>60</v>
      </c>
      <c r="K1430" s="2" t="s">
        <v>61</v>
      </c>
      <c r="L1430" s="2" t="s">
        <v>316</v>
      </c>
      <c r="M1430" s="2" t="s">
        <v>30</v>
      </c>
      <c r="N1430" s="2" t="s">
        <v>42</v>
      </c>
      <c r="O1430" s="2" t="s">
        <v>317</v>
      </c>
      <c r="P1430" s="4">
        <v>502.9196</v>
      </c>
      <c r="Q1430" s="4">
        <v>2</v>
      </c>
      <c r="R1430" s="4">
        <v>-53.991700000000002</v>
      </c>
      <c r="S1430" s="2" t="s">
        <v>92</v>
      </c>
      <c r="T1430" s="2" t="s">
        <v>133</v>
      </c>
    </row>
    <row r="1431" spans="1:20" x14ac:dyDescent="0.25">
      <c r="A1431" s="2" t="s">
        <v>2611</v>
      </c>
      <c r="B1431" s="3">
        <v>42385</v>
      </c>
      <c r="C1431" s="3">
        <v>42386</v>
      </c>
      <c r="D1431" s="2" t="s">
        <v>48</v>
      </c>
      <c r="E1431" s="2" t="s">
        <v>2612</v>
      </c>
      <c r="F1431" s="2" t="s">
        <v>2613</v>
      </c>
      <c r="G1431" s="2" t="s">
        <v>58</v>
      </c>
      <c r="H1431" s="2" t="s">
        <v>25</v>
      </c>
      <c r="I1431" s="2" t="s">
        <v>350</v>
      </c>
      <c r="J1431" s="2" t="s">
        <v>351</v>
      </c>
      <c r="K1431" s="2" t="s">
        <v>147</v>
      </c>
      <c r="L1431" s="2" t="s">
        <v>186</v>
      </c>
      <c r="M1431" s="2" t="s">
        <v>30</v>
      </c>
      <c r="N1431" s="2" t="s">
        <v>31</v>
      </c>
      <c r="O1431" s="2" t="s">
        <v>187</v>
      </c>
      <c r="P1431" s="4">
        <v>18.1799</v>
      </c>
      <c r="Q1431" s="4">
        <v>2</v>
      </c>
      <c r="R1431" s="4">
        <v>-3.5609000000000002</v>
      </c>
      <c r="S1431" s="2" t="s">
        <v>33</v>
      </c>
      <c r="T1431" s="2" t="s">
        <v>115</v>
      </c>
    </row>
    <row r="1432" spans="1:20" x14ac:dyDescent="0.25">
      <c r="A1432" s="2" t="s">
        <v>2614</v>
      </c>
      <c r="B1432" s="3">
        <v>42632</v>
      </c>
      <c r="C1432" s="3">
        <v>42632</v>
      </c>
      <c r="D1432" s="2" t="s">
        <v>142</v>
      </c>
      <c r="E1432" s="2" t="s">
        <v>2330</v>
      </c>
      <c r="F1432" s="2" t="s">
        <v>2331</v>
      </c>
      <c r="G1432" s="2" t="s">
        <v>24</v>
      </c>
      <c r="H1432" s="2" t="s">
        <v>25</v>
      </c>
      <c r="I1432" s="2" t="s">
        <v>26</v>
      </c>
      <c r="J1432" s="2" t="s">
        <v>27</v>
      </c>
      <c r="K1432" s="2" t="s">
        <v>28</v>
      </c>
      <c r="L1432" s="2" t="s">
        <v>154</v>
      </c>
      <c r="M1432" s="2" t="s">
        <v>30</v>
      </c>
      <c r="N1432" s="2" t="s">
        <v>42</v>
      </c>
      <c r="O1432" s="2" t="s">
        <v>155</v>
      </c>
      <c r="P1432" s="4">
        <v>117.1417</v>
      </c>
      <c r="Q1432" s="4">
        <v>8</v>
      </c>
      <c r="R1432" s="4">
        <v>72.7209</v>
      </c>
      <c r="S1432" s="2" t="s">
        <v>121</v>
      </c>
      <c r="T1432" s="2" t="s">
        <v>148</v>
      </c>
    </row>
    <row r="1433" spans="1:20" x14ac:dyDescent="0.25">
      <c r="A1433" s="2" t="s">
        <v>2615</v>
      </c>
      <c r="B1433" s="3">
        <v>41764</v>
      </c>
      <c r="C1433" s="3">
        <v>41764</v>
      </c>
      <c r="D1433" s="2" t="s">
        <v>55</v>
      </c>
      <c r="E1433" s="2" t="s">
        <v>477</v>
      </c>
      <c r="F1433" s="2" t="s">
        <v>478</v>
      </c>
      <c r="G1433" s="2" t="s">
        <v>38</v>
      </c>
      <c r="H1433" s="2" t="s">
        <v>25</v>
      </c>
      <c r="I1433" s="2" t="s">
        <v>119</v>
      </c>
      <c r="J1433" s="2" t="s">
        <v>120</v>
      </c>
      <c r="K1433" s="2" t="s">
        <v>61</v>
      </c>
      <c r="L1433" s="2" t="s">
        <v>83</v>
      </c>
      <c r="M1433" s="2" t="s">
        <v>30</v>
      </c>
      <c r="N1433" s="2" t="s">
        <v>42</v>
      </c>
      <c r="O1433" s="2" t="s">
        <v>84</v>
      </c>
      <c r="P1433" s="4">
        <v>978.1771</v>
      </c>
      <c r="Q1433" s="4">
        <v>3</v>
      </c>
      <c r="R1433" s="4">
        <v>-48.139499999999998</v>
      </c>
      <c r="S1433" s="2" t="s">
        <v>121</v>
      </c>
      <c r="T1433" s="2" t="s">
        <v>122</v>
      </c>
    </row>
    <row r="1434" spans="1:20" x14ac:dyDescent="0.25">
      <c r="A1434" s="2" t="s">
        <v>2616</v>
      </c>
      <c r="B1434" s="3">
        <v>41691</v>
      </c>
      <c r="C1434" s="3">
        <v>41693</v>
      </c>
      <c r="D1434" s="2" t="s">
        <v>55</v>
      </c>
      <c r="E1434" s="2" t="s">
        <v>2254</v>
      </c>
      <c r="F1434" s="2" t="s">
        <v>2255</v>
      </c>
      <c r="G1434" s="2" t="s">
        <v>38</v>
      </c>
      <c r="H1434" s="2" t="s">
        <v>25</v>
      </c>
      <c r="I1434" s="2" t="s">
        <v>706</v>
      </c>
      <c r="J1434" s="2" t="s">
        <v>127</v>
      </c>
      <c r="K1434" s="2" t="s">
        <v>82</v>
      </c>
      <c r="L1434" s="2" t="s">
        <v>316</v>
      </c>
      <c r="M1434" s="2" t="s">
        <v>30</v>
      </c>
      <c r="N1434" s="2" t="s">
        <v>42</v>
      </c>
      <c r="O1434" s="2" t="s">
        <v>317</v>
      </c>
      <c r="P1434" s="4">
        <v>850.6069</v>
      </c>
      <c r="Q1434" s="4">
        <v>7</v>
      </c>
      <c r="R1434" s="4">
        <v>33.445099999999996</v>
      </c>
      <c r="S1434" s="2" t="s">
        <v>53</v>
      </c>
      <c r="T1434" s="2" t="s">
        <v>101</v>
      </c>
    </row>
    <row r="1435" spans="1:20" x14ac:dyDescent="0.25">
      <c r="A1435" s="2" t="s">
        <v>2617</v>
      </c>
      <c r="B1435" s="3">
        <v>42856</v>
      </c>
      <c r="C1435" s="3">
        <v>42863</v>
      </c>
      <c r="D1435" s="2" t="s">
        <v>55</v>
      </c>
      <c r="E1435" s="2" t="s">
        <v>2618</v>
      </c>
      <c r="F1435" s="2" t="s">
        <v>2619</v>
      </c>
      <c r="G1435" s="2" t="s">
        <v>58</v>
      </c>
      <c r="H1435" s="2" t="s">
        <v>25</v>
      </c>
      <c r="I1435" s="2" t="s">
        <v>414</v>
      </c>
      <c r="J1435" s="2" t="s">
        <v>206</v>
      </c>
      <c r="K1435" s="2" t="s">
        <v>61</v>
      </c>
      <c r="L1435" s="2" t="s">
        <v>186</v>
      </c>
      <c r="M1435" s="2" t="s">
        <v>30</v>
      </c>
      <c r="N1435" s="2" t="s">
        <v>31</v>
      </c>
      <c r="O1435" s="2" t="s">
        <v>187</v>
      </c>
      <c r="P1435" s="4">
        <v>20.148499999999999</v>
      </c>
      <c r="Q1435" s="4">
        <v>1</v>
      </c>
      <c r="R1435" s="4">
        <v>1.2356</v>
      </c>
      <c r="S1435" s="2" t="s">
        <v>107</v>
      </c>
      <c r="T1435" s="2" t="s">
        <v>122</v>
      </c>
    </row>
    <row r="1436" spans="1:20" x14ac:dyDescent="0.25">
      <c r="A1436" s="2" t="s">
        <v>2620</v>
      </c>
      <c r="B1436" s="3">
        <v>41674</v>
      </c>
      <c r="C1436" s="3">
        <v>41680</v>
      </c>
      <c r="D1436" s="2" t="s">
        <v>55</v>
      </c>
      <c r="E1436" s="2" t="s">
        <v>1485</v>
      </c>
      <c r="F1436" s="2" t="s">
        <v>1486</v>
      </c>
      <c r="G1436" s="2" t="s">
        <v>24</v>
      </c>
      <c r="H1436" s="2" t="s">
        <v>25</v>
      </c>
      <c r="I1436" s="2" t="s">
        <v>80</v>
      </c>
      <c r="J1436" s="2" t="s">
        <v>81</v>
      </c>
      <c r="K1436" s="2" t="s">
        <v>82</v>
      </c>
      <c r="L1436" s="2" t="s">
        <v>235</v>
      </c>
      <c r="M1436" s="2" t="s">
        <v>30</v>
      </c>
      <c r="N1436" s="2" t="s">
        <v>31</v>
      </c>
      <c r="O1436" s="2" t="s">
        <v>236</v>
      </c>
      <c r="P1436" s="4">
        <v>5.9409999999999998</v>
      </c>
      <c r="Q1436" s="4">
        <v>3</v>
      </c>
      <c r="R1436" s="4">
        <v>1.5375000000000001</v>
      </c>
      <c r="S1436" s="2" t="s">
        <v>65</v>
      </c>
      <c r="T1436" s="2" t="s">
        <v>101</v>
      </c>
    </row>
    <row r="1437" spans="1:20" x14ac:dyDescent="0.25">
      <c r="A1437" s="2" t="s">
        <v>2621</v>
      </c>
      <c r="B1437" s="3">
        <v>42303</v>
      </c>
      <c r="C1437" s="3">
        <v>42303</v>
      </c>
      <c r="D1437" s="2" t="s">
        <v>55</v>
      </c>
      <c r="E1437" s="2" t="s">
        <v>2296</v>
      </c>
      <c r="F1437" s="2" t="s">
        <v>2297</v>
      </c>
      <c r="G1437" s="2" t="s">
        <v>58</v>
      </c>
      <c r="H1437" s="2" t="s">
        <v>25</v>
      </c>
      <c r="I1437" s="2" t="s">
        <v>179</v>
      </c>
      <c r="J1437" s="2" t="s">
        <v>180</v>
      </c>
      <c r="K1437" s="2" t="s">
        <v>147</v>
      </c>
      <c r="L1437" s="2" t="s">
        <v>793</v>
      </c>
      <c r="M1437" s="2" t="s">
        <v>30</v>
      </c>
      <c r="N1437" s="2" t="s">
        <v>63</v>
      </c>
      <c r="O1437" s="2" t="s">
        <v>794</v>
      </c>
      <c r="P1437" s="4">
        <v>700.63850000000002</v>
      </c>
      <c r="Q1437" s="4">
        <v>3</v>
      </c>
      <c r="R1437" s="4">
        <v>-152.6617</v>
      </c>
      <c r="S1437" s="2" t="s">
        <v>121</v>
      </c>
      <c r="T1437" s="2" t="s">
        <v>224</v>
      </c>
    </row>
    <row r="1438" spans="1:20" x14ac:dyDescent="0.25">
      <c r="A1438" s="2" t="s">
        <v>2621</v>
      </c>
      <c r="B1438" s="3">
        <v>42303</v>
      </c>
      <c r="C1438" s="3">
        <v>42303</v>
      </c>
      <c r="D1438" s="2" t="s">
        <v>55</v>
      </c>
      <c r="E1438" s="2" t="s">
        <v>2296</v>
      </c>
      <c r="F1438" s="2" t="s">
        <v>2297</v>
      </c>
      <c r="G1438" s="2" t="s">
        <v>58</v>
      </c>
      <c r="H1438" s="2" t="s">
        <v>25</v>
      </c>
      <c r="I1438" s="2" t="s">
        <v>179</v>
      </c>
      <c r="J1438" s="2" t="s">
        <v>180</v>
      </c>
      <c r="K1438" s="2" t="s">
        <v>147</v>
      </c>
      <c r="L1438" s="2" t="s">
        <v>66</v>
      </c>
      <c r="M1438" s="2" t="s">
        <v>30</v>
      </c>
      <c r="N1438" s="2" t="s">
        <v>31</v>
      </c>
      <c r="O1438" s="2" t="s">
        <v>67</v>
      </c>
      <c r="P1438" s="4">
        <v>34.510899999999999</v>
      </c>
      <c r="Q1438" s="4">
        <v>2</v>
      </c>
      <c r="R1438" s="4">
        <v>-22.216200000000001</v>
      </c>
      <c r="S1438" s="2" t="s">
        <v>121</v>
      </c>
      <c r="T1438" s="2" t="s">
        <v>224</v>
      </c>
    </row>
    <row r="1439" spans="1:20" x14ac:dyDescent="0.25">
      <c r="A1439" s="2" t="s">
        <v>2622</v>
      </c>
      <c r="B1439" s="3">
        <v>41770</v>
      </c>
      <c r="C1439" s="3">
        <v>41775</v>
      </c>
      <c r="D1439" s="2" t="s">
        <v>55</v>
      </c>
      <c r="E1439" s="2" t="s">
        <v>680</v>
      </c>
      <c r="F1439" s="2" t="s">
        <v>681</v>
      </c>
      <c r="G1439" s="2" t="s">
        <v>58</v>
      </c>
      <c r="H1439" s="2" t="s">
        <v>25</v>
      </c>
      <c r="I1439" s="2" t="s">
        <v>474</v>
      </c>
      <c r="J1439" s="2" t="s">
        <v>475</v>
      </c>
      <c r="K1439" s="2" t="s">
        <v>28</v>
      </c>
      <c r="L1439" s="2" t="s">
        <v>193</v>
      </c>
      <c r="M1439" s="2" t="s">
        <v>30</v>
      </c>
      <c r="N1439" s="2" t="s">
        <v>42</v>
      </c>
      <c r="O1439" s="2" t="s">
        <v>194</v>
      </c>
      <c r="P1439" s="4">
        <v>123.21</v>
      </c>
      <c r="Q1439" s="4">
        <v>4</v>
      </c>
      <c r="R1439" s="4">
        <v>-60.905900000000003</v>
      </c>
      <c r="S1439" s="2" t="s">
        <v>85</v>
      </c>
      <c r="T1439" s="2" t="s">
        <v>122</v>
      </c>
    </row>
    <row r="1440" spans="1:20" x14ac:dyDescent="0.25">
      <c r="A1440" s="2" t="s">
        <v>2622</v>
      </c>
      <c r="B1440" s="3">
        <v>41770</v>
      </c>
      <c r="C1440" s="3">
        <v>41775</v>
      </c>
      <c r="D1440" s="2" t="s">
        <v>55</v>
      </c>
      <c r="E1440" s="2" t="s">
        <v>680</v>
      </c>
      <c r="F1440" s="2" t="s">
        <v>681</v>
      </c>
      <c r="G1440" s="2" t="s">
        <v>58</v>
      </c>
      <c r="H1440" s="2" t="s">
        <v>25</v>
      </c>
      <c r="I1440" s="2" t="s">
        <v>474</v>
      </c>
      <c r="J1440" s="2" t="s">
        <v>475</v>
      </c>
      <c r="K1440" s="2" t="s">
        <v>28</v>
      </c>
      <c r="L1440" s="2" t="s">
        <v>73</v>
      </c>
      <c r="M1440" s="2" t="s">
        <v>30</v>
      </c>
      <c r="N1440" s="2" t="s">
        <v>42</v>
      </c>
      <c r="O1440" s="2" t="s">
        <v>74</v>
      </c>
      <c r="P1440" s="4">
        <v>397.22879999999998</v>
      </c>
      <c r="Q1440" s="4">
        <v>3</v>
      </c>
      <c r="R1440" s="4">
        <v>88.887600000000006</v>
      </c>
      <c r="S1440" s="2" t="s">
        <v>85</v>
      </c>
      <c r="T1440" s="2" t="s">
        <v>122</v>
      </c>
    </row>
    <row r="1441" spans="1:20" x14ac:dyDescent="0.25">
      <c r="A1441" s="2" t="s">
        <v>2622</v>
      </c>
      <c r="B1441" s="3">
        <v>41770</v>
      </c>
      <c r="C1441" s="3">
        <v>41775</v>
      </c>
      <c r="D1441" s="2" t="s">
        <v>55</v>
      </c>
      <c r="E1441" s="2" t="s">
        <v>680</v>
      </c>
      <c r="F1441" s="2" t="s">
        <v>681</v>
      </c>
      <c r="G1441" s="2" t="s">
        <v>58</v>
      </c>
      <c r="H1441" s="2" t="s">
        <v>25</v>
      </c>
      <c r="I1441" s="2" t="s">
        <v>474</v>
      </c>
      <c r="J1441" s="2" t="s">
        <v>475</v>
      </c>
      <c r="K1441" s="2" t="s">
        <v>28</v>
      </c>
      <c r="L1441" s="2" t="s">
        <v>820</v>
      </c>
      <c r="M1441" s="2" t="s">
        <v>30</v>
      </c>
      <c r="N1441" s="2" t="s">
        <v>162</v>
      </c>
      <c r="O1441" s="2" t="s">
        <v>821</v>
      </c>
      <c r="P1441" s="4">
        <v>428.50689999999997</v>
      </c>
      <c r="Q1441" s="4">
        <v>1</v>
      </c>
      <c r="R1441" s="4">
        <v>104.0727</v>
      </c>
      <c r="S1441" s="2" t="s">
        <v>85</v>
      </c>
      <c r="T1441" s="2" t="s">
        <v>122</v>
      </c>
    </row>
    <row r="1442" spans="1:20" x14ac:dyDescent="0.25">
      <c r="A1442" s="2" t="s">
        <v>2623</v>
      </c>
      <c r="B1442" s="3">
        <v>41767</v>
      </c>
      <c r="C1442" s="3">
        <v>41768</v>
      </c>
      <c r="D1442" s="2" t="s">
        <v>48</v>
      </c>
      <c r="E1442" s="2" t="s">
        <v>2624</v>
      </c>
      <c r="F1442" s="2" t="s">
        <v>2625</v>
      </c>
      <c r="G1442" s="2" t="s">
        <v>38</v>
      </c>
      <c r="H1442" s="2" t="s">
        <v>25</v>
      </c>
      <c r="I1442" s="2" t="s">
        <v>1386</v>
      </c>
      <c r="J1442" s="2" t="s">
        <v>806</v>
      </c>
      <c r="K1442" s="2" t="s">
        <v>28</v>
      </c>
      <c r="L1442" s="2" t="s">
        <v>131</v>
      </c>
      <c r="M1442" s="2" t="s">
        <v>30</v>
      </c>
      <c r="N1442" s="2" t="s">
        <v>31</v>
      </c>
      <c r="O1442" s="2" t="s">
        <v>132</v>
      </c>
      <c r="P1442" s="4">
        <v>33.105899999999998</v>
      </c>
      <c r="Q1442" s="4">
        <v>5</v>
      </c>
      <c r="R1442" s="4">
        <v>-9.3152000000000008</v>
      </c>
      <c r="S1442" s="2" t="s">
        <v>33</v>
      </c>
      <c r="T1442" s="2" t="s">
        <v>122</v>
      </c>
    </row>
    <row r="1443" spans="1:20" x14ac:dyDescent="0.25">
      <c r="A1443" s="2" t="s">
        <v>2626</v>
      </c>
      <c r="B1443" s="3">
        <v>42105</v>
      </c>
      <c r="C1443" s="3">
        <v>42105</v>
      </c>
      <c r="D1443" s="2" t="s">
        <v>55</v>
      </c>
      <c r="E1443" s="2" t="s">
        <v>2033</v>
      </c>
      <c r="F1443" s="2" t="s">
        <v>2034</v>
      </c>
      <c r="G1443" s="2" t="s">
        <v>38</v>
      </c>
      <c r="H1443" s="2" t="s">
        <v>25</v>
      </c>
      <c r="I1443" s="2" t="s">
        <v>902</v>
      </c>
      <c r="J1443" s="2" t="s">
        <v>753</v>
      </c>
      <c r="K1443" s="2" t="s">
        <v>147</v>
      </c>
      <c r="L1443" s="2" t="s">
        <v>316</v>
      </c>
      <c r="M1443" s="2" t="s">
        <v>30</v>
      </c>
      <c r="N1443" s="2" t="s">
        <v>42</v>
      </c>
      <c r="O1443" s="2" t="s">
        <v>317</v>
      </c>
      <c r="P1443" s="4">
        <v>329.42450000000002</v>
      </c>
      <c r="Q1443" s="4">
        <v>2</v>
      </c>
      <c r="R1443" s="4">
        <v>39.575800000000001</v>
      </c>
      <c r="S1443" s="2" t="s">
        <v>121</v>
      </c>
      <c r="T1443" s="2" t="s">
        <v>108</v>
      </c>
    </row>
    <row r="1444" spans="1:20" x14ac:dyDescent="0.25">
      <c r="A1444" s="2" t="s">
        <v>2627</v>
      </c>
      <c r="B1444" s="3">
        <v>41921</v>
      </c>
      <c r="C1444" s="3">
        <v>41924</v>
      </c>
      <c r="D1444" s="2" t="s">
        <v>21</v>
      </c>
      <c r="E1444" s="2" t="s">
        <v>1773</v>
      </c>
      <c r="F1444" s="2" t="s">
        <v>1774</v>
      </c>
      <c r="G1444" s="2" t="s">
        <v>58</v>
      </c>
      <c r="H1444" s="2" t="s">
        <v>25</v>
      </c>
      <c r="I1444" s="2" t="s">
        <v>297</v>
      </c>
      <c r="J1444" s="2" t="s">
        <v>234</v>
      </c>
      <c r="K1444" s="2" t="s">
        <v>82</v>
      </c>
      <c r="L1444" s="2" t="s">
        <v>45</v>
      </c>
      <c r="M1444" s="2" t="s">
        <v>30</v>
      </c>
      <c r="N1444" s="2" t="s">
        <v>31</v>
      </c>
      <c r="O1444" s="2" t="s">
        <v>46</v>
      </c>
      <c r="P1444" s="4">
        <v>4.6239999999999997</v>
      </c>
      <c r="Q1444" s="4">
        <v>7</v>
      </c>
      <c r="R1444" s="4">
        <v>1.3665</v>
      </c>
      <c r="S1444" s="2" t="s">
        <v>92</v>
      </c>
      <c r="T1444" s="2" t="s">
        <v>224</v>
      </c>
    </row>
    <row r="1445" spans="1:20" x14ac:dyDescent="0.25">
      <c r="A1445" s="2" t="s">
        <v>2628</v>
      </c>
      <c r="B1445" s="3">
        <v>42766</v>
      </c>
      <c r="C1445" s="3">
        <v>42766</v>
      </c>
      <c r="D1445" s="2" t="s">
        <v>55</v>
      </c>
      <c r="E1445" s="2" t="s">
        <v>2380</v>
      </c>
      <c r="F1445" s="2" t="s">
        <v>2381</v>
      </c>
      <c r="G1445" s="2" t="s">
        <v>58</v>
      </c>
      <c r="H1445" s="2" t="s">
        <v>25</v>
      </c>
      <c r="I1445" s="2" t="s">
        <v>485</v>
      </c>
      <c r="J1445" s="2" t="s">
        <v>251</v>
      </c>
      <c r="K1445" s="2" t="s">
        <v>147</v>
      </c>
      <c r="L1445" s="2" t="s">
        <v>62</v>
      </c>
      <c r="M1445" s="2" t="s">
        <v>30</v>
      </c>
      <c r="N1445" s="2" t="s">
        <v>63</v>
      </c>
      <c r="O1445" s="2" t="s">
        <v>64</v>
      </c>
      <c r="P1445" s="4">
        <v>571.83360000000005</v>
      </c>
      <c r="Q1445" s="4">
        <v>5</v>
      </c>
      <c r="R1445" s="4">
        <v>-5.8266</v>
      </c>
      <c r="S1445" s="2" t="s">
        <v>121</v>
      </c>
      <c r="T1445" s="2" t="s">
        <v>115</v>
      </c>
    </row>
    <row r="1446" spans="1:20" x14ac:dyDescent="0.25">
      <c r="A1446" s="2" t="s">
        <v>2629</v>
      </c>
      <c r="B1446" s="3">
        <v>42682</v>
      </c>
      <c r="C1446" s="3">
        <v>42687</v>
      </c>
      <c r="D1446" s="2" t="s">
        <v>55</v>
      </c>
      <c r="E1446" s="2" t="s">
        <v>2630</v>
      </c>
      <c r="F1446" s="2" t="s">
        <v>2631</v>
      </c>
      <c r="G1446" s="2" t="s">
        <v>58</v>
      </c>
      <c r="H1446" s="2" t="s">
        <v>25</v>
      </c>
      <c r="I1446" s="2" t="s">
        <v>1006</v>
      </c>
      <c r="J1446" s="2" t="s">
        <v>180</v>
      </c>
      <c r="K1446" s="2" t="s">
        <v>147</v>
      </c>
      <c r="L1446" s="2" t="s">
        <v>228</v>
      </c>
      <c r="M1446" s="2" t="s">
        <v>30</v>
      </c>
      <c r="N1446" s="2" t="s">
        <v>42</v>
      </c>
      <c r="O1446" s="2" t="s">
        <v>229</v>
      </c>
      <c r="P1446" s="4">
        <v>245.11099999999999</v>
      </c>
      <c r="Q1446" s="4">
        <v>5</v>
      </c>
      <c r="R1446" s="4">
        <v>-60.831699999999998</v>
      </c>
      <c r="S1446" s="2" t="s">
        <v>85</v>
      </c>
      <c r="T1446" s="2" t="s">
        <v>93</v>
      </c>
    </row>
    <row r="1447" spans="1:20" x14ac:dyDescent="0.25">
      <c r="A1447" s="2" t="s">
        <v>2632</v>
      </c>
      <c r="B1447" s="3">
        <v>42884</v>
      </c>
      <c r="C1447" s="3">
        <v>42887</v>
      </c>
      <c r="D1447" s="2" t="s">
        <v>21</v>
      </c>
      <c r="E1447" s="2" t="s">
        <v>2633</v>
      </c>
      <c r="F1447" s="2" t="s">
        <v>2634</v>
      </c>
      <c r="G1447" s="2" t="s">
        <v>58</v>
      </c>
      <c r="H1447" s="2" t="s">
        <v>25</v>
      </c>
      <c r="I1447" s="2" t="s">
        <v>1055</v>
      </c>
      <c r="J1447" s="2" t="s">
        <v>106</v>
      </c>
      <c r="K1447" s="2" t="s">
        <v>61</v>
      </c>
      <c r="L1447" s="2" t="s">
        <v>235</v>
      </c>
      <c r="M1447" s="2" t="s">
        <v>30</v>
      </c>
      <c r="N1447" s="2" t="s">
        <v>31</v>
      </c>
      <c r="O1447" s="2" t="s">
        <v>236</v>
      </c>
      <c r="P1447" s="4">
        <v>46.448300000000003</v>
      </c>
      <c r="Q1447" s="4">
        <v>2</v>
      </c>
      <c r="R1447" s="4">
        <v>-4.3358999999999996</v>
      </c>
      <c r="S1447" s="2" t="s">
        <v>92</v>
      </c>
      <c r="T1447" s="2" t="s">
        <v>122</v>
      </c>
    </row>
    <row r="1448" spans="1:20" x14ac:dyDescent="0.25">
      <c r="A1448" s="2" t="s">
        <v>2635</v>
      </c>
      <c r="B1448" s="3">
        <v>43015</v>
      </c>
      <c r="C1448" s="3">
        <v>43016</v>
      </c>
      <c r="D1448" s="2" t="s">
        <v>21</v>
      </c>
      <c r="E1448" s="2" t="s">
        <v>2185</v>
      </c>
      <c r="F1448" s="2" t="s">
        <v>2186</v>
      </c>
      <c r="G1448" s="2" t="s">
        <v>58</v>
      </c>
      <c r="H1448" s="2" t="s">
        <v>25</v>
      </c>
      <c r="I1448" s="2" t="s">
        <v>847</v>
      </c>
      <c r="J1448" s="2" t="s">
        <v>728</v>
      </c>
      <c r="K1448" s="2" t="s">
        <v>147</v>
      </c>
      <c r="L1448" s="2" t="s">
        <v>218</v>
      </c>
      <c r="M1448" s="2" t="s">
        <v>30</v>
      </c>
      <c r="N1448" s="2" t="s">
        <v>31</v>
      </c>
      <c r="O1448" s="2" t="s">
        <v>219</v>
      </c>
      <c r="P1448" s="4">
        <v>60.523400000000002</v>
      </c>
      <c r="Q1448" s="4">
        <v>5</v>
      </c>
      <c r="R1448" s="4">
        <v>4.0174000000000003</v>
      </c>
      <c r="S1448" s="2" t="s">
        <v>33</v>
      </c>
      <c r="T1448" s="2" t="s">
        <v>224</v>
      </c>
    </row>
    <row r="1449" spans="1:20" x14ac:dyDescent="0.25">
      <c r="A1449" s="2" t="s">
        <v>2636</v>
      </c>
      <c r="B1449" s="3">
        <v>42251</v>
      </c>
      <c r="C1449" s="3">
        <v>42252</v>
      </c>
      <c r="D1449" s="2" t="s">
        <v>21</v>
      </c>
      <c r="E1449" s="2" t="s">
        <v>558</v>
      </c>
      <c r="F1449" s="2" t="s">
        <v>559</v>
      </c>
      <c r="G1449" s="2" t="s">
        <v>24</v>
      </c>
      <c r="H1449" s="2" t="s">
        <v>25</v>
      </c>
      <c r="I1449" s="2" t="s">
        <v>1688</v>
      </c>
      <c r="J1449" s="2" t="s">
        <v>206</v>
      </c>
      <c r="K1449" s="2" t="s">
        <v>61</v>
      </c>
      <c r="L1449" s="2" t="s">
        <v>131</v>
      </c>
      <c r="M1449" s="2" t="s">
        <v>30</v>
      </c>
      <c r="N1449" s="2" t="s">
        <v>31</v>
      </c>
      <c r="O1449" s="2" t="s">
        <v>132</v>
      </c>
      <c r="P1449" s="4">
        <v>109.41889999999999</v>
      </c>
      <c r="Q1449" s="4">
        <v>2</v>
      </c>
      <c r="R1449" s="4">
        <v>19.1721</v>
      </c>
      <c r="S1449" s="2" t="s">
        <v>33</v>
      </c>
      <c r="T1449" s="2" t="s">
        <v>148</v>
      </c>
    </row>
    <row r="1450" spans="1:20" x14ac:dyDescent="0.25">
      <c r="A1450" s="2" t="s">
        <v>2637</v>
      </c>
      <c r="B1450" s="3">
        <v>42084</v>
      </c>
      <c r="C1450" s="3">
        <v>42090</v>
      </c>
      <c r="D1450" s="2" t="s">
        <v>55</v>
      </c>
      <c r="E1450" s="2" t="s">
        <v>432</v>
      </c>
      <c r="F1450" s="2" t="s">
        <v>433</v>
      </c>
      <c r="G1450" s="2" t="s">
        <v>58</v>
      </c>
      <c r="H1450" s="2" t="s">
        <v>25</v>
      </c>
      <c r="I1450" s="2" t="s">
        <v>458</v>
      </c>
      <c r="J1450" s="2" t="s">
        <v>27</v>
      </c>
      <c r="K1450" s="2" t="s">
        <v>28</v>
      </c>
      <c r="L1450" s="2" t="s">
        <v>372</v>
      </c>
      <c r="M1450" s="2" t="s">
        <v>30</v>
      </c>
      <c r="N1450" s="2" t="s">
        <v>162</v>
      </c>
      <c r="O1450" s="2" t="s">
        <v>373</v>
      </c>
      <c r="P1450" s="4">
        <v>705.11</v>
      </c>
      <c r="Q1450" s="4">
        <v>4</v>
      </c>
      <c r="R1450" s="4">
        <v>86.586399999999998</v>
      </c>
      <c r="S1450" s="2" t="s">
        <v>65</v>
      </c>
      <c r="T1450" s="2" t="s">
        <v>44</v>
      </c>
    </row>
    <row r="1451" spans="1:20" x14ac:dyDescent="0.25">
      <c r="A1451" s="2" t="s">
        <v>2638</v>
      </c>
      <c r="B1451" s="3">
        <v>42872</v>
      </c>
      <c r="C1451" s="3">
        <v>42873</v>
      </c>
      <c r="D1451" s="2" t="s">
        <v>55</v>
      </c>
      <c r="E1451" s="2" t="s">
        <v>1886</v>
      </c>
      <c r="F1451" s="2" t="s">
        <v>1887</v>
      </c>
      <c r="G1451" s="2" t="s">
        <v>58</v>
      </c>
      <c r="H1451" s="2" t="s">
        <v>25</v>
      </c>
      <c r="I1451" s="2" t="s">
        <v>799</v>
      </c>
      <c r="J1451" s="2" t="s">
        <v>160</v>
      </c>
      <c r="K1451" s="2" t="s">
        <v>61</v>
      </c>
      <c r="L1451" s="2" t="s">
        <v>29</v>
      </c>
      <c r="M1451" s="2" t="s">
        <v>30</v>
      </c>
      <c r="N1451" s="2" t="s">
        <v>31</v>
      </c>
      <c r="O1451" s="2" t="s">
        <v>32</v>
      </c>
      <c r="P1451" s="4">
        <v>4.3266</v>
      </c>
      <c r="Q1451" s="4">
        <v>2</v>
      </c>
      <c r="R1451" s="4">
        <v>-0.3997</v>
      </c>
      <c r="S1451" s="2" t="s">
        <v>33</v>
      </c>
      <c r="T1451" s="2" t="s">
        <v>122</v>
      </c>
    </row>
    <row r="1452" spans="1:20" x14ac:dyDescent="0.25">
      <c r="A1452" s="2" t="s">
        <v>2638</v>
      </c>
      <c r="B1452" s="3">
        <v>42872</v>
      </c>
      <c r="C1452" s="3">
        <v>42873</v>
      </c>
      <c r="D1452" s="2" t="s">
        <v>55</v>
      </c>
      <c r="E1452" s="2" t="s">
        <v>1886</v>
      </c>
      <c r="F1452" s="2" t="s">
        <v>1887</v>
      </c>
      <c r="G1452" s="2" t="s">
        <v>58</v>
      </c>
      <c r="H1452" s="2" t="s">
        <v>25</v>
      </c>
      <c r="I1452" s="2" t="s">
        <v>799</v>
      </c>
      <c r="J1452" s="2" t="s">
        <v>160</v>
      </c>
      <c r="K1452" s="2" t="s">
        <v>61</v>
      </c>
      <c r="L1452" s="2" t="s">
        <v>839</v>
      </c>
      <c r="M1452" s="2" t="s">
        <v>30</v>
      </c>
      <c r="N1452" s="2" t="s">
        <v>63</v>
      </c>
      <c r="O1452" s="2" t="s">
        <v>840</v>
      </c>
      <c r="P1452" s="4">
        <v>134.94990000000001</v>
      </c>
      <c r="Q1452" s="4">
        <v>2</v>
      </c>
      <c r="R1452" s="4">
        <v>-20.597200000000001</v>
      </c>
      <c r="S1452" s="2" t="s">
        <v>33</v>
      </c>
      <c r="T1452" s="2" t="s">
        <v>122</v>
      </c>
    </row>
    <row r="1453" spans="1:20" x14ac:dyDescent="0.25">
      <c r="A1453" s="2" t="s">
        <v>2639</v>
      </c>
      <c r="B1453" s="3">
        <v>42201</v>
      </c>
      <c r="C1453" s="3">
        <v>42204</v>
      </c>
      <c r="D1453" s="2" t="s">
        <v>55</v>
      </c>
      <c r="E1453" s="2" t="s">
        <v>2640</v>
      </c>
      <c r="F1453" s="2" t="s">
        <v>2641</v>
      </c>
      <c r="G1453" s="2" t="s">
        <v>58</v>
      </c>
      <c r="H1453" s="2" t="s">
        <v>25</v>
      </c>
      <c r="I1453" s="2" t="s">
        <v>1697</v>
      </c>
      <c r="J1453" s="2" t="s">
        <v>52</v>
      </c>
      <c r="K1453" s="2" t="s">
        <v>28</v>
      </c>
      <c r="L1453" s="2" t="s">
        <v>186</v>
      </c>
      <c r="M1453" s="2" t="s">
        <v>30</v>
      </c>
      <c r="N1453" s="2" t="s">
        <v>31</v>
      </c>
      <c r="O1453" s="2" t="s">
        <v>187</v>
      </c>
      <c r="P1453" s="4">
        <v>94.761399999999995</v>
      </c>
      <c r="Q1453" s="4">
        <v>3</v>
      </c>
      <c r="R1453" s="4">
        <v>-4.8710000000000004</v>
      </c>
      <c r="S1453" s="2" t="s">
        <v>92</v>
      </c>
      <c r="T1453" s="2" t="s">
        <v>86</v>
      </c>
    </row>
    <row r="1454" spans="1:20" x14ac:dyDescent="0.25">
      <c r="A1454" s="2" t="s">
        <v>2639</v>
      </c>
      <c r="B1454" s="3">
        <v>42201</v>
      </c>
      <c r="C1454" s="3">
        <v>42204</v>
      </c>
      <c r="D1454" s="2" t="s">
        <v>55</v>
      </c>
      <c r="E1454" s="2" t="s">
        <v>2640</v>
      </c>
      <c r="F1454" s="2" t="s">
        <v>2641</v>
      </c>
      <c r="G1454" s="2" t="s">
        <v>58</v>
      </c>
      <c r="H1454" s="2" t="s">
        <v>25</v>
      </c>
      <c r="I1454" s="2" t="s">
        <v>1697</v>
      </c>
      <c r="J1454" s="2" t="s">
        <v>52</v>
      </c>
      <c r="K1454" s="2" t="s">
        <v>28</v>
      </c>
      <c r="L1454" s="2" t="s">
        <v>719</v>
      </c>
      <c r="M1454" s="2" t="s">
        <v>30</v>
      </c>
      <c r="N1454" s="2" t="s">
        <v>63</v>
      </c>
      <c r="O1454" s="2" t="s">
        <v>720</v>
      </c>
      <c r="P1454" s="4">
        <v>1131.077</v>
      </c>
      <c r="Q1454" s="4">
        <v>4</v>
      </c>
      <c r="R1454" s="4">
        <v>133.0779</v>
      </c>
      <c r="S1454" s="2" t="s">
        <v>92</v>
      </c>
      <c r="T1454" s="2" t="s">
        <v>86</v>
      </c>
    </row>
    <row r="1455" spans="1:20" x14ac:dyDescent="0.25">
      <c r="A1455" s="2" t="s">
        <v>2639</v>
      </c>
      <c r="B1455" s="3">
        <v>42201</v>
      </c>
      <c r="C1455" s="3">
        <v>42204</v>
      </c>
      <c r="D1455" s="2" t="s">
        <v>55</v>
      </c>
      <c r="E1455" s="2" t="s">
        <v>2640</v>
      </c>
      <c r="F1455" s="2" t="s">
        <v>2641</v>
      </c>
      <c r="G1455" s="2" t="s">
        <v>58</v>
      </c>
      <c r="H1455" s="2" t="s">
        <v>25</v>
      </c>
      <c r="I1455" s="2" t="s">
        <v>1697</v>
      </c>
      <c r="J1455" s="2" t="s">
        <v>52</v>
      </c>
      <c r="K1455" s="2" t="s">
        <v>28</v>
      </c>
      <c r="L1455" s="2" t="s">
        <v>131</v>
      </c>
      <c r="M1455" s="2" t="s">
        <v>30</v>
      </c>
      <c r="N1455" s="2" t="s">
        <v>31</v>
      </c>
      <c r="O1455" s="2" t="s">
        <v>132</v>
      </c>
      <c r="P1455" s="4">
        <v>219.06450000000001</v>
      </c>
      <c r="Q1455" s="4">
        <v>2</v>
      </c>
      <c r="R1455" s="4">
        <v>30.557600000000001</v>
      </c>
      <c r="S1455" s="2" t="s">
        <v>92</v>
      </c>
      <c r="T1455" s="2" t="s">
        <v>86</v>
      </c>
    </row>
    <row r="1456" spans="1:20" x14ac:dyDescent="0.25">
      <c r="A1456" s="2" t="s">
        <v>2642</v>
      </c>
      <c r="B1456" s="3">
        <v>41711</v>
      </c>
      <c r="C1456" s="3">
        <v>41713</v>
      </c>
      <c r="D1456" s="2" t="s">
        <v>48</v>
      </c>
      <c r="E1456" s="2" t="s">
        <v>299</v>
      </c>
      <c r="F1456" s="2" t="s">
        <v>300</v>
      </c>
      <c r="G1456" s="2" t="s">
        <v>58</v>
      </c>
      <c r="H1456" s="2" t="s">
        <v>25</v>
      </c>
      <c r="I1456" s="2" t="s">
        <v>437</v>
      </c>
      <c r="J1456" s="2" t="s">
        <v>217</v>
      </c>
      <c r="K1456" s="2" t="s">
        <v>82</v>
      </c>
      <c r="L1456" s="2" t="s">
        <v>66</v>
      </c>
      <c r="M1456" s="2" t="s">
        <v>30</v>
      </c>
      <c r="N1456" s="2" t="s">
        <v>31</v>
      </c>
      <c r="O1456" s="2" t="s">
        <v>67</v>
      </c>
      <c r="P1456" s="4">
        <v>16.2516</v>
      </c>
      <c r="Q1456" s="4">
        <v>3</v>
      </c>
      <c r="R1456" s="4">
        <v>5.4638</v>
      </c>
      <c r="S1456" s="2" t="s">
        <v>53</v>
      </c>
      <c r="T1456" s="2" t="s">
        <v>44</v>
      </c>
    </row>
    <row r="1457" spans="1:20" x14ac:dyDescent="0.25">
      <c r="A1457" s="2" t="s">
        <v>2642</v>
      </c>
      <c r="B1457" s="3">
        <v>41711</v>
      </c>
      <c r="C1457" s="3">
        <v>41713</v>
      </c>
      <c r="D1457" s="2" t="s">
        <v>48</v>
      </c>
      <c r="E1457" s="2" t="s">
        <v>299</v>
      </c>
      <c r="F1457" s="2" t="s">
        <v>300</v>
      </c>
      <c r="G1457" s="2" t="s">
        <v>58</v>
      </c>
      <c r="H1457" s="2" t="s">
        <v>25</v>
      </c>
      <c r="I1457" s="2" t="s">
        <v>437</v>
      </c>
      <c r="J1457" s="2" t="s">
        <v>217</v>
      </c>
      <c r="K1457" s="2" t="s">
        <v>82</v>
      </c>
      <c r="L1457" s="2" t="s">
        <v>73</v>
      </c>
      <c r="M1457" s="2" t="s">
        <v>30</v>
      </c>
      <c r="N1457" s="2" t="s">
        <v>42</v>
      </c>
      <c r="O1457" s="2" t="s">
        <v>74</v>
      </c>
      <c r="P1457" s="4">
        <v>92.417500000000004</v>
      </c>
      <c r="Q1457" s="4">
        <v>1</v>
      </c>
      <c r="R1457" s="4">
        <v>60.775500000000001</v>
      </c>
      <c r="S1457" s="2" t="s">
        <v>53</v>
      </c>
      <c r="T1457" s="2" t="s">
        <v>44</v>
      </c>
    </row>
    <row r="1458" spans="1:20" x14ac:dyDescent="0.25">
      <c r="A1458" s="2" t="s">
        <v>2642</v>
      </c>
      <c r="B1458" s="3">
        <v>41711</v>
      </c>
      <c r="C1458" s="3">
        <v>41713</v>
      </c>
      <c r="D1458" s="2" t="s">
        <v>48</v>
      </c>
      <c r="E1458" s="2" t="s">
        <v>299</v>
      </c>
      <c r="F1458" s="2" t="s">
        <v>300</v>
      </c>
      <c r="G1458" s="2" t="s">
        <v>58</v>
      </c>
      <c r="H1458" s="2" t="s">
        <v>25</v>
      </c>
      <c r="I1458" s="2" t="s">
        <v>437</v>
      </c>
      <c r="J1458" s="2" t="s">
        <v>217</v>
      </c>
      <c r="K1458" s="2" t="s">
        <v>82</v>
      </c>
      <c r="L1458" s="2" t="s">
        <v>1476</v>
      </c>
      <c r="M1458" s="2" t="s">
        <v>30</v>
      </c>
      <c r="N1458" s="2" t="s">
        <v>63</v>
      </c>
      <c r="O1458" s="2" t="s">
        <v>1477</v>
      </c>
      <c r="P1458" s="4">
        <v>218.25120000000001</v>
      </c>
      <c r="Q1458" s="4">
        <v>1</v>
      </c>
      <c r="R1458" s="4">
        <v>72.109899999999996</v>
      </c>
      <c r="S1458" s="2" t="s">
        <v>53</v>
      </c>
      <c r="T1458" s="2" t="s">
        <v>44</v>
      </c>
    </row>
    <row r="1459" spans="1:20" x14ac:dyDescent="0.25">
      <c r="A1459" s="2" t="s">
        <v>2643</v>
      </c>
      <c r="B1459" s="3">
        <v>42572</v>
      </c>
      <c r="C1459" s="3">
        <v>42578</v>
      </c>
      <c r="D1459" s="2" t="s">
        <v>55</v>
      </c>
      <c r="E1459" s="2" t="s">
        <v>1490</v>
      </c>
      <c r="F1459" s="2" t="s">
        <v>1491</v>
      </c>
      <c r="G1459" s="2" t="s">
        <v>58</v>
      </c>
      <c r="H1459" s="2" t="s">
        <v>25</v>
      </c>
      <c r="I1459" s="2" t="s">
        <v>371</v>
      </c>
      <c r="J1459" s="2" t="s">
        <v>127</v>
      </c>
      <c r="K1459" s="2" t="s">
        <v>82</v>
      </c>
      <c r="L1459" s="2" t="s">
        <v>618</v>
      </c>
      <c r="M1459" s="2" t="s">
        <v>30</v>
      </c>
      <c r="N1459" s="2" t="s">
        <v>63</v>
      </c>
      <c r="O1459" s="2" t="s">
        <v>619</v>
      </c>
      <c r="P1459" s="4">
        <v>589.00109999999995</v>
      </c>
      <c r="Q1459" s="4">
        <v>7</v>
      </c>
      <c r="R1459" s="4">
        <v>-240.3639</v>
      </c>
      <c r="S1459" s="2" t="s">
        <v>65</v>
      </c>
      <c r="T1459" s="2" t="s">
        <v>86</v>
      </c>
    </row>
    <row r="1460" spans="1:20" x14ac:dyDescent="0.25">
      <c r="A1460" s="2" t="s">
        <v>2644</v>
      </c>
      <c r="B1460" s="3">
        <v>42525</v>
      </c>
      <c r="C1460" s="3">
        <v>42527</v>
      </c>
      <c r="D1460" s="2" t="s">
        <v>21</v>
      </c>
      <c r="E1460" s="2" t="s">
        <v>568</v>
      </c>
      <c r="F1460" s="2" t="s">
        <v>569</v>
      </c>
      <c r="G1460" s="2" t="s">
        <v>58</v>
      </c>
      <c r="H1460" s="2" t="s">
        <v>25</v>
      </c>
      <c r="I1460" s="2" t="s">
        <v>145</v>
      </c>
      <c r="J1460" s="2" t="s">
        <v>146</v>
      </c>
      <c r="K1460" s="2" t="s">
        <v>147</v>
      </c>
      <c r="L1460" s="2" t="s">
        <v>207</v>
      </c>
      <c r="M1460" s="2" t="s">
        <v>30</v>
      </c>
      <c r="N1460" s="2" t="s">
        <v>31</v>
      </c>
      <c r="O1460" s="2" t="s">
        <v>208</v>
      </c>
      <c r="P1460" s="4">
        <v>43.070999999999998</v>
      </c>
      <c r="Q1460" s="4">
        <v>4</v>
      </c>
      <c r="R1460" s="4">
        <v>19.745200000000001</v>
      </c>
      <c r="S1460" s="2" t="s">
        <v>53</v>
      </c>
      <c r="T1460" s="2" t="s">
        <v>133</v>
      </c>
    </row>
    <row r="1461" spans="1:20" x14ac:dyDescent="0.25">
      <c r="A1461" s="2" t="s">
        <v>2645</v>
      </c>
      <c r="B1461" s="3">
        <v>42187</v>
      </c>
      <c r="C1461" s="3">
        <v>42189</v>
      </c>
      <c r="D1461" s="2" t="s">
        <v>48</v>
      </c>
      <c r="E1461" s="2" t="s">
        <v>1609</v>
      </c>
      <c r="F1461" s="2" t="s">
        <v>1610</v>
      </c>
      <c r="G1461" s="2" t="s">
        <v>58</v>
      </c>
      <c r="H1461" s="2" t="s">
        <v>25</v>
      </c>
      <c r="I1461" s="2" t="s">
        <v>760</v>
      </c>
      <c r="J1461" s="2" t="s">
        <v>112</v>
      </c>
      <c r="K1461" s="2" t="s">
        <v>28</v>
      </c>
      <c r="L1461" s="2" t="s">
        <v>45</v>
      </c>
      <c r="M1461" s="2" t="s">
        <v>30</v>
      </c>
      <c r="N1461" s="2" t="s">
        <v>31</v>
      </c>
      <c r="O1461" s="2" t="s">
        <v>46</v>
      </c>
      <c r="P1461" s="4">
        <v>50.080800000000004</v>
      </c>
      <c r="Q1461" s="4">
        <v>5</v>
      </c>
      <c r="R1461" s="4">
        <v>7.8456999999999999</v>
      </c>
      <c r="S1461" s="2" t="s">
        <v>53</v>
      </c>
      <c r="T1461" s="2" t="s">
        <v>86</v>
      </c>
    </row>
    <row r="1462" spans="1:20" x14ac:dyDescent="0.25">
      <c r="A1462" s="2" t="s">
        <v>2646</v>
      </c>
      <c r="B1462" s="3">
        <v>42784</v>
      </c>
      <c r="C1462" s="3">
        <v>42789</v>
      </c>
      <c r="D1462" s="2" t="s">
        <v>55</v>
      </c>
      <c r="E1462" s="2" t="s">
        <v>2064</v>
      </c>
      <c r="F1462" s="2" t="s">
        <v>1414</v>
      </c>
      <c r="G1462" s="2" t="s">
        <v>38</v>
      </c>
      <c r="H1462" s="2" t="s">
        <v>25</v>
      </c>
      <c r="I1462" s="2" t="s">
        <v>259</v>
      </c>
      <c r="J1462" s="2" t="s">
        <v>260</v>
      </c>
      <c r="K1462" s="2" t="s">
        <v>147</v>
      </c>
      <c r="L1462" s="2" t="s">
        <v>677</v>
      </c>
      <c r="M1462" s="2" t="s">
        <v>30</v>
      </c>
      <c r="N1462" s="2" t="s">
        <v>162</v>
      </c>
      <c r="O1462" s="2" t="s">
        <v>678</v>
      </c>
      <c r="P1462" s="4">
        <v>203.58070000000001</v>
      </c>
      <c r="Q1462" s="4">
        <v>3</v>
      </c>
      <c r="R1462" s="4">
        <v>10.055899999999999</v>
      </c>
      <c r="S1462" s="2" t="s">
        <v>85</v>
      </c>
      <c r="T1462" s="2" t="s">
        <v>101</v>
      </c>
    </row>
    <row r="1463" spans="1:20" x14ac:dyDescent="0.25">
      <c r="A1463" s="2" t="s">
        <v>2647</v>
      </c>
      <c r="B1463" s="3">
        <v>42404</v>
      </c>
      <c r="C1463" s="3">
        <v>42410</v>
      </c>
      <c r="D1463" s="2" t="s">
        <v>55</v>
      </c>
      <c r="E1463" s="2" t="s">
        <v>2648</v>
      </c>
      <c r="F1463" s="2" t="s">
        <v>2649</v>
      </c>
      <c r="G1463" s="2" t="s">
        <v>38</v>
      </c>
      <c r="H1463" s="2" t="s">
        <v>25</v>
      </c>
      <c r="I1463" s="2" t="s">
        <v>360</v>
      </c>
      <c r="J1463" s="2" t="s">
        <v>160</v>
      </c>
      <c r="K1463" s="2" t="s">
        <v>61</v>
      </c>
      <c r="L1463" s="2" t="s">
        <v>131</v>
      </c>
      <c r="M1463" s="2" t="s">
        <v>30</v>
      </c>
      <c r="N1463" s="2" t="s">
        <v>31</v>
      </c>
      <c r="O1463" s="2" t="s">
        <v>132</v>
      </c>
      <c r="P1463" s="4">
        <v>39.451500000000003</v>
      </c>
      <c r="Q1463" s="4">
        <v>9</v>
      </c>
      <c r="R1463" s="4">
        <v>8.3306000000000004</v>
      </c>
      <c r="S1463" s="2" t="s">
        <v>65</v>
      </c>
      <c r="T1463" s="2" t="s">
        <v>101</v>
      </c>
    </row>
    <row r="1464" spans="1:20" x14ac:dyDescent="0.25">
      <c r="A1464" s="2" t="s">
        <v>2650</v>
      </c>
      <c r="B1464" s="3">
        <v>41942</v>
      </c>
      <c r="C1464" s="3">
        <v>41943</v>
      </c>
      <c r="D1464" s="2" t="s">
        <v>21</v>
      </c>
      <c r="E1464" s="2" t="s">
        <v>1134</v>
      </c>
      <c r="F1464" s="2" t="s">
        <v>1135</v>
      </c>
      <c r="G1464" s="2" t="s">
        <v>38</v>
      </c>
      <c r="H1464" s="2" t="s">
        <v>25</v>
      </c>
      <c r="I1464" s="2" t="s">
        <v>1055</v>
      </c>
      <c r="J1464" s="2" t="s">
        <v>106</v>
      </c>
      <c r="K1464" s="2" t="s">
        <v>61</v>
      </c>
      <c r="L1464" s="2" t="s">
        <v>139</v>
      </c>
      <c r="M1464" s="2" t="s">
        <v>30</v>
      </c>
      <c r="N1464" s="2" t="s">
        <v>42</v>
      </c>
      <c r="O1464" s="2" t="s">
        <v>140</v>
      </c>
      <c r="P1464" s="4">
        <v>467.20420000000001</v>
      </c>
      <c r="Q1464" s="4">
        <v>2</v>
      </c>
      <c r="R1464" s="4">
        <v>-115.73569999999999</v>
      </c>
      <c r="S1464" s="2" t="s">
        <v>33</v>
      </c>
      <c r="T1464" s="2" t="s">
        <v>224</v>
      </c>
    </row>
    <row r="1465" spans="1:20" x14ac:dyDescent="0.25">
      <c r="A1465" s="2" t="s">
        <v>2651</v>
      </c>
      <c r="B1465" s="3">
        <v>42563</v>
      </c>
      <c r="C1465" s="3">
        <v>42565</v>
      </c>
      <c r="D1465" s="2" t="s">
        <v>55</v>
      </c>
      <c r="E1465" s="2" t="s">
        <v>1123</v>
      </c>
      <c r="F1465" s="2" t="s">
        <v>1124</v>
      </c>
      <c r="G1465" s="2" t="s">
        <v>58</v>
      </c>
      <c r="H1465" s="2" t="s">
        <v>25</v>
      </c>
      <c r="I1465" s="2" t="s">
        <v>1069</v>
      </c>
      <c r="J1465" s="2" t="s">
        <v>40</v>
      </c>
      <c r="K1465" s="2" t="s">
        <v>28</v>
      </c>
      <c r="L1465" s="2" t="s">
        <v>207</v>
      </c>
      <c r="M1465" s="2" t="s">
        <v>30</v>
      </c>
      <c r="N1465" s="2" t="s">
        <v>31</v>
      </c>
      <c r="O1465" s="2" t="s">
        <v>208</v>
      </c>
      <c r="P1465" s="4">
        <v>51.620600000000003</v>
      </c>
      <c r="Q1465" s="4">
        <v>2</v>
      </c>
      <c r="R1465" s="4">
        <v>-10.056800000000001</v>
      </c>
      <c r="S1465" s="2" t="s">
        <v>53</v>
      </c>
      <c r="T1465" s="2" t="s">
        <v>86</v>
      </c>
    </row>
    <row r="1466" spans="1:20" x14ac:dyDescent="0.25">
      <c r="A1466" s="2" t="s">
        <v>2651</v>
      </c>
      <c r="B1466" s="3">
        <v>42563</v>
      </c>
      <c r="C1466" s="3">
        <v>42565</v>
      </c>
      <c r="D1466" s="2" t="s">
        <v>55</v>
      </c>
      <c r="E1466" s="2" t="s">
        <v>1123</v>
      </c>
      <c r="F1466" s="2" t="s">
        <v>1124</v>
      </c>
      <c r="G1466" s="2" t="s">
        <v>58</v>
      </c>
      <c r="H1466" s="2" t="s">
        <v>25</v>
      </c>
      <c r="I1466" s="2" t="s">
        <v>1069</v>
      </c>
      <c r="J1466" s="2" t="s">
        <v>40</v>
      </c>
      <c r="K1466" s="2" t="s">
        <v>28</v>
      </c>
      <c r="L1466" s="2" t="s">
        <v>45</v>
      </c>
      <c r="M1466" s="2" t="s">
        <v>30</v>
      </c>
      <c r="N1466" s="2" t="s">
        <v>31</v>
      </c>
      <c r="O1466" s="2" t="s">
        <v>46</v>
      </c>
      <c r="P1466" s="4">
        <v>24.925799999999999</v>
      </c>
      <c r="Q1466" s="4">
        <v>4</v>
      </c>
      <c r="R1466" s="4">
        <v>5.7606000000000002</v>
      </c>
      <c r="S1466" s="2" t="s">
        <v>53</v>
      </c>
      <c r="T1466" s="2" t="s">
        <v>86</v>
      </c>
    </row>
    <row r="1467" spans="1:20" x14ac:dyDescent="0.25">
      <c r="A1467" s="2" t="s">
        <v>2652</v>
      </c>
      <c r="B1467" s="3">
        <v>41807</v>
      </c>
      <c r="C1467" s="3">
        <v>41811</v>
      </c>
      <c r="D1467" s="2" t="s">
        <v>55</v>
      </c>
      <c r="E1467" s="2" t="s">
        <v>1676</v>
      </c>
      <c r="F1467" s="2" t="s">
        <v>1677</v>
      </c>
      <c r="G1467" s="2" t="s">
        <v>24</v>
      </c>
      <c r="H1467" s="2" t="s">
        <v>25</v>
      </c>
      <c r="I1467" s="2" t="s">
        <v>402</v>
      </c>
      <c r="J1467" s="2" t="s">
        <v>403</v>
      </c>
      <c r="K1467" s="2" t="s">
        <v>147</v>
      </c>
      <c r="L1467" s="2" t="s">
        <v>323</v>
      </c>
      <c r="M1467" s="2" t="s">
        <v>30</v>
      </c>
      <c r="N1467" s="2" t="s">
        <v>31</v>
      </c>
      <c r="O1467" s="2" t="s">
        <v>324</v>
      </c>
      <c r="P1467" s="4">
        <v>12.7654</v>
      </c>
      <c r="Q1467" s="4">
        <v>5</v>
      </c>
      <c r="R1467" s="4">
        <v>9.6104000000000003</v>
      </c>
      <c r="S1467" s="2" t="s">
        <v>75</v>
      </c>
      <c r="T1467" s="2" t="s">
        <v>133</v>
      </c>
    </row>
    <row r="1468" spans="1:20" x14ac:dyDescent="0.25">
      <c r="A1468" s="2" t="s">
        <v>2652</v>
      </c>
      <c r="B1468" s="3">
        <v>41807</v>
      </c>
      <c r="C1468" s="3">
        <v>41811</v>
      </c>
      <c r="D1468" s="2" t="s">
        <v>55</v>
      </c>
      <c r="E1468" s="2" t="s">
        <v>1676</v>
      </c>
      <c r="F1468" s="2" t="s">
        <v>1677</v>
      </c>
      <c r="G1468" s="2" t="s">
        <v>24</v>
      </c>
      <c r="H1468" s="2" t="s">
        <v>25</v>
      </c>
      <c r="I1468" s="2" t="s">
        <v>402</v>
      </c>
      <c r="J1468" s="2" t="s">
        <v>403</v>
      </c>
      <c r="K1468" s="2" t="s">
        <v>147</v>
      </c>
      <c r="L1468" s="2" t="s">
        <v>235</v>
      </c>
      <c r="M1468" s="2" t="s">
        <v>30</v>
      </c>
      <c r="N1468" s="2" t="s">
        <v>31</v>
      </c>
      <c r="O1468" s="2" t="s">
        <v>236</v>
      </c>
      <c r="P1468" s="4">
        <v>189.06399999999999</v>
      </c>
      <c r="Q1468" s="4">
        <v>2</v>
      </c>
      <c r="R1468" s="4">
        <v>150.977</v>
      </c>
      <c r="S1468" s="2" t="s">
        <v>75</v>
      </c>
      <c r="T1468" s="2" t="s">
        <v>133</v>
      </c>
    </row>
    <row r="1469" spans="1:20" x14ac:dyDescent="0.25">
      <c r="A1469" s="2" t="s">
        <v>2653</v>
      </c>
      <c r="B1469" s="3">
        <v>43093</v>
      </c>
      <c r="C1469" s="3">
        <v>43099</v>
      </c>
      <c r="D1469" s="2" t="s">
        <v>55</v>
      </c>
      <c r="E1469" s="2" t="s">
        <v>2159</v>
      </c>
      <c r="F1469" s="2" t="s">
        <v>2160</v>
      </c>
      <c r="G1469" s="2" t="s">
        <v>58</v>
      </c>
      <c r="H1469" s="2" t="s">
        <v>25</v>
      </c>
      <c r="I1469" s="2" t="s">
        <v>26</v>
      </c>
      <c r="J1469" s="2" t="s">
        <v>91</v>
      </c>
      <c r="K1469" s="2" t="s">
        <v>61</v>
      </c>
      <c r="L1469" s="2" t="s">
        <v>193</v>
      </c>
      <c r="M1469" s="2" t="s">
        <v>30</v>
      </c>
      <c r="N1469" s="2" t="s">
        <v>42</v>
      </c>
      <c r="O1469" s="2" t="s">
        <v>194</v>
      </c>
      <c r="P1469" s="4">
        <v>303.30560000000003</v>
      </c>
      <c r="Q1469" s="4">
        <v>1</v>
      </c>
      <c r="R1469" s="4">
        <v>102.2088</v>
      </c>
      <c r="S1469" s="2" t="s">
        <v>65</v>
      </c>
      <c r="T1469" s="2" t="s">
        <v>76</v>
      </c>
    </row>
    <row r="1470" spans="1:20" x14ac:dyDescent="0.25">
      <c r="A1470" s="2" t="s">
        <v>2654</v>
      </c>
      <c r="B1470" s="3">
        <v>43048</v>
      </c>
      <c r="C1470" s="3">
        <v>43052</v>
      </c>
      <c r="D1470" s="2" t="s">
        <v>21</v>
      </c>
      <c r="E1470" s="2" t="s">
        <v>924</v>
      </c>
      <c r="F1470" s="2" t="s">
        <v>925</v>
      </c>
      <c r="G1470" s="2" t="s">
        <v>38</v>
      </c>
      <c r="H1470" s="2" t="s">
        <v>25</v>
      </c>
      <c r="I1470" s="2" t="s">
        <v>631</v>
      </c>
      <c r="J1470" s="2" t="s">
        <v>632</v>
      </c>
      <c r="K1470" s="2" t="s">
        <v>82</v>
      </c>
      <c r="L1470" s="2" t="s">
        <v>301</v>
      </c>
      <c r="M1470" s="2" t="s">
        <v>30</v>
      </c>
      <c r="N1470" s="2" t="s">
        <v>162</v>
      </c>
      <c r="O1470" s="2" t="s">
        <v>302</v>
      </c>
      <c r="P1470" s="4">
        <v>257.18889999999999</v>
      </c>
      <c r="Q1470" s="4">
        <v>4</v>
      </c>
      <c r="R1470" s="4">
        <v>79.347499999999997</v>
      </c>
      <c r="S1470" s="2" t="s">
        <v>75</v>
      </c>
      <c r="T1470" s="2" t="s">
        <v>93</v>
      </c>
    </row>
    <row r="1471" spans="1:20" x14ac:dyDescent="0.25">
      <c r="A1471" s="2" t="s">
        <v>2655</v>
      </c>
      <c r="B1471" s="3">
        <v>43063</v>
      </c>
      <c r="C1471" s="3">
        <v>43064</v>
      </c>
      <c r="D1471" s="2" t="s">
        <v>21</v>
      </c>
      <c r="E1471" s="2" t="s">
        <v>2656</v>
      </c>
      <c r="F1471" s="2" t="s">
        <v>2657</v>
      </c>
      <c r="G1471" s="2" t="s">
        <v>38</v>
      </c>
      <c r="H1471" s="2" t="s">
        <v>25</v>
      </c>
      <c r="I1471" s="2" t="s">
        <v>482</v>
      </c>
      <c r="J1471" s="2" t="s">
        <v>120</v>
      </c>
      <c r="K1471" s="2" t="s">
        <v>61</v>
      </c>
      <c r="L1471" s="2" t="s">
        <v>415</v>
      </c>
      <c r="M1471" s="2" t="s">
        <v>30</v>
      </c>
      <c r="N1471" s="2" t="s">
        <v>63</v>
      </c>
      <c r="O1471" s="2" t="s">
        <v>416</v>
      </c>
      <c r="P1471" s="4">
        <v>426.75959999999998</v>
      </c>
      <c r="Q1471" s="4">
        <v>1</v>
      </c>
      <c r="R1471" s="4">
        <v>80.998999999999995</v>
      </c>
      <c r="S1471" s="2" t="s">
        <v>33</v>
      </c>
      <c r="T1471" s="2" t="s">
        <v>93</v>
      </c>
    </row>
    <row r="1472" spans="1:20" x14ac:dyDescent="0.25">
      <c r="A1472" s="2" t="s">
        <v>2658</v>
      </c>
      <c r="B1472" s="3">
        <v>42064</v>
      </c>
      <c r="C1472" s="3">
        <v>42069</v>
      </c>
      <c r="D1472" s="2" t="s">
        <v>55</v>
      </c>
      <c r="E1472" s="2" t="s">
        <v>1756</v>
      </c>
      <c r="F1472" s="2" t="s">
        <v>1757</v>
      </c>
      <c r="G1472" s="2" t="s">
        <v>58</v>
      </c>
      <c r="H1472" s="2" t="s">
        <v>25</v>
      </c>
      <c r="I1472" s="2" t="s">
        <v>1688</v>
      </c>
      <c r="J1472" s="2" t="s">
        <v>206</v>
      </c>
      <c r="K1472" s="2" t="s">
        <v>61</v>
      </c>
      <c r="L1472" s="2" t="s">
        <v>899</v>
      </c>
      <c r="M1472" s="2" t="s">
        <v>30</v>
      </c>
      <c r="N1472" s="2" t="s">
        <v>63</v>
      </c>
      <c r="O1472" s="2" t="s">
        <v>900</v>
      </c>
      <c r="P1472" s="4">
        <v>253.10849999999999</v>
      </c>
      <c r="Q1472" s="4">
        <v>5</v>
      </c>
      <c r="R1472" s="4">
        <v>-21.2803</v>
      </c>
      <c r="S1472" s="2" t="s">
        <v>85</v>
      </c>
      <c r="T1472" s="2" t="s">
        <v>44</v>
      </c>
    </row>
    <row r="1473" spans="1:20" x14ac:dyDescent="0.25">
      <c r="A1473" s="2" t="s">
        <v>2659</v>
      </c>
      <c r="B1473" s="3">
        <v>42254</v>
      </c>
      <c r="C1473" s="3">
        <v>42258</v>
      </c>
      <c r="D1473" s="2" t="s">
        <v>21</v>
      </c>
      <c r="E1473" s="2" t="s">
        <v>304</v>
      </c>
      <c r="F1473" s="2" t="s">
        <v>305</v>
      </c>
      <c r="G1473" s="2" t="s">
        <v>58</v>
      </c>
      <c r="H1473" s="2" t="s">
        <v>25</v>
      </c>
      <c r="I1473" s="2" t="s">
        <v>105</v>
      </c>
      <c r="J1473" s="2" t="s">
        <v>106</v>
      </c>
      <c r="K1473" s="2" t="s">
        <v>61</v>
      </c>
      <c r="L1473" s="2" t="s">
        <v>933</v>
      </c>
      <c r="M1473" s="2" t="s">
        <v>30</v>
      </c>
      <c r="N1473" s="2" t="s">
        <v>162</v>
      </c>
      <c r="O1473" s="2" t="s">
        <v>934</v>
      </c>
      <c r="P1473" s="4">
        <v>871.2962</v>
      </c>
      <c r="Q1473" s="4">
        <v>3</v>
      </c>
      <c r="R1473" s="4">
        <v>-485.05399999999997</v>
      </c>
      <c r="S1473" s="2" t="s">
        <v>75</v>
      </c>
      <c r="T1473" s="2" t="s">
        <v>148</v>
      </c>
    </row>
    <row r="1474" spans="1:20" x14ac:dyDescent="0.25">
      <c r="A1474" s="2" t="s">
        <v>2660</v>
      </c>
      <c r="B1474" s="3">
        <v>42663</v>
      </c>
      <c r="C1474" s="3">
        <v>42668</v>
      </c>
      <c r="D1474" s="2" t="s">
        <v>55</v>
      </c>
      <c r="E1474" s="2" t="s">
        <v>498</v>
      </c>
      <c r="F1474" s="2" t="s">
        <v>499</v>
      </c>
      <c r="G1474" s="2" t="s">
        <v>58</v>
      </c>
      <c r="H1474" s="2" t="s">
        <v>25</v>
      </c>
      <c r="I1474" s="2" t="s">
        <v>198</v>
      </c>
      <c r="J1474" s="2" t="s">
        <v>199</v>
      </c>
      <c r="K1474" s="2" t="s">
        <v>82</v>
      </c>
      <c r="L1474" s="2" t="s">
        <v>174</v>
      </c>
      <c r="M1474" s="2" t="s">
        <v>30</v>
      </c>
      <c r="N1474" s="2" t="s">
        <v>31</v>
      </c>
      <c r="O1474" s="2" t="s">
        <v>175</v>
      </c>
      <c r="P1474" s="4">
        <v>107.9192</v>
      </c>
      <c r="Q1474" s="4">
        <v>8</v>
      </c>
      <c r="R1474" s="4">
        <v>18.3843</v>
      </c>
      <c r="S1474" s="2" t="s">
        <v>85</v>
      </c>
      <c r="T1474" s="2" t="s">
        <v>224</v>
      </c>
    </row>
    <row r="1475" spans="1:20" x14ac:dyDescent="0.25">
      <c r="A1475" s="2" t="s">
        <v>2660</v>
      </c>
      <c r="B1475" s="3">
        <v>42663</v>
      </c>
      <c r="C1475" s="3">
        <v>42668</v>
      </c>
      <c r="D1475" s="2" t="s">
        <v>55</v>
      </c>
      <c r="E1475" s="2" t="s">
        <v>498</v>
      </c>
      <c r="F1475" s="2" t="s">
        <v>499</v>
      </c>
      <c r="G1475" s="2" t="s">
        <v>58</v>
      </c>
      <c r="H1475" s="2" t="s">
        <v>25</v>
      </c>
      <c r="I1475" s="2" t="s">
        <v>198</v>
      </c>
      <c r="J1475" s="2" t="s">
        <v>199</v>
      </c>
      <c r="K1475" s="2" t="s">
        <v>82</v>
      </c>
      <c r="L1475" s="2" t="s">
        <v>139</v>
      </c>
      <c r="M1475" s="2" t="s">
        <v>30</v>
      </c>
      <c r="N1475" s="2" t="s">
        <v>42</v>
      </c>
      <c r="O1475" s="2" t="s">
        <v>140</v>
      </c>
      <c r="P1475" s="4">
        <v>151.47300000000001</v>
      </c>
      <c r="Q1475" s="4">
        <v>3</v>
      </c>
      <c r="R1475" s="4">
        <v>51.944200000000002</v>
      </c>
      <c r="S1475" s="2" t="s">
        <v>85</v>
      </c>
      <c r="T1475" s="2" t="s">
        <v>224</v>
      </c>
    </row>
    <row r="1476" spans="1:20" x14ac:dyDescent="0.25">
      <c r="A1476" s="2" t="s">
        <v>2661</v>
      </c>
      <c r="B1476" s="3">
        <v>41817</v>
      </c>
      <c r="C1476" s="3">
        <v>41819</v>
      </c>
      <c r="D1476" s="2" t="s">
        <v>48</v>
      </c>
      <c r="E1476" s="2" t="s">
        <v>429</v>
      </c>
      <c r="F1476" s="2" t="s">
        <v>430</v>
      </c>
      <c r="G1476" s="2" t="s">
        <v>38</v>
      </c>
      <c r="H1476" s="2" t="s">
        <v>25</v>
      </c>
      <c r="I1476" s="2" t="s">
        <v>250</v>
      </c>
      <c r="J1476" s="2" t="s">
        <v>251</v>
      </c>
      <c r="K1476" s="2" t="s">
        <v>147</v>
      </c>
      <c r="L1476" s="2" t="s">
        <v>254</v>
      </c>
      <c r="M1476" s="2" t="s">
        <v>30</v>
      </c>
      <c r="N1476" s="2" t="s">
        <v>162</v>
      </c>
      <c r="O1476" s="2" t="s">
        <v>255</v>
      </c>
      <c r="P1476" s="4">
        <v>411.17720000000003</v>
      </c>
      <c r="Q1476" s="4">
        <v>3</v>
      </c>
      <c r="R1476" s="4">
        <v>-47.224600000000002</v>
      </c>
      <c r="S1476" s="2" t="s">
        <v>53</v>
      </c>
      <c r="T1476" s="2" t="s">
        <v>133</v>
      </c>
    </row>
    <row r="1477" spans="1:20" x14ac:dyDescent="0.25">
      <c r="A1477" s="2" t="s">
        <v>2661</v>
      </c>
      <c r="B1477" s="3">
        <v>41817</v>
      </c>
      <c r="C1477" s="3">
        <v>41819</v>
      </c>
      <c r="D1477" s="2" t="s">
        <v>48</v>
      </c>
      <c r="E1477" s="2" t="s">
        <v>429</v>
      </c>
      <c r="F1477" s="2" t="s">
        <v>430</v>
      </c>
      <c r="G1477" s="2" t="s">
        <v>38</v>
      </c>
      <c r="H1477" s="2" t="s">
        <v>25</v>
      </c>
      <c r="I1477" s="2" t="s">
        <v>250</v>
      </c>
      <c r="J1477" s="2" t="s">
        <v>251</v>
      </c>
      <c r="K1477" s="2" t="s">
        <v>147</v>
      </c>
      <c r="L1477" s="2" t="s">
        <v>344</v>
      </c>
      <c r="M1477" s="2" t="s">
        <v>30</v>
      </c>
      <c r="N1477" s="2" t="s">
        <v>42</v>
      </c>
      <c r="O1477" s="2" t="s">
        <v>345</v>
      </c>
      <c r="P1477" s="4">
        <v>429.27879999999999</v>
      </c>
      <c r="Q1477" s="4">
        <v>9</v>
      </c>
      <c r="R1477" s="4">
        <v>-18.018699999999999</v>
      </c>
      <c r="S1477" s="2" t="s">
        <v>53</v>
      </c>
      <c r="T1477" s="2" t="s">
        <v>133</v>
      </c>
    </row>
    <row r="1478" spans="1:20" x14ac:dyDescent="0.25">
      <c r="A1478" s="2" t="s">
        <v>2662</v>
      </c>
      <c r="B1478" s="3">
        <v>42601</v>
      </c>
      <c r="C1478" s="3">
        <v>42603</v>
      </c>
      <c r="D1478" s="2" t="s">
        <v>55</v>
      </c>
      <c r="E1478" s="2" t="s">
        <v>1773</v>
      </c>
      <c r="F1478" s="2" t="s">
        <v>1774</v>
      </c>
      <c r="G1478" s="2" t="s">
        <v>58</v>
      </c>
      <c r="H1478" s="2" t="s">
        <v>25</v>
      </c>
      <c r="I1478" s="2" t="s">
        <v>216</v>
      </c>
      <c r="J1478" s="2" t="s">
        <v>217</v>
      </c>
      <c r="K1478" s="2" t="s">
        <v>82</v>
      </c>
      <c r="L1478" s="2" t="s">
        <v>174</v>
      </c>
      <c r="M1478" s="2" t="s">
        <v>30</v>
      </c>
      <c r="N1478" s="2" t="s">
        <v>31</v>
      </c>
      <c r="O1478" s="2" t="s">
        <v>175</v>
      </c>
      <c r="P1478" s="4">
        <v>346.3338</v>
      </c>
      <c r="Q1478" s="4">
        <v>3</v>
      </c>
      <c r="R1478" s="4">
        <v>203.82380000000001</v>
      </c>
      <c r="S1478" s="2" t="s">
        <v>53</v>
      </c>
      <c r="T1478" s="2" t="s">
        <v>34</v>
      </c>
    </row>
    <row r="1479" spans="1:20" x14ac:dyDescent="0.25">
      <c r="A1479" s="2" t="s">
        <v>2663</v>
      </c>
      <c r="B1479" s="3">
        <v>42676</v>
      </c>
      <c r="C1479" s="3">
        <v>42678</v>
      </c>
      <c r="D1479" s="2" t="s">
        <v>48</v>
      </c>
      <c r="E1479" s="2" t="s">
        <v>2664</v>
      </c>
      <c r="F1479" s="2" t="s">
        <v>2665</v>
      </c>
      <c r="G1479" s="2" t="s">
        <v>58</v>
      </c>
      <c r="H1479" s="2" t="s">
        <v>25</v>
      </c>
      <c r="I1479" s="2" t="s">
        <v>288</v>
      </c>
      <c r="J1479" s="2" t="s">
        <v>289</v>
      </c>
      <c r="K1479" s="2" t="s">
        <v>82</v>
      </c>
      <c r="L1479" s="2" t="s">
        <v>899</v>
      </c>
      <c r="M1479" s="2" t="s">
        <v>30</v>
      </c>
      <c r="N1479" s="2" t="s">
        <v>63</v>
      </c>
      <c r="O1479" s="2" t="s">
        <v>900</v>
      </c>
      <c r="P1479" s="4">
        <v>926.43349999999998</v>
      </c>
      <c r="Q1479" s="4">
        <v>4</v>
      </c>
      <c r="R1479" s="4">
        <v>-167.1498</v>
      </c>
      <c r="S1479" s="2" t="s">
        <v>53</v>
      </c>
      <c r="T1479" s="2" t="s">
        <v>93</v>
      </c>
    </row>
    <row r="1480" spans="1:20" x14ac:dyDescent="0.25">
      <c r="A1480" s="2" t="s">
        <v>2666</v>
      </c>
      <c r="B1480" s="3">
        <v>41880</v>
      </c>
      <c r="C1480" s="3">
        <v>41885</v>
      </c>
      <c r="D1480" s="2" t="s">
        <v>55</v>
      </c>
      <c r="E1480" s="2" t="s">
        <v>326</v>
      </c>
      <c r="F1480" s="2" t="s">
        <v>327</v>
      </c>
      <c r="G1480" s="2" t="s">
        <v>24</v>
      </c>
      <c r="H1480" s="2" t="s">
        <v>25</v>
      </c>
      <c r="I1480" s="2" t="s">
        <v>434</v>
      </c>
      <c r="J1480" s="2" t="s">
        <v>435</v>
      </c>
      <c r="K1480" s="2" t="s">
        <v>61</v>
      </c>
      <c r="L1480" s="2" t="s">
        <v>252</v>
      </c>
      <c r="M1480" s="2" t="s">
        <v>30</v>
      </c>
      <c r="N1480" s="2" t="s">
        <v>31</v>
      </c>
      <c r="O1480" s="2" t="s">
        <v>253</v>
      </c>
      <c r="P1480" s="4">
        <v>61.590899999999998</v>
      </c>
      <c r="Q1480" s="4">
        <v>4</v>
      </c>
      <c r="R1480" s="4">
        <v>3.2690000000000001</v>
      </c>
      <c r="S1480" s="2" t="s">
        <v>85</v>
      </c>
      <c r="T1480" s="2" t="s">
        <v>34</v>
      </c>
    </row>
    <row r="1481" spans="1:20" x14ac:dyDescent="0.25">
      <c r="A1481" s="2" t="s">
        <v>2667</v>
      </c>
      <c r="B1481" s="3">
        <v>42047</v>
      </c>
      <c r="C1481" s="3">
        <v>42047</v>
      </c>
      <c r="D1481" s="2" t="s">
        <v>21</v>
      </c>
      <c r="E1481" s="2" t="s">
        <v>1913</v>
      </c>
      <c r="F1481" s="2" t="s">
        <v>1914</v>
      </c>
      <c r="G1481" s="2" t="s">
        <v>58</v>
      </c>
      <c r="H1481" s="2" t="s">
        <v>25</v>
      </c>
      <c r="I1481" s="2" t="s">
        <v>338</v>
      </c>
      <c r="J1481" s="2" t="s">
        <v>339</v>
      </c>
      <c r="K1481" s="2" t="s">
        <v>82</v>
      </c>
      <c r="L1481" s="2" t="s">
        <v>99</v>
      </c>
      <c r="M1481" s="2" t="s">
        <v>30</v>
      </c>
      <c r="N1481" s="2" t="s">
        <v>42</v>
      </c>
      <c r="O1481" s="2" t="s">
        <v>100</v>
      </c>
      <c r="P1481" s="4">
        <v>106.45529999999999</v>
      </c>
      <c r="Q1481" s="4">
        <v>6</v>
      </c>
      <c r="R1481" s="4">
        <v>25.3476</v>
      </c>
      <c r="S1481" s="2" t="s">
        <v>121</v>
      </c>
      <c r="T1481" s="2" t="s">
        <v>101</v>
      </c>
    </row>
    <row r="1482" spans="1:20" x14ac:dyDescent="0.25">
      <c r="A1482" s="2" t="s">
        <v>2668</v>
      </c>
      <c r="B1482" s="3">
        <v>42835</v>
      </c>
      <c r="C1482" s="3">
        <v>42835</v>
      </c>
      <c r="D1482" s="2" t="s">
        <v>55</v>
      </c>
      <c r="E1482" s="2" t="s">
        <v>2669</v>
      </c>
      <c r="F1482" s="2" t="s">
        <v>2670</v>
      </c>
      <c r="G1482" s="2" t="s">
        <v>38</v>
      </c>
      <c r="H1482" s="2" t="s">
        <v>25</v>
      </c>
      <c r="I1482" s="2" t="s">
        <v>1212</v>
      </c>
      <c r="J1482" s="2" t="s">
        <v>496</v>
      </c>
      <c r="K1482" s="2" t="s">
        <v>147</v>
      </c>
      <c r="L1482" s="2" t="s">
        <v>154</v>
      </c>
      <c r="M1482" s="2" t="s">
        <v>30</v>
      </c>
      <c r="N1482" s="2" t="s">
        <v>42</v>
      </c>
      <c r="O1482" s="2" t="s">
        <v>155</v>
      </c>
      <c r="P1482" s="4">
        <v>723.64589999999998</v>
      </c>
      <c r="Q1482" s="4">
        <v>2</v>
      </c>
      <c r="R1482" s="4">
        <v>-318.43360000000001</v>
      </c>
      <c r="S1482" s="2" t="s">
        <v>121</v>
      </c>
      <c r="T1482" s="2" t="s">
        <v>108</v>
      </c>
    </row>
    <row r="1483" spans="1:20" x14ac:dyDescent="0.25">
      <c r="A1483" s="2" t="s">
        <v>2671</v>
      </c>
      <c r="B1483" s="3">
        <v>42520</v>
      </c>
      <c r="C1483" s="3">
        <v>42527</v>
      </c>
      <c r="D1483" s="2" t="s">
        <v>55</v>
      </c>
      <c r="E1483" s="2" t="s">
        <v>1901</v>
      </c>
      <c r="F1483" s="2" t="s">
        <v>1902</v>
      </c>
      <c r="G1483" s="2" t="s">
        <v>24</v>
      </c>
      <c r="H1483" s="2" t="s">
        <v>25</v>
      </c>
      <c r="I1483" s="2" t="s">
        <v>159</v>
      </c>
      <c r="J1483" s="2" t="s">
        <v>160</v>
      </c>
      <c r="K1483" s="2" t="s">
        <v>61</v>
      </c>
      <c r="L1483" s="2" t="s">
        <v>254</v>
      </c>
      <c r="M1483" s="2" t="s">
        <v>30</v>
      </c>
      <c r="N1483" s="2" t="s">
        <v>162</v>
      </c>
      <c r="O1483" s="2" t="s">
        <v>255</v>
      </c>
      <c r="P1483" s="4">
        <v>342.28859999999997</v>
      </c>
      <c r="Q1483" s="4">
        <v>7</v>
      </c>
      <c r="R1483" s="4">
        <v>36.107199999999999</v>
      </c>
      <c r="S1483" s="2" t="s">
        <v>107</v>
      </c>
      <c r="T1483" s="2" t="s">
        <v>122</v>
      </c>
    </row>
    <row r="1484" spans="1:20" x14ac:dyDescent="0.25">
      <c r="A1484" s="2" t="s">
        <v>2672</v>
      </c>
      <c r="B1484" s="3">
        <v>42504</v>
      </c>
      <c r="C1484" s="3">
        <v>42507</v>
      </c>
      <c r="D1484" s="2" t="s">
        <v>55</v>
      </c>
      <c r="E1484" s="2" t="s">
        <v>1770</v>
      </c>
      <c r="F1484" s="2" t="s">
        <v>1771</v>
      </c>
      <c r="G1484" s="2" t="s">
        <v>58</v>
      </c>
      <c r="H1484" s="2" t="s">
        <v>25</v>
      </c>
      <c r="I1484" s="2" t="s">
        <v>414</v>
      </c>
      <c r="J1484" s="2" t="s">
        <v>206</v>
      </c>
      <c r="K1484" s="2" t="s">
        <v>61</v>
      </c>
      <c r="L1484" s="2" t="s">
        <v>252</v>
      </c>
      <c r="M1484" s="2" t="s">
        <v>30</v>
      </c>
      <c r="N1484" s="2" t="s">
        <v>31</v>
      </c>
      <c r="O1484" s="2" t="s">
        <v>253</v>
      </c>
      <c r="P1484" s="4">
        <v>257.61439999999999</v>
      </c>
      <c r="Q1484" s="4">
        <v>5</v>
      </c>
      <c r="R1484" s="4">
        <v>-93.39</v>
      </c>
      <c r="S1484" s="2" t="s">
        <v>92</v>
      </c>
      <c r="T1484" s="2" t="s">
        <v>122</v>
      </c>
    </row>
    <row r="1485" spans="1:20" x14ac:dyDescent="0.25">
      <c r="A1485" s="2" t="s">
        <v>2672</v>
      </c>
      <c r="B1485" s="3">
        <v>42504</v>
      </c>
      <c r="C1485" s="3">
        <v>42507</v>
      </c>
      <c r="D1485" s="2" t="s">
        <v>55</v>
      </c>
      <c r="E1485" s="2" t="s">
        <v>1770</v>
      </c>
      <c r="F1485" s="2" t="s">
        <v>1771</v>
      </c>
      <c r="G1485" s="2" t="s">
        <v>58</v>
      </c>
      <c r="H1485" s="2" t="s">
        <v>25</v>
      </c>
      <c r="I1485" s="2" t="s">
        <v>414</v>
      </c>
      <c r="J1485" s="2" t="s">
        <v>206</v>
      </c>
      <c r="K1485" s="2" t="s">
        <v>61</v>
      </c>
      <c r="L1485" s="2" t="s">
        <v>415</v>
      </c>
      <c r="M1485" s="2" t="s">
        <v>30</v>
      </c>
      <c r="N1485" s="2" t="s">
        <v>63</v>
      </c>
      <c r="O1485" s="2" t="s">
        <v>416</v>
      </c>
      <c r="P1485" s="4">
        <v>233.67089999999999</v>
      </c>
      <c r="Q1485" s="4">
        <v>3</v>
      </c>
      <c r="R1485" s="4">
        <v>-128.11189999999999</v>
      </c>
      <c r="S1485" s="2" t="s">
        <v>92</v>
      </c>
      <c r="T1485" s="2" t="s">
        <v>122</v>
      </c>
    </row>
    <row r="1486" spans="1:20" x14ac:dyDescent="0.25">
      <c r="A1486" s="2" t="s">
        <v>2673</v>
      </c>
      <c r="B1486" s="3">
        <v>42808</v>
      </c>
      <c r="C1486" s="3">
        <v>42810</v>
      </c>
      <c r="D1486" s="2" t="s">
        <v>55</v>
      </c>
      <c r="E1486" s="2" t="s">
        <v>2395</v>
      </c>
      <c r="F1486" s="2" t="s">
        <v>2396</v>
      </c>
      <c r="G1486" s="2" t="s">
        <v>58</v>
      </c>
      <c r="H1486" s="2" t="s">
        <v>25</v>
      </c>
      <c r="I1486" s="2" t="s">
        <v>26</v>
      </c>
      <c r="J1486" s="2" t="s">
        <v>91</v>
      </c>
      <c r="K1486" s="2" t="s">
        <v>61</v>
      </c>
      <c r="L1486" s="2" t="s">
        <v>41</v>
      </c>
      <c r="M1486" s="2" t="s">
        <v>30</v>
      </c>
      <c r="N1486" s="2" t="s">
        <v>42</v>
      </c>
      <c r="O1486" s="2" t="s">
        <v>43</v>
      </c>
      <c r="P1486" s="4">
        <v>1198.6914999999999</v>
      </c>
      <c r="Q1486" s="4">
        <v>2</v>
      </c>
      <c r="R1486" s="4">
        <v>177.80189999999999</v>
      </c>
      <c r="S1486" s="2" t="s">
        <v>53</v>
      </c>
      <c r="T1486" s="2" t="s">
        <v>44</v>
      </c>
    </row>
    <row r="1487" spans="1:20" x14ac:dyDescent="0.25">
      <c r="A1487" s="2" t="s">
        <v>2674</v>
      </c>
      <c r="B1487" s="3">
        <v>42115</v>
      </c>
      <c r="C1487" s="3">
        <v>42115</v>
      </c>
      <c r="D1487" s="2" t="s">
        <v>55</v>
      </c>
      <c r="E1487" s="2" t="s">
        <v>2162</v>
      </c>
      <c r="F1487" s="2" t="s">
        <v>2163</v>
      </c>
      <c r="G1487" s="2" t="s">
        <v>58</v>
      </c>
      <c r="H1487" s="2" t="s">
        <v>25</v>
      </c>
      <c r="I1487" s="2" t="s">
        <v>233</v>
      </c>
      <c r="J1487" s="2" t="s">
        <v>234</v>
      </c>
      <c r="K1487" s="2" t="s">
        <v>82</v>
      </c>
      <c r="L1487" s="2" t="s">
        <v>29</v>
      </c>
      <c r="M1487" s="2" t="s">
        <v>30</v>
      </c>
      <c r="N1487" s="2" t="s">
        <v>31</v>
      </c>
      <c r="O1487" s="2" t="s">
        <v>32</v>
      </c>
      <c r="P1487" s="4">
        <v>51.418199999999999</v>
      </c>
      <c r="Q1487" s="4">
        <v>2</v>
      </c>
      <c r="R1487" s="4">
        <v>17.463899999999999</v>
      </c>
      <c r="S1487" s="2" t="s">
        <v>121</v>
      </c>
      <c r="T1487" s="2" t="s">
        <v>108</v>
      </c>
    </row>
    <row r="1488" spans="1:20" x14ac:dyDescent="0.25">
      <c r="A1488" s="2" t="s">
        <v>2675</v>
      </c>
      <c r="B1488" s="3">
        <v>42726</v>
      </c>
      <c r="C1488" s="3">
        <v>42726</v>
      </c>
      <c r="D1488" s="2" t="s">
        <v>48</v>
      </c>
      <c r="E1488" s="2" t="s">
        <v>2640</v>
      </c>
      <c r="F1488" s="2" t="s">
        <v>2641</v>
      </c>
      <c r="G1488" s="2" t="s">
        <v>24</v>
      </c>
      <c r="H1488" s="2" t="s">
        <v>25</v>
      </c>
      <c r="I1488" s="2" t="s">
        <v>321</v>
      </c>
      <c r="J1488" s="2" t="s">
        <v>322</v>
      </c>
      <c r="K1488" s="2" t="s">
        <v>28</v>
      </c>
      <c r="L1488" s="2" t="s">
        <v>200</v>
      </c>
      <c r="M1488" s="2" t="s">
        <v>30</v>
      </c>
      <c r="N1488" s="2" t="s">
        <v>162</v>
      </c>
      <c r="O1488" s="2" t="s">
        <v>201</v>
      </c>
      <c r="P1488" s="4">
        <v>318.35649999999998</v>
      </c>
      <c r="Q1488" s="4">
        <v>1</v>
      </c>
      <c r="R1488" s="4">
        <v>-106.1048</v>
      </c>
      <c r="S1488" s="2" t="s">
        <v>121</v>
      </c>
      <c r="T1488" s="2" t="s">
        <v>76</v>
      </c>
    </row>
    <row r="1489" spans="1:20" x14ac:dyDescent="0.25">
      <c r="A1489" s="2" t="s">
        <v>2676</v>
      </c>
      <c r="B1489" s="3">
        <v>42078</v>
      </c>
      <c r="C1489" s="3">
        <v>42078</v>
      </c>
      <c r="D1489" s="2" t="s">
        <v>48</v>
      </c>
      <c r="E1489" s="2" t="s">
        <v>1557</v>
      </c>
      <c r="F1489" s="2" t="s">
        <v>1558</v>
      </c>
      <c r="G1489" s="2" t="s">
        <v>58</v>
      </c>
      <c r="H1489" s="2" t="s">
        <v>25</v>
      </c>
      <c r="I1489" s="2" t="s">
        <v>152</v>
      </c>
      <c r="J1489" s="2" t="s">
        <v>153</v>
      </c>
      <c r="K1489" s="2" t="s">
        <v>147</v>
      </c>
      <c r="L1489" s="2" t="s">
        <v>513</v>
      </c>
      <c r="M1489" s="2" t="s">
        <v>30</v>
      </c>
      <c r="N1489" s="2" t="s">
        <v>63</v>
      </c>
      <c r="O1489" s="2" t="s">
        <v>514</v>
      </c>
      <c r="P1489" s="4">
        <v>634.84739999999999</v>
      </c>
      <c r="Q1489" s="4">
        <v>3</v>
      </c>
      <c r="R1489" s="4">
        <v>132.3931</v>
      </c>
      <c r="S1489" s="2" t="s">
        <v>121</v>
      </c>
      <c r="T1489" s="2" t="s">
        <v>44</v>
      </c>
    </row>
    <row r="1490" spans="1:20" x14ac:dyDescent="0.25">
      <c r="A1490" s="2" t="s">
        <v>2676</v>
      </c>
      <c r="B1490" s="3">
        <v>42078</v>
      </c>
      <c r="C1490" s="3">
        <v>42078</v>
      </c>
      <c r="D1490" s="2" t="s">
        <v>48</v>
      </c>
      <c r="E1490" s="2" t="s">
        <v>1557</v>
      </c>
      <c r="F1490" s="2" t="s">
        <v>1558</v>
      </c>
      <c r="G1490" s="2" t="s">
        <v>58</v>
      </c>
      <c r="H1490" s="2" t="s">
        <v>25</v>
      </c>
      <c r="I1490" s="2" t="s">
        <v>152</v>
      </c>
      <c r="J1490" s="2" t="s">
        <v>153</v>
      </c>
      <c r="K1490" s="2" t="s">
        <v>147</v>
      </c>
      <c r="L1490" s="2" t="s">
        <v>252</v>
      </c>
      <c r="M1490" s="2" t="s">
        <v>30</v>
      </c>
      <c r="N1490" s="2" t="s">
        <v>31</v>
      </c>
      <c r="O1490" s="2" t="s">
        <v>253</v>
      </c>
      <c r="P1490" s="4">
        <v>820.59140000000002</v>
      </c>
      <c r="Q1490" s="4">
        <v>3</v>
      </c>
      <c r="R1490" s="4">
        <v>432.6259</v>
      </c>
      <c r="S1490" s="2" t="s">
        <v>121</v>
      </c>
      <c r="T1490" s="2" t="s">
        <v>44</v>
      </c>
    </row>
    <row r="1491" spans="1:20" x14ac:dyDescent="0.25">
      <c r="A1491" s="2" t="s">
        <v>2677</v>
      </c>
      <c r="B1491" s="3">
        <v>42799</v>
      </c>
      <c r="C1491" s="3">
        <v>42800</v>
      </c>
      <c r="D1491" s="2" t="s">
        <v>48</v>
      </c>
      <c r="E1491" s="2" t="s">
        <v>2678</v>
      </c>
      <c r="F1491" s="2" t="s">
        <v>2679</v>
      </c>
      <c r="G1491" s="2" t="s">
        <v>38</v>
      </c>
      <c r="H1491" s="2" t="s">
        <v>25</v>
      </c>
      <c r="I1491" s="2" t="s">
        <v>699</v>
      </c>
      <c r="J1491" s="2" t="s">
        <v>339</v>
      </c>
      <c r="K1491" s="2" t="s">
        <v>82</v>
      </c>
      <c r="L1491" s="2" t="s">
        <v>174</v>
      </c>
      <c r="M1491" s="2" t="s">
        <v>30</v>
      </c>
      <c r="N1491" s="2" t="s">
        <v>31</v>
      </c>
      <c r="O1491" s="2" t="s">
        <v>175</v>
      </c>
      <c r="P1491" s="4">
        <v>2</v>
      </c>
      <c r="Q1491" s="4">
        <v>4</v>
      </c>
      <c r="R1491" s="4">
        <v>4.0000000000000001E-3</v>
      </c>
      <c r="S1491" s="2" t="s">
        <v>33</v>
      </c>
      <c r="T1491" s="2" t="s">
        <v>44</v>
      </c>
    </row>
    <row r="1492" spans="1:20" x14ac:dyDescent="0.25">
      <c r="A1492" s="2" t="s">
        <v>2680</v>
      </c>
      <c r="B1492" s="3">
        <v>42296</v>
      </c>
      <c r="C1492" s="3">
        <v>42297</v>
      </c>
      <c r="D1492" s="2" t="s">
        <v>21</v>
      </c>
      <c r="E1492" s="2" t="s">
        <v>2286</v>
      </c>
      <c r="F1492" s="2" t="s">
        <v>2287</v>
      </c>
      <c r="G1492" s="2" t="s">
        <v>58</v>
      </c>
      <c r="H1492" s="2" t="s">
        <v>25</v>
      </c>
      <c r="I1492" s="2" t="s">
        <v>105</v>
      </c>
      <c r="J1492" s="2" t="s">
        <v>106</v>
      </c>
      <c r="K1492" s="2" t="s">
        <v>61</v>
      </c>
      <c r="L1492" s="2" t="s">
        <v>344</v>
      </c>
      <c r="M1492" s="2" t="s">
        <v>30</v>
      </c>
      <c r="N1492" s="2" t="s">
        <v>42</v>
      </c>
      <c r="O1492" s="2" t="s">
        <v>345</v>
      </c>
      <c r="P1492" s="4">
        <v>503.00659999999999</v>
      </c>
      <c r="Q1492" s="4">
        <v>2</v>
      </c>
      <c r="R1492" s="4">
        <v>20.514700000000001</v>
      </c>
      <c r="S1492" s="2" t="s">
        <v>33</v>
      </c>
      <c r="T1492" s="2" t="s">
        <v>224</v>
      </c>
    </row>
    <row r="1493" spans="1:20" x14ac:dyDescent="0.25">
      <c r="A1493" s="2" t="s">
        <v>2681</v>
      </c>
      <c r="B1493" s="3">
        <v>42683</v>
      </c>
      <c r="C1493" s="3">
        <v>42684</v>
      </c>
      <c r="D1493" s="2" t="s">
        <v>55</v>
      </c>
      <c r="E1493" s="2" t="s">
        <v>2682</v>
      </c>
      <c r="F1493" s="2" t="s">
        <v>2683</v>
      </c>
      <c r="G1493" s="2" t="s">
        <v>24</v>
      </c>
      <c r="H1493" s="2" t="s">
        <v>25</v>
      </c>
      <c r="I1493" s="2" t="s">
        <v>760</v>
      </c>
      <c r="J1493" s="2" t="s">
        <v>112</v>
      </c>
      <c r="K1493" s="2" t="s">
        <v>28</v>
      </c>
      <c r="L1493" s="2" t="s">
        <v>415</v>
      </c>
      <c r="M1493" s="2" t="s">
        <v>30</v>
      </c>
      <c r="N1493" s="2" t="s">
        <v>63</v>
      </c>
      <c r="O1493" s="2" t="s">
        <v>416</v>
      </c>
      <c r="P1493" s="4">
        <v>513.42439999999999</v>
      </c>
      <c r="Q1493" s="4">
        <v>3</v>
      </c>
      <c r="R1493" s="4">
        <v>-199.54750000000001</v>
      </c>
      <c r="S1493" s="2" t="s">
        <v>33</v>
      </c>
      <c r="T1493" s="2" t="s">
        <v>93</v>
      </c>
    </row>
    <row r="1494" spans="1:20" x14ac:dyDescent="0.25">
      <c r="A1494" s="2" t="s">
        <v>2684</v>
      </c>
      <c r="B1494" s="3">
        <v>42790</v>
      </c>
      <c r="C1494" s="3">
        <v>42797</v>
      </c>
      <c r="D1494" s="2" t="s">
        <v>55</v>
      </c>
      <c r="E1494" s="2" t="s">
        <v>1635</v>
      </c>
      <c r="F1494" s="2" t="s">
        <v>1636</v>
      </c>
      <c r="G1494" s="2" t="s">
        <v>38</v>
      </c>
      <c r="H1494" s="2" t="s">
        <v>25</v>
      </c>
      <c r="I1494" s="2" t="s">
        <v>350</v>
      </c>
      <c r="J1494" s="2" t="s">
        <v>351</v>
      </c>
      <c r="K1494" s="2" t="s">
        <v>147</v>
      </c>
      <c r="L1494" s="2" t="s">
        <v>186</v>
      </c>
      <c r="M1494" s="2" t="s">
        <v>30</v>
      </c>
      <c r="N1494" s="2" t="s">
        <v>31</v>
      </c>
      <c r="O1494" s="2" t="s">
        <v>187</v>
      </c>
      <c r="P1494" s="4">
        <v>27.956299999999999</v>
      </c>
      <c r="Q1494" s="4">
        <v>1</v>
      </c>
      <c r="R1494" s="4">
        <v>2.1996000000000002</v>
      </c>
      <c r="S1494" s="2" t="s">
        <v>107</v>
      </c>
      <c r="T1494" s="2" t="s">
        <v>101</v>
      </c>
    </row>
    <row r="1495" spans="1:20" x14ac:dyDescent="0.25">
      <c r="A1495" s="2" t="s">
        <v>2685</v>
      </c>
      <c r="B1495" s="3">
        <v>42261</v>
      </c>
      <c r="C1495" s="3">
        <v>42263</v>
      </c>
      <c r="D1495" s="2" t="s">
        <v>55</v>
      </c>
      <c r="E1495" s="2" t="s">
        <v>1335</v>
      </c>
      <c r="F1495" s="2" t="s">
        <v>1336</v>
      </c>
      <c r="G1495" s="2" t="s">
        <v>24</v>
      </c>
      <c r="H1495" s="2" t="s">
        <v>25</v>
      </c>
      <c r="I1495" s="2" t="s">
        <v>639</v>
      </c>
      <c r="J1495" s="2" t="s">
        <v>192</v>
      </c>
      <c r="K1495" s="2" t="s">
        <v>82</v>
      </c>
      <c r="L1495" s="2" t="s">
        <v>618</v>
      </c>
      <c r="M1495" s="2" t="s">
        <v>30</v>
      </c>
      <c r="N1495" s="2" t="s">
        <v>63</v>
      </c>
      <c r="O1495" s="2" t="s">
        <v>619</v>
      </c>
      <c r="P1495" s="4">
        <v>1257.5075999999999</v>
      </c>
      <c r="Q1495" s="4">
        <v>2</v>
      </c>
      <c r="R1495" s="4">
        <v>-342.5172</v>
      </c>
      <c r="S1495" s="2" t="s">
        <v>53</v>
      </c>
      <c r="T1495" s="2" t="s">
        <v>148</v>
      </c>
    </row>
    <row r="1496" spans="1:20" x14ac:dyDescent="0.25">
      <c r="A1496" s="2" t="s">
        <v>2686</v>
      </c>
      <c r="B1496" s="3">
        <v>42341</v>
      </c>
      <c r="C1496" s="3">
        <v>42346</v>
      </c>
      <c r="D1496" s="2" t="s">
        <v>55</v>
      </c>
      <c r="E1496" s="2" t="s">
        <v>2687</v>
      </c>
      <c r="F1496" s="2" t="s">
        <v>2688</v>
      </c>
      <c r="G1496" s="2" t="s">
        <v>38</v>
      </c>
      <c r="H1496" s="2" t="s">
        <v>25</v>
      </c>
      <c r="I1496" s="2" t="s">
        <v>969</v>
      </c>
      <c r="J1496" s="2" t="s">
        <v>387</v>
      </c>
      <c r="K1496" s="2" t="s">
        <v>61</v>
      </c>
      <c r="L1496" s="2" t="s">
        <v>228</v>
      </c>
      <c r="M1496" s="2" t="s">
        <v>30</v>
      </c>
      <c r="N1496" s="2" t="s">
        <v>42</v>
      </c>
      <c r="O1496" s="2" t="s">
        <v>229</v>
      </c>
      <c r="P1496" s="4">
        <v>491.10489999999999</v>
      </c>
      <c r="Q1496" s="4">
        <v>2</v>
      </c>
      <c r="R1496" s="4">
        <v>77.623000000000005</v>
      </c>
      <c r="S1496" s="2" t="s">
        <v>85</v>
      </c>
      <c r="T1496" s="2" t="s">
        <v>76</v>
      </c>
    </row>
    <row r="1497" spans="1:20" x14ac:dyDescent="0.25">
      <c r="A1497" s="2" t="s">
        <v>2686</v>
      </c>
      <c r="B1497" s="3">
        <v>42341</v>
      </c>
      <c r="C1497" s="3">
        <v>42346</v>
      </c>
      <c r="D1497" s="2" t="s">
        <v>55</v>
      </c>
      <c r="E1497" s="2" t="s">
        <v>2687</v>
      </c>
      <c r="F1497" s="2" t="s">
        <v>2688</v>
      </c>
      <c r="G1497" s="2" t="s">
        <v>38</v>
      </c>
      <c r="H1497" s="2" t="s">
        <v>25</v>
      </c>
      <c r="I1497" s="2" t="s">
        <v>969</v>
      </c>
      <c r="J1497" s="2" t="s">
        <v>387</v>
      </c>
      <c r="K1497" s="2" t="s">
        <v>61</v>
      </c>
      <c r="L1497" s="2" t="s">
        <v>186</v>
      </c>
      <c r="M1497" s="2" t="s">
        <v>30</v>
      </c>
      <c r="N1497" s="2" t="s">
        <v>31</v>
      </c>
      <c r="O1497" s="2" t="s">
        <v>187</v>
      </c>
      <c r="P1497" s="4">
        <v>60.820099999999996</v>
      </c>
      <c r="Q1497" s="4">
        <v>2</v>
      </c>
      <c r="R1497" s="4">
        <v>1.7656000000000001</v>
      </c>
      <c r="S1497" s="2" t="s">
        <v>85</v>
      </c>
      <c r="T1497" s="2" t="s">
        <v>76</v>
      </c>
    </row>
    <row r="1498" spans="1:20" x14ac:dyDescent="0.25">
      <c r="A1498" s="2" t="s">
        <v>2689</v>
      </c>
      <c r="B1498" s="3">
        <v>42267</v>
      </c>
      <c r="C1498" s="3">
        <v>42270</v>
      </c>
      <c r="D1498" s="2" t="s">
        <v>55</v>
      </c>
      <c r="E1498" s="2" t="s">
        <v>1434</v>
      </c>
      <c r="F1498" s="2" t="s">
        <v>1435</v>
      </c>
      <c r="G1498" s="2" t="s">
        <v>38</v>
      </c>
      <c r="H1498" s="2" t="s">
        <v>25</v>
      </c>
      <c r="I1498" s="2" t="s">
        <v>288</v>
      </c>
      <c r="J1498" s="2" t="s">
        <v>289</v>
      </c>
      <c r="K1498" s="2" t="s">
        <v>82</v>
      </c>
      <c r="L1498" s="2" t="s">
        <v>323</v>
      </c>
      <c r="M1498" s="2" t="s">
        <v>30</v>
      </c>
      <c r="N1498" s="2" t="s">
        <v>31</v>
      </c>
      <c r="O1498" s="2" t="s">
        <v>324</v>
      </c>
      <c r="P1498" s="4">
        <v>46.410899999999998</v>
      </c>
      <c r="Q1498" s="4">
        <v>4</v>
      </c>
      <c r="R1498" s="4">
        <v>-1.6358999999999999</v>
      </c>
      <c r="S1498" s="2" t="s">
        <v>92</v>
      </c>
      <c r="T1498" s="2" t="s">
        <v>148</v>
      </c>
    </row>
    <row r="1499" spans="1:20" x14ac:dyDescent="0.25">
      <c r="A1499" s="2" t="s">
        <v>2690</v>
      </c>
      <c r="B1499" s="3">
        <v>43049</v>
      </c>
      <c r="C1499" s="3">
        <v>43056</v>
      </c>
      <c r="D1499" s="2" t="s">
        <v>55</v>
      </c>
      <c r="E1499" s="2" t="s">
        <v>1249</v>
      </c>
      <c r="F1499" s="2" t="s">
        <v>1250</v>
      </c>
      <c r="G1499" s="2" t="s">
        <v>38</v>
      </c>
      <c r="H1499" s="2" t="s">
        <v>25</v>
      </c>
      <c r="I1499" s="2" t="s">
        <v>539</v>
      </c>
      <c r="J1499" s="2" t="s">
        <v>91</v>
      </c>
      <c r="K1499" s="2" t="s">
        <v>61</v>
      </c>
      <c r="L1499" s="2" t="s">
        <v>154</v>
      </c>
      <c r="M1499" s="2" t="s">
        <v>30</v>
      </c>
      <c r="N1499" s="2" t="s">
        <v>42</v>
      </c>
      <c r="O1499" s="2" t="s">
        <v>155</v>
      </c>
      <c r="P1499" s="4">
        <v>347.24880000000002</v>
      </c>
      <c r="Q1499" s="4">
        <v>1</v>
      </c>
      <c r="R1499" s="4">
        <v>79.584500000000006</v>
      </c>
      <c r="S1499" s="2" t="s">
        <v>107</v>
      </c>
      <c r="T1499" s="2" t="s">
        <v>93</v>
      </c>
    </row>
    <row r="1500" spans="1:20" x14ac:dyDescent="0.25">
      <c r="A1500" s="2" t="s">
        <v>2691</v>
      </c>
      <c r="B1500" s="3">
        <v>42236</v>
      </c>
      <c r="C1500" s="3">
        <v>42242</v>
      </c>
      <c r="D1500" s="2" t="s">
        <v>55</v>
      </c>
      <c r="E1500" s="2" t="s">
        <v>1799</v>
      </c>
      <c r="F1500" s="2" t="s">
        <v>1800</v>
      </c>
      <c r="G1500" s="2" t="s">
        <v>38</v>
      </c>
      <c r="H1500" s="2" t="s">
        <v>25</v>
      </c>
      <c r="I1500" s="2" t="s">
        <v>1118</v>
      </c>
      <c r="J1500" s="2" t="s">
        <v>435</v>
      </c>
      <c r="K1500" s="2" t="s">
        <v>61</v>
      </c>
      <c r="L1500" s="2" t="s">
        <v>344</v>
      </c>
      <c r="M1500" s="2" t="s">
        <v>30</v>
      </c>
      <c r="N1500" s="2" t="s">
        <v>42</v>
      </c>
      <c r="O1500" s="2" t="s">
        <v>345</v>
      </c>
      <c r="P1500" s="4">
        <v>848.93039999999996</v>
      </c>
      <c r="Q1500" s="4">
        <v>4</v>
      </c>
      <c r="R1500" s="4">
        <v>362.20310000000001</v>
      </c>
      <c r="S1500" s="2" t="s">
        <v>65</v>
      </c>
      <c r="T1500" s="2" t="s">
        <v>34</v>
      </c>
    </row>
    <row r="1501" spans="1:20" x14ac:dyDescent="0.25">
      <c r="A1501" s="2" t="s">
        <v>2692</v>
      </c>
      <c r="B1501" s="3">
        <v>42580</v>
      </c>
      <c r="C1501" s="3">
        <v>42580</v>
      </c>
      <c r="D1501" s="2" t="s">
        <v>142</v>
      </c>
      <c r="E1501" s="2" t="s">
        <v>1635</v>
      </c>
      <c r="F1501" s="2" t="s">
        <v>1636</v>
      </c>
      <c r="G1501" s="2" t="s">
        <v>58</v>
      </c>
      <c r="H1501" s="2" t="s">
        <v>25</v>
      </c>
      <c r="I1501" s="2" t="s">
        <v>910</v>
      </c>
      <c r="J1501" s="2" t="s">
        <v>260</v>
      </c>
      <c r="K1501" s="2" t="s">
        <v>147</v>
      </c>
      <c r="L1501" s="2" t="s">
        <v>174</v>
      </c>
      <c r="M1501" s="2" t="s">
        <v>30</v>
      </c>
      <c r="N1501" s="2" t="s">
        <v>31</v>
      </c>
      <c r="O1501" s="2" t="s">
        <v>175</v>
      </c>
      <c r="P1501" s="4">
        <v>38.9251</v>
      </c>
      <c r="Q1501" s="4">
        <v>1</v>
      </c>
      <c r="R1501" s="4">
        <v>8.6479999999999997</v>
      </c>
      <c r="S1501" s="2" t="s">
        <v>121</v>
      </c>
      <c r="T1501" s="2" t="s">
        <v>86</v>
      </c>
    </row>
    <row r="1502" spans="1:20" x14ac:dyDescent="0.25">
      <c r="A1502" s="2" t="s">
        <v>2693</v>
      </c>
      <c r="B1502" s="3">
        <v>41776</v>
      </c>
      <c r="C1502" s="3">
        <v>41778</v>
      </c>
      <c r="D1502" s="2" t="s">
        <v>48</v>
      </c>
      <c r="E1502" s="2" t="s">
        <v>1666</v>
      </c>
      <c r="F1502" s="2" t="s">
        <v>1667</v>
      </c>
      <c r="G1502" s="2" t="s">
        <v>24</v>
      </c>
      <c r="H1502" s="2" t="s">
        <v>25</v>
      </c>
      <c r="I1502" s="2" t="s">
        <v>382</v>
      </c>
      <c r="J1502" s="2" t="s">
        <v>192</v>
      </c>
      <c r="K1502" s="2" t="s">
        <v>82</v>
      </c>
      <c r="L1502" s="2" t="s">
        <v>41</v>
      </c>
      <c r="M1502" s="2" t="s">
        <v>30</v>
      </c>
      <c r="N1502" s="2" t="s">
        <v>42</v>
      </c>
      <c r="O1502" s="2" t="s">
        <v>43</v>
      </c>
      <c r="P1502" s="4">
        <v>768.35649999999998</v>
      </c>
      <c r="Q1502" s="4">
        <v>4</v>
      </c>
      <c r="R1502" s="4">
        <v>137.2867</v>
      </c>
      <c r="S1502" s="2" t="s">
        <v>53</v>
      </c>
      <c r="T1502" s="2" t="s">
        <v>122</v>
      </c>
    </row>
    <row r="1503" spans="1:20" x14ac:dyDescent="0.25">
      <c r="A1503" s="2" t="s">
        <v>2694</v>
      </c>
      <c r="B1503" s="3">
        <v>42515</v>
      </c>
      <c r="C1503" s="3">
        <v>42517</v>
      </c>
      <c r="D1503" s="2" t="s">
        <v>55</v>
      </c>
      <c r="E1503" s="2" t="s">
        <v>931</v>
      </c>
      <c r="F1503" s="2" t="s">
        <v>932</v>
      </c>
      <c r="G1503" s="2" t="s">
        <v>58</v>
      </c>
      <c r="H1503" s="2" t="s">
        <v>25</v>
      </c>
      <c r="I1503" s="2" t="s">
        <v>829</v>
      </c>
      <c r="J1503" s="2" t="s">
        <v>199</v>
      </c>
      <c r="K1503" s="2" t="s">
        <v>82</v>
      </c>
      <c r="L1503" s="2" t="s">
        <v>174</v>
      </c>
      <c r="M1503" s="2" t="s">
        <v>30</v>
      </c>
      <c r="N1503" s="2" t="s">
        <v>31</v>
      </c>
      <c r="O1503" s="2" t="s">
        <v>175</v>
      </c>
      <c r="P1503" s="4">
        <v>74.173000000000002</v>
      </c>
      <c r="Q1503" s="4">
        <v>3</v>
      </c>
      <c r="R1503" s="4">
        <v>19.083500000000001</v>
      </c>
      <c r="S1503" s="2" t="s">
        <v>53</v>
      </c>
      <c r="T1503" s="2" t="s">
        <v>122</v>
      </c>
    </row>
    <row r="1504" spans="1:20" x14ac:dyDescent="0.25">
      <c r="A1504" s="2" t="s">
        <v>2695</v>
      </c>
      <c r="B1504" s="3">
        <v>41724</v>
      </c>
      <c r="C1504" s="3">
        <v>41726</v>
      </c>
      <c r="D1504" s="2" t="s">
        <v>48</v>
      </c>
      <c r="E1504" s="2" t="s">
        <v>1028</v>
      </c>
      <c r="F1504" s="2" t="s">
        <v>1029</v>
      </c>
      <c r="G1504" s="2" t="s">
        <v>58</v>
      </c>
      <c r="H1504" s="2" t="s">
        <v>25</v>
      </c>
      <c r="I1504" s="2" t="s">
        <v>434</v>
      </c>
      <c r="J1504" s="2" t="s">
        <v>435</v>
      </c>
      <c r="K1504" s="2" t="s">
        <v>61</v>
      </c>
      <c r="L1504" s="2" t="s">
        <v>311</v>
      </c>
      <c r="M1504" s="2" t="s">
        <v>30</v>
      </c>
      <c r="N1504" s="2" t="s">
        <v>63</v>
      </c>
      <c r="O1504" s="2" t="s">
        <v>312</v>
      </c>
      <c r="P1504" s="4">
        <v>537.74720000000002</v>
      </c>
      <c r="Q1504" s="4">
        <v>1</v>
      </c>
      <c r="R1504" s="4">
        <v>-295.54390000000001</v>
      </c>
      <c r="S1504" s="2" t="s">
        <v>53</v>
      </c>
      <c r="T1504" s="2" t="s">
        <v>44</v>
      </c>
    </row>
    <row r="1505" spans="1:20" x14ac:dyDescent="0.25">
      <c r="A1505" s="2" t="s">
        <v>2696</v>
      </c>
      <c r="B1505" s="3">
        <v>42800</v>
      </c>
      <c r="C1505" s="3">
        <v>42803</v>
      </c>
      <c r="D1505" s="2" t="s">
        <v>55</v>
      </c>
      <c r="E1505" s="2" t="s">
        <v>1701</v>
      </c>
      <c r="F1505" s="2" t="s">
        <v>1702</v>
      </c>
      <c r="G1505" s="2" t="s">
        <v>58</v>
      </c>
      <c r="H1505" s="2" t="s">
        <v>25</v>
      </c>
      <c r="I1505" s="2" t="s">
        <v>386</v>
      </c>
      <c r="J1505" s="2" t="s">
        <v>387</v>
      </c>
      <c r="K1505" s="2" t="s">
        <v>61</v>
      </c>
      <c r="L1505" s="2" t="s">
        <v>131</v>
      </c>
      <c r="M1505" s="2" t="s">
        <v>30</v>
      </c>
      <c r="N1505" s="2" t="s">
        <v>31</v>
      </c>
      <c r="O1505" s="2" t="s">
        <v>132</v>
      </c>
      <c r="P1505" s="4">
        <v>34.642899999999997</v>
      </c>
      <c r="Q1505" s="4">
        <v>4</v>
      </c>
      <c r="R1505" s="4">
        <v>-5.8242000000000003</v>
      </c>
      <c r="S1505" s="2" t="s">
        <v>92</v>
      </c>
      <c r="T1505" s="2" t="s">
        <v>44</v>
      </c>
    </row>
    <row r="1506" spans="1:20" x14ac:dyDescent="0.25">
      <c r="A1506" s="2" t="s">
        <v>2697</v>
      </c>
      <c r="B1506" s="3">
        <v>42771</v>
      </c>
      <c r="C1506" s="3">
        <v>42772</v>
      </c>
      <c r="D1506" s="2" t="s">
        <v>48</v>
      </c>
      <c r="E1506" s="2" t="s">
        <v>647</v>
      </c>
      <c r="F1506" s="2" t="s">
        <v>648</v>
      </c>
      <c r="G1506" s="2" t="s">
        <v>58</v>
      </c>
      <c r="H1506" s="2" t="s">
        <v>25</v>
      </c>
      <c r="I1506" s="2" t="s">
        <v>917</v>
      </c>
      <c r="J1506" s="2" t="s">
        <v>120</v>
      </c>
      <c r="K1506" s="2" t="s">
        <v>61</v>
      </c>
      <c r="L1506" s="2" t="s">
        <v>323</v>
      </c>
      <c r="M1506" s="2" t="s">
        <v>30</v>
      </c>
      <c r="N1506" s="2" t="s">
        <v>31</v>
      </c>
      <c r="O1506" s="2" t="s">
        <v>324</v>
      </c>
      <c r="P1506" s="4">
        <v>31.783300000000001</v>
      </c>
      <c r="Q1506" s="4">
        <v>1</v>
      </c>
      <c r="R1506" s="4">
        <v>-8.5312999999999999</v>
      </c>
      <c r="S1506" s="2" t="s">
        <v>33</v>
      </c>
      <c r="T1506" s="2" t="s">
        <v>101</v>
      </c>
    </row>
    <row r="1507" spans="1:20" x14ac:dyDescent="0.25">
      <c r="A1507" s="2" t="s">
        <v>2698</v>
      </c>
      <c r="B1507" s="3">
        <v>41826</v>
      </c>
      <c r="C1507" s="3">
        <v>41833</v>
      </c>
      <c r="D1507" s="2" t="s">
        <v>55</v>
      </c>
      <c r="E1507" s="2" t="s">
        <v>1913</v>
      </c>
      <c r="F1507" s="2" t="s">
        <v>1914</v>
      </c>
      <c r="G1507" s="2" t="s">
        <v>58</v>
      </c>
      <c r="H1507" s="2" t="s">
        <v>25</v>
      </c>
      <c r="I1507" s="2" t="s">
        <v>458</v>
      </c>
      <c r="J1507" s="2" t="s">
        <v>27</v>
      </c>
      <c r="K1507" s="2" t="s">
        <v>28</v>
      </c>
      <c r="L1507" s="2" t="s">
        <v>207</v>
      </c>
      <c r="M1507" s="2" t="s">
        <v>30</v>
      </c>
      <c r="N1507" s="2" t="s">
        <v>31</v>
      </c>
      <c r="O1507" s="2" t="s">
        <v>208</v>
      </c>
      <c r="P1507" s="4">
        <v>15.364800000000001</v>
      </c>
      <c r="Q1507" s="4">
        <v>3</v>
      </c>
      <c r="R1507" s="4">
        <v>3.7185999999999999</v>
      </c>
      <c r="S1507" s="2" t="s">
        <v>107</v>
      </c>
      <c r="T1507" s="2" t="s">
        <v>86</v>
      </c>
    </row>
    <row r="1508" spans="1:20" x14ac:dyDescent="0.25">
      <c r="A1508" s="2" t="s">
        <v>2699</v>
      </c>
      <c r="B1508" s="3">
        <v>42212</v>
      </c>
      <c r="C1508" s="3">
        <v>42215</v>
      </c>
      <c r="D1508" s="2" t="s">
        <v>55</v>
      </c>
      <c r="E1508" s="2" t="s">
        <v>2700</v>
      </c>
      <c r="F1508" s="2" t="s">
        <v>2701</v>
      </c>
      <c r="G1508" s="2" t="s">
        <v>58</v>
      </c>
      <c r="H1508" s="2" t="s">
        <v>25</v>
      </c>
      <c r="I1508" s="2" t="s">
        <v>105</v>
      </c>
      <c r="J1508" s="2" t="s">
        <v>106</v>
      </c>
      <c r="K1508" s="2" t="s">
        <v>61</v>
      </c>
      <c r="L1508" s="2" t="s">
        <v>793</v>
      </c>
      <c r="M1508" s="2" t="s">
        <v>30</v>
      </c>
      <c r="N1508" s="2" t="s">
        <v>63</v>
      </c>
      <c r="O1508" s="2" t="s">
        <v>794</v>
      </c>
      <c r="P1508" s="4">
        <v>849.3193</v>
      </c>
      <c r="Q1508" s="4">
        <v>3</v>
      </c>
      <c r="R1508" s="4">
        <v>32.3611</v>
      </c>
      <c r="S1508" s="2" t="s">
        <v>92</v>
      </c>
      <c r="T1508" s="2" t="s">
        <v>86</v>
      </c>
    </row>
    <row r="1509" spans="1:20" x14ac:dyDescent="0.25">
      <c r="A1509" s="2" t="s">
        <v>2702</v>
      </c>
      <c r="B1509" s="3">
        <v>42549</v>
      </c>
      <c r="C1509" s="3">
        <v>42553</v>
      </c>
      <c r="D1509" s="2" t="s">
        <v>55</v>
      </c>
      <c r="E1509" s="2" t="s">
        <v>1142</v>
      </c>
      <c r="F1509" s="2" t="s">
        <v>1143</v>
      </c>
      <c r="G1509" s="2" t="s">
        <v>38</v>
      </c>
      <c r="H1509" s="2" t="s">
        <v>25</v>
      </c>
      <c r="I1509" s="2" t="s">
        <v>445</v>
      </c>
      <c r="J1509" s="2" t="s">
        <v>138</v>
      </c>
      <c r="K1509" s="2" t="s">
        <v>82</v>
      </c>
      <c r="L1509" s="2" t="s">
        <v>45</v>
      </c>
      <c r="M1509" s="2" t="s">
        <v>30</v>
      </c>
      <c r="N1509" s="2" t="s">
        <v>31</v>
      </c>
      <c r="O1509" s="2" t="s">
        <v>46</v>
      </c>
      <c r="P1509" s="4">
        <v>36.0458</v>
      </c>
      <c r="Q1509" s="4">
        <v>6</v>
      </c>
      <c r="R1509" s="4">
        <v>26.204999999999998</v>
      </c>
      <c r="S1509" s="2" t="s">
        <v>75</v>
      </c>
      <c r="T1509" s="2" t="s">
        <v>133</v>
      </c>
    </row>
    <row r="1510" spans="1:20" x14ac:dyDescent="0.25">
      <c r="A1510" s="2" t="s">
        <v>2703</v>
      </c>
      <c r="B1510" s="3">
        <v>42713</v>
      </c>
      <c r="C1510" s="3">
        <v>42715</v>
      </c>
      <c r="D1510" s="2" t="s">
        <v>55</v>
      </c>
      <c r="E1510" s="2" t="s">
        <v>341</v>
      </c>
      <c r="F1510" s="2" t="s">
        <v>342</v>
      </c>
      <c r="G1510" s="2" t="s">
        <v>58</v>
      </c>
      <c r="H1510" s="2" t="s">
        <v>25</v>
      </c>
      <c r="I1510" s="2" t="s">
        <v>378</v>
      </c>
      <c r="J1510" s="2" t="s">
        <v>98</v>
      </c>
      <c r="K1510" s="2" t="s">
        <v>82</v>
      </c>
      <c r="L1510" s="2" t="s">
        <v>218</v>
      </c>
      <c r="M1510" s="2" t="s">
        <v>30</v>
      </c>
      <c r="N1510" s="2" t="s">
        <v>31</v>
      </c>
      <c r="O1510" s="2" t="s">
        <v>219</v>
      </c>
      <c r="P1510" s="4">
        <v>75.7072</v>
      </c>
      <c r="Q1510" s="4">
        <v>2</v>
      </c>
      <c r="R1510" s="4">
        <v>80.9285</v>
      </c>
      <c r="S1510" s="2" t="s">
        <v>53</v>
      </c>
      <c r="T1510" s="2" t="s">
        <v>76</v>
      </c>
    </row>
    <row r="1511" spans="1:20" x14ac:dyDescent="0.25">
      <c r="A1511" s="2" t="s">
        <v>2704</v>
      </c>
      <c r="B1511" s="3">
        <v>43039</v>
      </c>
      <c r="C1511" s="3">
        <v>43043</v>
      </c>
      <c r="D1511" s="2" t="s">
        <v>55</v>
      </c>
      <c r="E1511" s="2" t="s">
        <v>400</v>
      </c>
      <c r="F1511" s="2" t="s">
        <v>401</v>
      </c>
      <c r="G1511" s="2" t="s">
        <v>38</v>
      </c>
      <c r="H1511" s="2" t="s">
        <v>25</v>
      </c>
      <c r="I1511" s="2" t="s">
        <v>760</v>
      </c>
      <c r="J1511" s="2" t="s">
        <v>112</v>
      </c>
      <c r="K1511" s="2" t="s">
        <v>28</v>
      </c>
      <c r="L1511" s="2" t="s">
        <v>228</v>
      </c>
      <c r="M1511" s="2" t="s">
        <v>30</v>
      </c>
      <c r="N1511" s="2" t="s">
        <v>42</v>
      </c>
      <c r="O1511" s="2" t="s">
        <v>229</v>
      </c>
      <c r="P1511" s="4">
        <v>470.03519999999997</v>
      </c>
      <c r="Q1511" s="4">
        <v>3</v>
      </c>
      <c r="R1511" s="4">
        <v>30.999700000000001</v>
      </c>
      <c r="S1511" s="2" t="s">
        <v>75</v>
      </c>
      <c r="T1511" s="2" t="s">
        <v>224</v>
      </c>
    </row>
    <row r="1512" spans="1:20" x14ac:dyDescent="0.25">
      <c r="A1512" s="2" t="s">
        <v>2705</v>
      </c>
      <c r="B1512" s="3">
        <v>42417</v>
      </c>
      <c r="C1512" s="3">
        <v>42417</v>
      </c>
      <c r="D1512" s="2" t="s">
        <v>55</v>
      </c>
      <c r="E1512" s="2" t="s">
        <v>2061</v>
      </c>
      <c r="F1512" s="2" t="s">
        <v>2062</v>
      </c>
      <c r="G1512" s="2" t="s">
        <v>38</v>
      </c>
      <c r="H1512" s="2" t="s">
        <v>25</v>
      </c>
      <c r="I1512" s="2" t="s">
        <v>649</v>
      </c>
      <c r="J1512" s="2" t="s">
        <v>279</v>
      </c>
      <c r="K1512" s="2" t="s">
        <v>28</v>
      </c>
      <c r="L1512" s="2" t="s">
        <v>193</v>
      </c>
      <c r="M1512" s="2" t="s">
        <v>30</v>
      </c>
      <c r="N1512" s="2" t="s">
        <v>42</v>
      </c>
      <c r="O1512" s="2" t="s">
        <v>194</v>
      </c>
      <c r="P1512" s="4">
        <v>266.86250000000001</v>
      </c>
      <c r="Q1512" s="4">
        <v>4</v>
      </c>
      <c r="R1512" s="4">
        <v>-68.0732</v>
      </c>
      <c r="S1512" s="2" t="s">
        <v>121</v>
      </c>
      <c r="T1512" s="2" t="s">
        <v>101</v>
      </c>
    </row>
    <row r="1513" spans="1:20" x14ac:dyDescent="0.25">
      <c r="A1513" s="2" t="s">
        <v>2706</v>
      </c>
      <c r="B1513" s="3">
        <v>41681</v>
      </c>
      <c r="C1513" s="3">
        <v>41684</v>
      </c>
      <c r="D1513" s="2" t="s">
        <v>55</v>
      </c>
      <c r="E1513" s="2" t="s">
        <v>2707</v>
      </c>
      <c r="F1513" s="2" t="s">
        <v>2708</v>
      </c>
      <c r="G1513" s="2" t="s">
        <v>38</v>
      </c>
      <c r="H1513" s="2" t="s">
        <v>25</v>
      </c>
      <c r="I1513" s="2" t="s">
        <v>1381</v>
      </c>
      <c r="J1513" s="2" t="s">
        <v>127</v>
      </c>
      <c r="K1513" s="2" t="s">
        <v>82</v>
      </c>
      <c r="L1513" s="2" t="s">
        <v>131</v>
      </c>
      <c r="M1513" s="2" t="s">
        <v>30</v>
      </c>
      <c r="N1513" s="2" t="s">
        <v>31</v>
      </c>
      <c r="O1513" s="2" t="s">
        <v>132</v>
      </c>
      <c r="P1513" s="4">
        <v>50.610799999999998</v>
      </c>
      <c r="Q1513" s="4">
        <v>1</v>
      </c>
      <c r="R1513" s="4">
        <v>4.0086000000000004</v>
      </c>
      <c r="S1513" s="2" t="s">
        <v>92</v>
      </c>
      <c r="T1513" s="2" t="s">
        <v>101</v>
      </c>
    </row>
    <row r="1514" spans="1:20" x14ac:dyDescent="0.25">
      <c r="A1514" s="2" t="s">
        <v>2709</v>
      </c>
      <c r="B1514" s="3">
        <v>42620</v>
      </c>
      <c r="C1514" s="3">
        <v>42620</v>
      </c>
      <c r="D1514" s="2" t="s">
        <v>142</v>
      </c>
      <c r="E1514" s="2" t="s">
        <v>400</v>
      </c>
      <c r="F1514" s="2" t="s">
        <v>401</v>
      </c>
      <c r="G1514" s="2" t="s">
        <v>58</v>
      </c>
      <c r="H1514" s="2" t="s">
        <v>25</v>
      </c>
      <c r="I1514" s="2" t="s">
        <v>26</v>
      </c>
      <c r="J1514" s="2" t="s">
        <v>27</v>
      </c>
      <c r="K1514" s="2" t="s">
        <v>28</v>
      </c>
      <c r="L1514" s="2" t="s">
        <v>252</v>
      </c>
      <c r="M1514" s="2" t="s">
        <v>30</v>
      </c>
      <c r="N1514" s="2" t="s">
        <v>31</v>
      </c>
      <c r="O1514" s="2" t="s">
        <v>253</v>
      </c>
      <c r="P1514" s="4">
        <v>41.984099999999998</v>
      </c>
      <c r="Q1514" s="4">
        <v>2</v>
      </c>
      <c r="R1514" s="4">
        <v>18.1356</v>
      </c>
      <c r="S1514" s="2" t="s">
        <v>121</v>
      </c>
      <c r="T1514" s="2" t="s">
        <v>148</v>
      </c>
    </row>
    <row r="1515" spans="1:20" x14ac:dyDescent="0.25">
      <c r="A1515" s="2" t="s">
        <v>2710</v>
      </c>
      <c r="B1515" s="3">
        <v>43088</v>
      </c>
      <c r="C1515" s="3">
        <v>43092</v>
      </c>
      <c r="D1515" s="2" t="s">
        <v>55</v>
      </c>
      <c r="E1515" s="2" t="s">
        <v>1719</v>
      </c>
      <c r="F1515" s="2" t="s">
        <v>1720</v>
      </c>
      <c r="G1515" s="2" t="s">
        <v>38</v>
      </c>
      <c r="H1515" s="2" t="s">
        <v>25</v>
      </c>
      <c r="I1515" s="2" t="s">
        <v>910</v>
      </c>
      <c r="J1515" s="2" t="s">
        <v>260</v>
      </c>
      <c r="K1515" s="2" t="s">
        <v>147</v>
      </c>
      <c r="L1515" s="2" t="s">
        <v>193</v>
      </c>
      <c r="M1515" s="2" t="s">
        <v>30</v>
      </c>
      <c r="N1515" s="2" t="s">
        <v>42</v>
      </c>
      <c r="O1515" s="2" t="s">
        <v>194</v>
      </c>
      <c r="P1515" s="4">
        <v>207.97890000000001</v>
      </c>
      <c r="Q1515" s="4">
        <v>1</v>
      </c>
      <c r="R1515" s="4">
        <v>31.3079</v>
      </c>
      <c r="S1515" s="2" t="s">
        <v>75</v>
      </c>
      <c r="T1515" s="2" t="s">
        <v>76</v>
      </c>
    </row>
    <row r="1516" spans="1:20" x14ac:dyDescent="0.25">
      <c r="A1516" s="2" t="s">
        <v>2711</v>
      </c>
      <c r="B1516" s="3">
        <v>42210</v>
      </c>
      <c r="C1516" s="3">
        <v>42211</v>
      </c>
      <c r="D1516" s="2" t="s">
        <v>55</v>
      </c>
      <c r="E1516" s="2" t="s">
        <v>2669</v>
      </c>
      <c r="F1516" s="2" t="s">
        <v>2670</v>
      </c>
      <c r="G1516" s="2" t="s">
        <v>58</v>
      </c>
      <c r="H1516" s="2" t="s">
        <v>25</v>
      </c>
      <c r="I1516" s="2" t="s">
        <v>1386</v>
      </c>
      <c r="J1516" s="2" t="s">
        <v>806</v>
      </c>
      <c r="K1516" s="2" t="s">
        <v>28</v>
      </c>
      <c r="L1516" s="2" t="s">
        <v>218</v>
      </c>
      <c r="M1516" s="2" t="s">
        <v>30</v>
      </c>
      <c r="N1516" s="2" t="s">
        <v>31</v>
      </c>
      <c r="O1516" s="2" t="s">
        <v>219</v>
      </c>
      <c r="P1516" s="4">
        <v>58.658499999999997</v>
      </c>
      <c r="Q1516" s="4">
        <v>3</v>
      </c>
      <c r="R1516" s="4">
        <v>-19.088799999999999</v>
      </c>
      <c r="S1516" s="2" t="s">
        <v>33</v>
      </c>
      <c r="T1516" s="2" t="s">
        <v>86</v>
      </c>
    </row>
    <row r="1517" spans="1:20" x14ac:dyDescent="0.25">
      <c r="A1517" s="2" t="s">
        <v>2712</v>
      </c>
      <c r="B1517" s="3">
        <v>42000</v>
      </c>
      <c r="C1517" s="3">
        <v>42003</v>
      </c>
      <c r="D1517" s="2" t="s">
        <v>55</v>
      </c>
      <c r="E1517" s="2" t="s">
        <v>1011</v>
      </c>
      <c r="F1517" s="2" t="s">
        <v>1012</v>
      </c>
      <c r="G1517" s="2" t="s">
        <v>58</v>
      </c>
      <c r="H1517" s="2" t="s">
        <v>25</v>
      </c>
      <c r="I1517" s="2" t="s">
        <v>631</v>
      </c>
      <c r="J1517" s="2" t="s">
        <v>632</v>
      </c>
      <c r="K1517" s="2" t="s">
        <v>82</v>
      </c>
      <c r="L1517" s="2" t="s">
        <v>415</v>
      </c>
      <c r="M1517" s="2" t="s">
        <v>30</v>
      </c>
      <c r="N1517" s="2" t="s">
        <v>63</v>
      </c>
      <c r="O1517" s="2" t="s">
        <v>416</v>
      </c>
      <c r="P1517" s="4">
        <v>4400</v>
      </c>
      <c r="Q1517" s="4">
        <v>2</v>
      </c>
      <c r="R1517" s="4">
        <v>126.2928</v>
      </c>
      <c r="S1517" s="2" t="s">
        <v>92</v>
      </c>
      <c r="T1517" s="2" t="s">
        <v>76</v>
      </c>
    </row>
    <row r="1518" spans="1:20" x14ac:dyDescent="0.25">
      <c r="A1518" s="2" t="s">
        <v>2713</v>
      </c>
      <c r="B1518" s="3">
        <v>42191</v>
      </c>
      <c r="C1518" s="3">
        <v>42192</v>
      </c>
      <c r="D1518" s="2" t="s">
        <v>21</v>
      </c>
      <c r="E1518" s="2" t="s">
        <v>1739</v>
      </c>
      <c r="F1518" s="2" t="s">
        <v>1740</v>
      </c>
      <c r="G1518" s="2" t="s">
        <v>58</v>
      </c>
      <c r="H1518" s="2" t="s">
        <v>25</v>
      </c>
      <c r="I1518" s="2" t="s">
        <v>639</v>
      </c>
      <c r="J1518" s="2" t="s">
        <v>192</v>
      </c>
      <c r="K1518" s="2" t="s">
        <v>82</v>
      </c>
      <c r="L1518" s="2" t="s">
        <v>41</v>
      </c>
      <c r="M1518" s="2" t="s">
        <v>30</v>
      </c>
      <c r="N1518" s="2" t="s">
        <v>42</v>
      </c>
      <c r="O1518" s="2" t="s">
        <v>43</v>
      </c>
      <c r="P1518" s="4">
        <v>670.88049999999998</v>
      </c>
      <c r="Q1518" s="4">
        <v>2</v>
      </c>
      <c r="R1518" s="4">
        <v>-201.20769999999999</v>
      </c>
      <c r="S1518" s="2" t="s">
        <v>33</v>
      </c>
      <c r="T1518" s="2" t="s">
        <v>86</v>
      </c>
    </row>
    <row r="1519" spans="1:20" x14ac:dyDescent="0.25">
      <c r="A1519" s="2" t="s">
        <v>2714</v>
      </c>
      <c r="B1519" s="3">
        <v>42306</v>
      </c>
      <c r="C1519" s="3">
        <v>42308</v>
      </c>
      <c r="D1519" s="2" t="s">
        <v>55</v>
      </c>
      <c r="E1519" s="2" t="s">
        <v>172</v>
      </c>
      <c r="F1519" s="2" t="s">
        <v>173</v>
      </c>
      <c r="G1519" s="2" t="s">
        <v>38</v>
      </c>
      <c r="H1519" s="2" t="s">
        <v>25</v>
      </c>
      <c r="I1519" s="2" t="s">
        <v>402</v>
      </c>
      <c r="J1519" s="2" t="s">
        <v>403</v>
      </c>
      <c r="K1519" s="2" t="s">
        <v>147</v>
      </c>
      <c r="L1519" s="2" t="s">
        <v>316</v>
      </c>
      <c r="M1519" s="2" t="s">
        <v>30</v>
      </c>
      <c r="N1519" s="2" t="s">
        <v>42</v>
      </c>
      <c r="O1519" s="2" t="s">
        <v>317</v>
      </c>
      <c r="P1519" s="4">
        <v>504.88369999999998</v>
      </c>
      <c r="Q1519" s="4">
        <v>1</v>
      </c>
      <c r="R1519" s="4">
        <v>78.182599999999994</v>
      </c>
      <c r="S1519" s="2" t="s">
        <v>53</v>
      </c>
      <c r="T1519" s="2" t="s">
        <v>224</v>
      </c>
    </row>
    <row r="1520" spans="1:20" x14ac:dyDescent="0.25">
      <c r="A1520" s="2" t="s">
        <v>2715</v>
      </c>
      <c r="B1520" s="3">
        <v>42135</v>
      </c>
      <c r="C1520" s="3">
        <v>42136</v>
      </c>
      <c r="D1520" s="2" t="s">
        <v>55</v>
      </c>
      <c r="E1520" s="2" t="s">
        <v>392</v>
      </c>
      <c r="F1520" s="2" t="s">
        <v>393</v>
      </c>
      <c r="G1520" s="2" t="s">
        <v>38</v>
      </c>
      <c r="H1520" s="2" t="s">
        <v>25</v>
      </c>
      <c r="I1520" s="2" t="s">
        <v>216</v>
      </c>
      <c r="J1520" s="2" t="s">
        <v>217</v>
      </c>
      <c r="K1520" s="2" t="s">
        <v>82</v>
      </c>
      <c r="L1520" s="2" t="s">
        <v>344</v>
      </c>
      <c r="M1520" s="2" t="s">
        <v>30</v>
      </c>
      <c r="N1520" s="2" t="s">
        <v>42</v>
      </c>
      <c r="O1520" s="2" t="s">
        <v>345</v>
      </c>
      <c r="P1520" s="4">
        <v>546.63800000000003</v>
      </c>
      <c r="Q1520" s="4">
        <v>9</v>
      </c>
      <c r="R1520" s="4">
        <v>280.19310000000002</v>
      </c>
      <c r="S1520" s="2" t="s">
        <v>33</v>
      </c>
      <c r="T1520" s="2" t="s">
        <v>122</v>
      </c>
    </row>
    <row r="1521" spans="1:20" x14ac:dyDescent="0.25">
      <c r="A1521" s="2" t="s">
        <v>2716</v>
      </c>
      <c r="B1521" s="3">
        <v>41726</v>
      </c>
      <c r="C1521" s="3">
        <v>41728</v>
      </c>
      <c r="D1521" s="2" t="s">
        <v>48</v>
      </c>
      <c r="E1521" s="2" t="s">
        <v>1716</v>
      </c>
      <c r="F1521" s="2" t="s">
        <v>1717</v>
      </c>
      <c r="G1521" s="2" t="s">
        <v>58</v>
      </c>
      <c r="H1521" s="2" t="s">
        <v>25</v>
      </c>
      <c r="I1521" s="2" t="s">
        <v>205</v>
      </c>
      <c r="J1521" s="2" t="s">
        <v>206</v>
      </c>
      <c r="K1521" s="2" t="s">
        <v>61</v>
      </c>
      <c r="L1521" s="2" t="s">
        <v>218</v>
      </c>
      <c r="M1521" s="2" t="s">
        <v>30</v>
      </c>
      <c r="N1521" s="2" t="s">
        <v>31</v>
      </c>
      <c r="O1521" s="2" t="s">
        <v>219</v>
      </c>
      <c r="P1521" s="4">
        <v>20.2758</v>
      </c>
      <c r="Q1521" s="4">
        <v>12</v>
      </c>
      <c r="R1521" s="4">
        <v>-11.6633</v>
      </c>
      <c r="S1521" s="2" t="s">
        <v>53</v>
      </c>
      <c r="T1521" s="2" t="s">
        <v>44</v>
      </c>
    </row>
    <row r="1522" spans="1:20" x14ac:dyDescent="0.25">
      <c r="A1522" s="2" t="s">
        <v>2717</v>
      </c>
      <c r="B1522" s="3">
        <v>42467</v>
      </c>
      <c r="C1522" s="3">
        <v>42471</v>
      </c>
      <c r="D1522" s="2" t="s">
        <v>21</v>
      </c>
      <c r="E1522" s="2" t="s">
        <v>1695</v>
      </c>
      <c r="F1522" s="2" t="s">
        <v>1696</v>
      </c>
      <c r="G1522" s="2" t="s">
        <v>24</v>
      </c>
      <c r="H1522" s="2" t="s">
        <v>25</v>
      </c>
      <c r="I1522" s="2" t="s">
        <v>71</v>
      </c>
      <c r="J1522" s="2" t="s">
        <v>72</v>
      </c>
      <c r="K1522" s="2" t="s">
        <v>61</v>
      </c>
      <c r="L1522" s="2" t="s">
        <v>139</v>
      </c>
      <c r="M1522" s="2" t="s">
        <v>30</v>
      </c>
      <c r="N1522" s="2" t="s">
        <v>42</v>
      </c>
      <c r="O1522" s="2" t="s">
        <v>140</v>
      </c>
      <c r="P1522" s="4">
        <v>92.602099999999993</v>
      </c>
      <c r="Q1522" s="4">
        <v>1</v>
      </c>
      <c r="R1522" s="4">
        <v>3.2082000000000002</v>
      </c>
      <c r="S1522" s="2" t="s">
        <v>75</v>
      </c>
      <c r="T1522" s="2" t="s">
        <v>108</v>
      </c>
    </row>
    <row r="1523" spans="1:20" x14ac:dyDescent="0.25">
      <c r="A1523" s="2" t="s">
        <v>2717</v>
      </c>
      <c r="B1523" s="3">
        <v>42467</v>
      </c>
      <c r="C1523" s="3">
        <v>42471</v>
      </c>
      <c r="D1523" s="2" t="s">
        <v>21</v>
      </c>
      <c r="E1523" s="2" t="s">
        <v>1695</v>
      </c>
      <c r="F1523" s="2" t="s">
        <v>1696</v>
      </c>
      <c r="G1523" s="2" t="s">
        <v>24</v>
      </c>
      <c r="H1523" s="2" t="s">
        <v>25</v>
      </c>
      <c r="I1523" s="2" t="s">
        <v>71</v>
      </c>
      <c r="J1523" s="2" t="s">
        <v>72</v>
      </c>
      <c r="K1523" s="2" t="s">
        <v>61</v>
      </c>
      <c r="L1523" s="2" t="s">
        <v>41</v>
      </c>
      <c r="M1523" s="2" t="s">
        <v>30</v>
      </c>
      <c r="N1523" s="2" t="s">
        <v>42</v>
      </c>
      <c r="O1523" s="2" t="s">
        <v>43</v>
      </c>
      <c r="P1523" s="4">
        <v>540.11360000000002</v>
      </c>
      <c r="Q1523" s="4">
        <v>3</v>
      </c>
      <c r="R1523" s="4">
        <v>-42.839399999999998</v>
      </c>
      <c r="S1523" s="2" t="s">
        <v>75</v>
      </c>
      <c r="T1523" s="2" t="s">
        <v>108</v>
      </c>
    </row>
    <row r="1524" spans="1:20" x14ac:dyDescent="0.25">
      <c r="A1524" s="2" t="s">
        <v>2718</v>
      </c>
      <c r="B1524" s="3">
        <v>42063</v>
      </c>
      <c r="C1524" s="3">
        <v>42067</v>
      </c>
      <c r="D1524" s="2" t="s">
        <v>55</v>
      </c>
      <c r="E1524" s="2" t="s">
        <v>2545</v>
      </c>
      <c r="F1524" s="2" t="s">
        <v>2546</v>
      </c>
      <c r="G1524" s="2" t="s">
        <v>24</v>
      </c>
      <c r="H1524" s="2" t="s">
        <v>25</v>
      </c>
      <c r="I1524" s="2" t="s">
        <v>59</v>
      </c>
      <c r="J1524" s="2" t="s">
        <v>60</v>
      </c>
      <c r="K1524" s="2" t="s">
        <v>61</v>
      </c>
      <c r="L1524" s="2" t="s">
        <v>228</v>
      </c>
      <c r="M1524" s="2" t="s">
        <v>30</v>
      </c>
      <c r="N1524" s="2" t="s">
        <v>42</v>
      </c>
      <c r="O1524" s="2" t="s">
        <v>229</v>
      </c>
      <c r="P1524" s="4">
        <v>571.803</v>
      </c>
      <c r="Q1524" s="4">
        <v>2</v>
      </c>
      <c r="R1524" s="4">
        <v>104.803</v>
      </c>
      <c r="S1524" s="2" t="s">
        <v>75</v>
      </c>
      <c r="T1524" s="2" t="s">
        <v>101</v>
      </c>
    </row>
    <row r="1525" spans="1:20" x14ac:dyDescent="0.25">
      <c r="A1525" s="2" t="s">
        <v>2719</v>
      </c>
      <c r="B1525" s="3">
        <v>41672</v>
      </c>
      <c r="C1525" s="3">
        <v>41674</v>
      </c>
      <c r="D1525" s="2" t="s">
        <v>48</v>
      </c>
      <c r="E1525" s="2" t="s">
        <v>69</v>
      </c>
      <c r="F1525" s="2" t="s">
        <v>70</v>
      </c>
      <c r="G1525" s="2" t="s">
        <v>38</v>
      </c>
      <c r="H1525" s="2" t="s">
        <v>25</v>
      </c>
      <c r="I1525" s="2" t="s">
        <v>491</v>
      </c>
      <c r="J1525" s="2" t="s">
        <v>310</v>
      </c>
      <c r="K1525" s="2" t="s">
        <v>28</v>
      </c>
      <c r="L1525" s="2" t="s">
        <v>45</v>
      </c>
      <c r="M1525" s="2" t="s">
        <v>30</v>
      </c>
      <c r="N1525" s="2" t="s">
        <v>31</v>
      </c>
      <c r="O1525" s="2" t="s">
        <v>46</v>
      </c>
      <c r="P1525" s="4">
        <v>112.2747</v>
      </c>
      <c r="Q1525" s="4">
        <v>8</v>
      </c>
      <c r="R1525" s="4">
        <v>-57.274799999999999</v>
      </c>
      <c r="S1525" s="2" t="s">
        <v>53</v>
      </c>
      <c r="T1525" s="2" t="s">
        <v>101</v>
      </c>
    </row>
    <row r="1526" spans="1:20" x14ac:dyDescent="0.25">
      <c r="A1526" s="2" t="s">
        <v>2720</v>
      </c>
      <c r="B1526" s="3">
        <v>42140</v>
      </c>
      <c r="C1526" s="3">
        <v>42147</v>
      </c>
      <c r="D1526" s="2" t="s">
        <v>55</v>
      </c>
      <c r="E1526" s="2" t="s">
        <v>1459</v>
      </c>
      <c r="F1526" s="2" t="s">
        <v>1460</v>
      </c>
      <c r="G1526" s="2" t="s">
        <v>24</v>
      </c>
      <c r="H1526" s="2" t="s">
        <v>25</v>
      </c>
      <c r="I1526" s="2" t="s">
        <v>288</v>
      </c>
      <c r="J1526" s="2" t="s">
        <v>289</v>
      </c>
      <c r="K1526" s="2" t="s">
        <v>82</v>
      </c>
      <c r="L1526" s="2" t="s">
        <v>316</v>
      </c>
      <c r="M1526" s="2" t="s">
        <v>30</v>
      </c>
      <c r="N1526" s="2" t="s">
        <v>42</v>
      </c>
      <c r="O1526" s="2" t="s">
        <v>317</v>
      </c>
      <c r="P1526" s="4">
        <v>51.925199999999997</v>
      </c>
      <c r="Q1526" s="4">
        <v>3</v>
      </c>
      <c r="R1526" s="4">
        <v>-13.8942</v>
      </c>
      <c r="S1526" s="2" t="s">
        <v>107</v>
      </c>
      <c r="T1526" s="2" t="s">
        <v>122</v>
      </c>
    </row>
    <row r="1527" spans="1:20" x14ac:dyDescent="0.25">
      <c r="A1527" s="2" t="s">
        <v>2721</v>
      </c>
      <c r="B1527" s="3">
        <v>42491</v>
      </c>
      <c r="C1527" s="3">
        <v>42498</v>
      </c>
      <c r="D1527" s="2" t="s">
        <v>55</v>
      </c>
      <c r="E1527" s="2" t="s">
        <v>2722</v>
      </c>
      <c r="F1527" s="2" t="s">
        <v>2723</v>
      </c>
      <c r="G1527" s="2" t="s">
        <v>24</v>
      </c>
      <c r="H1527" s="2" t="s">
        <v>25</v>
      </c>
      <c r="I1527" s="2" t="s">
        <v>259</v>
      </c>
      <c r="J1527" s="2" t="s">
        <v>260</v>
      </c>
      <c r="K1527" s="2" t="s">
        <v>147</v>
      </c>
      <c r="L1527" s="2" t="s">
        <v>45</v>
      </c>
      <c r="M1527" s="2" t="s">
        <v>30</v>
      </c>
      <c r="N1527" s="2" t="s">
        <v>31</v>
      </c>
      <c r="O1527" s="2" t="s">
        <v>46</v>
      </c>
      <c r="P1527" s="4">
        <v>74.893699999999995</v>
      </c>
      <c r="Q1527" s="4">
        <v>4</v>
      </c>
      <c r="R1527" s="4">
        <v>25.745200000000001</v>
      </c>
      <c r="S1527" s="2" t="s">
        <v>107</v>
      </c>
      <c r="T1527" s="2" t="s">
        <v>122</v>
      </c>
    </row>
    <row r="1528" spans="1:20" x14ac:dyDescent="0.25">
      <c r="A1528" s="2" t="s">
        <v>2721</v>
      </c>
      <c r="B1528" s="3">
        <v>42491</v>
      </c>
      <c r="C1528" s="3">
        <v>42498</v>
      </c>
      <c r="D1528" s="2" t="s">
        <v>55</v>
      </c>
      <c r="E1528" s="2" t="s">
        <v>2722</v>
      </c>
      <c r="F1528" s="2" t="s">
        <v>2723</v>
      </c>
      <c r="G1528" s="2" t="s">
        <v>24</v>
      </c>
      <c r="H1528" s="2" t="s">
        <v>25</v>
      </c>
      <c r="I1528" s="2" t="s">
        <v>259</v>
      </c>
      <c r="J1528" s="2" t="s">
        <v>260</v>
      </c>
      <c r="K1528" s="2" t="s">
        <v>147</v>
      </c>
      <c r="L1528" s="2" t="s">
        <v>328</v>
      </c>
      <c r="M1528" s="2" t="s">
        <v>30</v>
      </c>
      <c r="N1528" s="2" t="s">
        <v>63</v>
      </c>
      <c r="O1528" s="2" t="s">
        <v>329</v>
      </c>
      <c r="P1528" s="4">
        <v>386.65109999999999</v>
      </c>
      <c r="Q1528" s="4">
        <v>2</v>
      </c>
      <c r="R1528" s="4">
        <v>-5.0156999999999998</v>
      </c>
      <c r="S1528" s="2" t="s">
        <v>107</v>
      </c>
      <c r="T1528" s="2" t="s">
        <v>122</v>
      </c>
    </row>
    <row r="1529" spans="1:20" x14ac:dyDescent="0.25">
      <c r="A1529" s="2" t="s">
        <v>2724</v>
      </c>
      <c r="B1529" s="3">
        <v>42366</v>
      </c>
      <c r="C1529" s="3">
        <v>42370</v>
      </c>
      <c r="D1529" s="2" t="s">
        <v>55</v>
      </c>
      <c r="E1529" s="2" t="s">
        <v>2380</v>
      </c>
      <c r="F1529" s="2" t="s">
        <v>2381</v>
      </c>
      <c r="G1529" s="2" t="s">
        <v>24</v>
      </c>
      <c r="H1529" s="2" t="s">
        <v>25</v>
      </c>
      <c r="I1529" s="2" t="s">
        <v>706</v>
      </c>
      <c r="J1529" s="2" t="s">
        <v>127</v>
      </c>
      <c r="K1529" s="2" t="s">
        <v>82</v>
      </c>
      <c r="L1529" s="2" t="s">
        <v>73</v>
      </c>
      <c r="M1529" s="2" t="s">
        <v>30</v>
      </c>
      <c r="N1529" s="2" t="s">
        <v>42</v>
      </c>
      <c r="O1529" s="2" t="s">
        <v>74</v>
      </c>
      <c r="P1529" s="4">
        <v>183.87190000000001</v>
      </c>
      <c r="Q1529" s="4">
        <v>7</v>
      </c>
      <c r="R1529" s="4">
        <v>-69.7834</v>
      </c>
      <c r="S1529" s="2" t="s">
        <v>75</v>
      </c>
      <c r="T1529" s="2" t="s">
        <v>76</v>
      </c>
    </row>
    <row r="1530" spans="1:20" x14ac:dyDescent="0.25">
      <c r="A1530" s="2" t="s">
        <v>2724</v>
      </c>
      <c r="B1530" s="3">
        <v>42366</v>
      </c>
      <c r="C1530" s="3">
        <v>42370</v>
      </c>
      <c r="D1530" s="2" t="s">
        <v>55</v>
      </c>
      <c r="E1530" s="2" t="s">
        <v>2380</v>
      </c>
      <c r="F1530" s="2" t="s">
        <v>2381</v>
      </c>
      <c r="G1530" s="2" t="s">
        <v>24</v>
      </c>
      <c r="H1530" s="2" t="s">
        <v>25</v>
      </c>
      <c r="I1530" s="2" t="s">
        <v>706</v>
      </c>
      <c r="J1530" s="2" t="s">
        <v>127</v>
      </c>
      <c r="K1530" s="2" t="s">
        <v>82</v>
      </c>
      <c r="L1530" s="2" t="s">
        <v>154</v>
      </c>
      <c r="M1530" s="2" t="s">
        <v>30</v>
      </c>
      <c r="N1530" s="2" t="s">
        <v>42</v>
      </c>
      <c r="O1530" s="2" t="s">
        <v>155</v>
      </c>
      <c r="P1530" s="4">
        <v>127.5599</v>
      </c>
      <c r="Q1530" s="4">
        <v>3</v>
      </c>
      <c r="R1530" s="4">
        <v>73.504400000000004</v>
      </c>
      <c r="S1530" s="2" t="s">
        <v>75</v>
      </c>
      <c r="T1530" s="2" t="s">
        <v>76</v>
      </c>
    </row>
    <row r="1531" spans="1:20" x14ac:dyDescent="0.25">
      <c r="A1531" s="2" t="s">
        <v>2725</v>
      </c>
      <c r="B1531" s="3">
        <v>42790</v>
      </c>
      <c r="C1531" s="3">
        <v>42797</v>
      </c>
      <c r="D1531" s="2" t="s">
        <v>55</v>
      </c>
      <c r="E1531" s="2" t="s">
        <v>1712</v>
      </c>
      <c r="F1531" s="2" t="s">
        <v>1713</v>
      </c>
      <c r="G1531" s="2" t="s">
        <v>58</v>
      </c>
      <c r="H1531" s="2" t="s">
        <v>25</v>
      </c>
      <c r="I1531" s="2" t="s">
        <v>649</v>
      </c>
      <c r="J1531" s="2" t="s">
        <v>279</v>
      </c>
      <c r="K1531" s="2" t="s">
        <v>28</v>
      </c>
      <c r="L1531" s="2" t="s">
        <v>66</v>
      </c>
      <c r="M1531" s="2" t="s">
        <v>30</v>
      </c>
      <c r="N1531" s="2" t="s">
        <v>31</v>
      </c>
      <c r="O1531" s="2" t="s">
        <v>67</v>
      </c>
      <c r="P1531" s="4">
        <v>100.8772</v>
      </c>
      <c r="Q1531" s="4">
        <v>2</v>
      </c>
      <c r="R1531" s="4">
        <v>5.8594999999999997</v>
      </c>
      <c r="S1531" s="2" t="s">
        <v>107</v>
      </c>
      <c r="T1531" s="2" t="s">
        <v>101</v>
      </c>
    </row>
    <row r="1532" spans="1:20" x14ac:dyDescent="0.25">
      <c r="A1532" s="2" t="s">
        <v>2726</v>
      </c>
      <c r="B1532" s="3">
        <v>42350</v>
      </c>
      <c r="C1532" s="3">
        <v>42350</v>
      </c>
      <c r="D1532" s="2" t="s">
        <v>55</v>
      </c>
      <c r="E1532" s="2" t="s">
        <v>1205</v>
      </c>
      <c r="F1532" s="2" t="s">
        <v>1206</v>
      </c>
      <c r="G1532" s="2" t="s">
        <v>58</v>
      </c>
      <c r="H1532" s="2" t="s">
        <v>25</v>
      </c>
      <c r="I1532" s="2" t="s">
        <v>184</v>
      </c>
      <c r="J1532" s="2" t="s">
        <v>185</v>
      </c>
      <c r="K1532" s="2" t="s">
        <v>147</v>
      </c>
      <c r="L1532" s="2" t="s">
        <v>254</v>
      </c>
      <c r="M1532" s="2" t="s">
        <v>30</v>
      </c>
      <c r="N1532" s="2" t="s">
        <v>162</v>
      </c>
      <c r="O1532" s="2" t="s">
        <v>255</v>
      </c>
      <c r="P1532" s="4">
        <v>291.66550000000001</v>
      </c>
      <c r="Q1532" s="4">
        <v>1</v>
      </c>
      <c r="R1532" s="4">
        <v>-200.05699999999999</v>
      </c>
      <c r="S1532" s="2" t="s">
        <v>121</v>
      </c>
      <c r="T1532" s="2" t="s">
        <v>76</v>
      </c>
    </row>
    <row r="1533" spans="1:20" x14ac:dyDescent="0.25">
      <c r="A1533" s="2" t="s">
        <v>2727</v>
      </c>
      <c r="B1533" s="3">
        <v>42799</v>
      </c>
      <c r="C1533" s="3">
        <v>42801</v>
      </c>
      <c r="D1533" s="2" t="s">
        <v>21</v>
      </c>
      <c r="E1533" s="2" t="s">
        <v>1538</v>
      </c>
      <c r="F1533" s="2" t="s">
        <v>1539</v>
      </c>
      <c r="G1533" s="2" t="s">
        <v>24</v>
      </c>
      <c r="H1533" s="2" t="s">
        <v>25</v>
      </c>
      <c r="I1533" s="2" t="s">
        <v>223</v>
      </c>
      <c r="J1533" s="2" t="s">
        <v>81</v>
      </c>
      <c r="K1533" s="2" t="s">
        <v>82</v>
      </c>
      <c r="L1533" s="2" t="s">
        <v>207</v>
      </c>
      <c r="M1533" s="2" t="s">
        <v>30</v>
      </c>
      <c r="N1533" s="2" t="s">
        <v>31</v>
      </c>
      <c r="O1533" s="2" t="s">
        <v>208</v>
      </c>
      <c r="P1533" s="4">
        <v>71.852000000000004</v>
      </c>
      <c r="Q1533" s="4">
        <v>4</v>
      </c>
      <c r="R1533" s="4">
        <v>24.559799999999999</v>
      </c>
      <c r="S1533" s="2" t="s">
        <v>53</v>
      </c>
      <c r="T1533" s="2" t="s">
        <v>44</v>
      </c>
    </row>
    <row r="1534" spans="1:20" x14ac:dyDescent="0.25">
      <c r="A1534" s="2" t="s">
        <v>2728</v>
      </c>
      <c r="B1534" s="3">
        <v>41830</v>
      </c>
      <c r="C1534" s="3">
        <v>41832</v>
      </c>
      <c r="D1534" s="2" t="s">
        <v>55</v>
      </c>
      <c r="E1534" s="2" t="s">
        <v>221</v>
      </c>
      <c r="F1534" s="2" t="s">
        <v>222</v>
      </c>
      <c r="G1534" s="2" t="s">
        <v>58</v>
      </c>
      <c r="H1534" s="2" t="s">
        <v>25</v>
      </c>
      <c r="I1534" s="2" t="s">
        <v>752</v>
      </c>
      <c r="J1534" s="2" t="s">
        <v>753</v>
      </c>
      <c r="K1534" s="2" t="s">
        <v>147</v>
      </c>
      <c r="L1534" s="2" t="s">
        <v>45</v>
      </c>
      <c r="M1534" s="2" t="s">
        <v>30</v>
      </c>
      <c r="N1534" s="2" t="s">
        <v>31</v>
      </c>
      <c r="O1534" s="2" t="s">
        <v>46</v>
      </c>
      <c r="P1534" s="4">
        <v>63.869100000000003</v>
      </c>
      <c r="Q1534" s="4">
        <v>2</v>
      </c>
      <c r="R1534" s="4">
        <v>-23.851400000000002</v>
      </c>
      <c r="S1534" s="2" t="s">
        <v>53</v>
      </c>
      <c r="T1534" s="2" t="s">
        <v>86</v>
      </c>
    </row>
    <row r="1535" spans="1:20" x14ac:dyDescent="0.25">
      <c r="A1535" s="2" t="s">
        <v>2729</v>
      </c>
      <c r="B1535" s="3">
        <v>41950</v>
      </c>
      <c r="C1535" s="3">
        <v>41950</v>
      </c>
      <c r="D1535" s="2" t="s">
        <v>55</v>
      </c>
      <c r="E1535" s="2" t="s">
        <v>912</v>
      </c>
      <c r="F1535" s="2" t="s">
        <v>913</v>
      </c>
      <c r="G1535" s="2" t="s">
        <v>38</v>
      </c>
      <c r="H1535" s="2" t="s">
        <v>25</v>
      </c>
      <c r="I1535" s="2" t="s">
        <v>423</v>
      </c>
      <c r="J1535" s="2" t="s">
        <v>424</v>
      </c>
      <c r="K1535" s="2" t="s">
        <v>28</v>
      </c>
      <c r="L1535" s="2" t="s">
        <v>301</v>
      </c>
      <c r="M1535" s="2" t="s">
        <v>30</v>
      </c>
      <c r="N1535" s="2" t="s">
        <v>162</v>
      </c>
      <c r="O1535" s="2" t="s">
        <v>302</v>
      </c>
      <c r="P1535" s="4">
        <v>179.47210000000001</v>
      </c>
      <c r="Q1535" s="4">
        <v>5</v>
      </c>
      <c r="R1535" s="4">
        <v>-82.900400000000005</v>
      </c>
      <c r="S1535" s="2" t="s">
        <v>121</v>
      </c>
      <c r="T1535" s="2" t="s">
        <v>93</v>
      </c>
    </row>
    <row r="1536" spans="1:20" x14ac:dyDescent="0.25">
      <c r="A1536" s="2" t="s">
        <v>2730</v>
      </c>
      <c r="B1536" s="3">
        <v>42088</v>
      </c>
      <c r="C1536" s="3">
        <v>42090</v>
      </c>
      <c r="D1536" s="2" t="s">
        <v>21</v>
      </c>
      <c r="E1536" s="2" t="s">
        <v>784</v>
      </c>
      <c r="F1536" s="2" t="s">
        <v>785</v>
      </c>
      <c r="G1536" s="2" t="s">
        <v>24</v>
      </c>
      <c r="H1536" s="2" t="s">
        <v>25</v>
      </c>
      <c r="I1536" s="2" t="s">
        <v>126</v>
      </c>
      <c r="J1536" s="2" t="s">
        <v>127</v>
      </c>
      <c r="K1536" s="2" t="s">
        <v>82</v>
      </c>
      <c r="L1536" s="2" t="s">
        <v>66</v>
      </c>
      <c r="M1536" s="2" t="s">
        <v>30</v>
      </c>
      <c r="N1536" s="2" t="s">
        <v>31</v>
      </c>
      <c r="O1536" s="2" t="s">
        <v>67</v>
      </c>
      <c r="P1536" s="4">
        <v>77.396000000000001</v>
      </c>
      <c r="Q1536" s="4">
        <v>1</v>
      </c>
      <c r="R1536" s="4">
        <v>-26.622900000000001</v>
      </c>
      <c r="S1536" s="2" t="s">
        <v>53</v>
      </c>
      <c r="T1536" s="2" t="s">
        <v>44</v>
      </c>
    </row>
    <row r="1537" spans="1:20" x14ac:dyDescent="0.25">
      <c r="A1537" s="2" t="s">
        <v>2731</v>
      </c>
      <c r="B1537" s="3">
        <v>42168</v>
      </c>
      <c r="C1537" s="3">
        <v>42170</v>
      </c>
      <c r="D1537" s="2" t="s">
        <v>48</v>
      </c>
      <c r="E1537" s="2" t="s">
        <v>2732</v>
      </c>
      <c r="F1537" s="2" t="s">
        <v>2733</v>
      </c>
      <c r="G1537" s="2" t="s">
        <v>38</v>
      </c>
      <c r="H1537" s="2" t="s">
        <v>25</v>
      </c>
      <c r="I1537" s="2" t="s">
        <v>649</v>
      </c>
      <c r="J1537" s="2" t="s">
        <v>279</v>
      </c>
      <c r="K1537" s="2" t="s">
        <v>28</v>
      </c>
      <c r="L1537" s="2" t="s">
        <v>344</v>
      </c>
      <c r="M1537" s="2" t="s">
        <v>30</v>
      </c>
      <c r="N1537" s="2" t="s">
        <v>42</v>
      </c>
      <c r="O1537" s="2" t="s">
        <v>345</v>
      </c>
      <c r="P1537" s="4">
        <v>274.38290000000001</v>
      </c>
      <c r="Q1537" s="4">
        <v>3</v>
      </c>
      <c r="R1537" s="4">
        <v>119.2103</v>
      </c>
      <c r="S1537" s="2" t="s">
        <v>53</v>
      </c>
      <c r="T1537" s="2" t="s">
        <v>133</v>
      </c>
    </row>
    <row r="1538" spans="1:20" x14ac:dyDescent="0.25">
      <c r="A1538" s="2" t="s">
        <v>2734</v>
      </c>
      <c r="B1538" s="3">
        <v>42142</v>
      </c>
      <c r="C1538" s="3">
        <v>42148</v>
      </c>
      <c r="D1538" s="2" t="s">
        <v>55</v>
      </c>
      <c r="E1538" s="2" t="s">
        <v>1938</v>
      </c>
      <c r="F1538" s="2" t="s">
        <v>1939</v>
      </c>
      <c r="G1538" s="2" t="s">
        <v>58</v>
      </c>
      <c r="H1538" s="2" t="s">
        <v>25</v>
      </c>
      <c r="I1538" s="2" t="s">
        <v>243</v>
      </c>
      <c r="J1538" s="2" t="s">
        <v>244</v>
      </c>
      <c r="K1538" s="2" t="s">
        <v>61</v>
      </c>
      <c r="L1538" s="2" t="s">
        <v>131</v>
      </c>
      <c r="M1538" s="2" t="s">
        <v>30</v>
      </c>
      <c r="N1538" s="2" t="s">
        <v>31</v>
      </c>
      <c r="O1538" s="2" t="s">
        <v>132</v>
      </c>
      <c r="P1538" s="4">
        <v>18.8461</v>
      </c>
      <c r="Q1538" s="4">
        <v>2</v>
      </c>
      <c r="R1538" s="4">
        <v>-2.3578999999999999</v>
      </c>
      <c r="S1538" s="2" t="s">
        <v>65</v>
      </c>
      <c r="T1538" s="2" t="s">
        <v>122</v>
      </c>
    </row>
    <row r="1539" spans="1:20" x14ac:dyDescent="0.25">
      <c r="A1539" s="2" t="s">
        <v>2735</v>
      </c>
      <c r="B1539" s="3">
        <v>41858</v>
      </c>
      <c r="C1539" s="3">
        <v>41858</v>
      </c>
      <c r="D1539" s="2" t="s">
        <v>48</v>
      </c>
      <c r="E1539" s="2" t="s">
        <v>1752</v>
      </c>
      <c r="F1539" s="2" t="s">
        <v>1753</v>
      </c>
      <c r="G1539" s="2" t="s">
        <v>58</v>
      </c>
      <c r="H1539" s="2" t="s">
        <v>25</v>
      </c>
      <c r="I1539" s="2" t="s">
        <v>760</v>
      </c>
      <c r="J1539" s="2" t="s">
        <v>112</v>
      </c>
      <c r="K1539" s="2" t="s">
        <v>28</v>
      </c>
      <c r="L1539" s="2" t="s">
        <v>372</v>
      </c>
      <c r="M1539" s="2" t="s">
        <v>30</v>
      </c>
      <c r="N1539" s="2" t="s">
        <v>162</v>
      </c>
      <c r="O1539" s="2" t="s">
        <v>373</v>
      </c>
      <c r="P1539" s="4">
        <v>778.17550000000006</v>
      </c>
      <c r="Q1539" s="4">
        <v>2</v>
      </c>
      <c r="R1539" s="4">
        <v>349.0772</v>
      </c>
      <c r="S1539" s="2" t="s">
        <v>121</v>
      </c>
      <c r="T1539" s="2" t="s">
        <v>34</v>
      </c>
    </row>
    <row r="1540" spans="1:20" x14ac:dyDescent="0.25">
      <c r="A1540" s="2" t="s">
        <v>2736</v>
      </c>
      <c r="B1540" s="3">
        <v>42458</v>
      </c>
      <c r="C1540" s="3">
        <v>42458</v>
      </c>
      <c r="D1540" s="2" t="s">
        <v>21</v>
      </c>
      <c r="E1540" s="2" t="s">
        <v>2737</v>
      </c>
      <c r="F1540" s="2" t="s">
        <v>2738</v>
      </c>
      <c r="G1540" s="2" t="s">
        <v>58</v>
      </c>
      <c r="H1540" s="2" t="s">
        <v>25</v>
      </c>
      <c r="I1540" s="2" t="s">
        <v>485</v>
      </c>
      <c r="J1540" s="2" t="s">
        <v>251</v>
      </c>
      <c r="K1540" s="2" t="s">
        <v>147</v>
      </c>
      <c r="L1540" s="2" t="s">
        <v>174</v>
      </c>
      <c r="M1540" s="2" t="s">
        <v>30</v>
      </c>
      <c r="N1540" s="2" t="s">
        <v>31</v>
      </c>
      <c r="O1540" s="2" t="s">
        <v>175</v>
      </c>
      <c r="P1540" s="4">
        <v>4.4774000000000003</v>
      </c>
      <c r="Q1540" s="4">
        <v>2</v>
      </c>
      <c r="R1540" s="4">
        <v>2.0895999999999999</v>
      </c>
      <c r="S1540" s="2" t="s">
        <v>121</v>
      </c>
      <c r="T1540" s="2" t="s">
        <v>44</v>
      </c>
    </row>
    <row r="1541" spans="1:20" x14ac:dyDescent="0.25">
      <c r="A1541" s="2" t="s">
        <v>2739</v>
      </c>
      <c r="B1541" s="3">
        <v>42532</v>
      </c>
      <c r="C1541" s="3">
        <v>42532</v>
      </c>
      <c r="D1541" s="2" t="s">
        <v>48</v>
      </c>
      <c r="E1541" s="2" t="s">
        <v>2172</v>
      </c>
      <c r="F1541" s="2" t="s">
        <v>2173</v>
      </c>
      <c r="G1541" s="2" t="s">
        <v>58</v>
      </c>
      <c r="H1541" s="2" t="s">
        <v>25</v>
      </c>
      <c r="I1541" s="2" t="s">
        <v>233</v>
      </c>
      <c r="J1541" s="2" t="s">
        <v>234</v>
      </c>
      <c r="K1541" s="2" t="s">
        <v>82</v>
      </c>
      <c r="L1541" s="2" t="s">
        <v>200</v>
      </c>
      <c r="M1541" s="2" t="s">
        <v>30</v>
      </c>
      <c r="N1541" s="2" t="s">
        <v>162</v>
      </c>
      <c r="O1541" s="2" t="s">
        <v>201</v>
      </c>
      <c r="P1541" s="4">
        <v>171.649</v>
      </c>
      <c r="Q1541" s="4">
        <v>1</v>
      </c>
      <c r="R1541" s="4">
        <v>41.298099999999998</v>
      </c>
      <c r="S1541" s="2" t="s">
        <v>121</v>
      </c>
      <c r="T1541" s="2" t="s">
        <v>133</v>
      </c>
    </row>
    <row r="1542" spans="1:20" x14ac:dyDescent="0.25">
      <c r="A1542" s="2" t="s">
        <v>2740</v>
      </c>
      <c r="B1542" s="3">
        <v>42451</v>
      </c>
      <c r="C1542" s="3">
        <v>42452</v>
      </c>
      <c r="D1542" s="2" t="s">
        <v>21</v>
      </c>
      <c r="E1542" s="2" t="s">
        <v>1166</v>
      </c>
      <c r="F1542" s="2" t="s">
        <v>1167</v>
      </c>
      <c r="G1542" s="2" t="s">
        <v>58</v>
      </c>
      <c r="H1542" s="2" t="s">
        <v>25</v>
      </c>
      <c r="I1542" s="2" t="s">
        <v>469</v>
      </c>
      <c r="J1542" s="2" t="s">
        <v>470</v>
      </c>
      <c r="K1542" s="2" t="s">
        <v>28</v>
      </c>
      <c r="L1542" s="2" t="s">
        <v>29</v>
      </c>
      <c r="M1542" s="2" t="s">
        <v>30</v>
      </c>
      <c r="N1542" s="2" t="s">
        <v>31</v>
      </c>
      <c r="O1542" s="2" t="s">
        <v>32</v>
      </c>
      <c r="P1542" s="4">
        <v>27.878900000000002</v>
      </c>
      <c r="Q1542" s="4">
        <v>2</v>
      </c>
      <c r="R1542" s="4">
        <v>2.6318999999999999</v>
      </c>
      <c r="S1542" s="2" t="s">
        <v>33</v>
      </c>
      <c r="T1542" s="2" t="s">
        <v>44</v>
      </c>
    </row>
    <row r="1543" spans="1:20" x14ac:dyDescent="0.25">
      <c r="A1543" s="2" t="s">
        <v>2741</v>
      </c>
      <c r="B1543" s="3">
        <v>42411</v>
      </c>
      <c r="C1543" s="3">
        <v>42412</v>
      </c>
      <c r="D1543" s="2" t="s">
        <v>55</v>
      </c>
      <c r="E1543" s="2" t="s">
        <v>1986</v>
      </c>
      <c r="F1543" s="2" t="s">
        <v>1987</v>
      </c>
      <c r="G1543" s="2" t="s">
        <v>58</v>
      </c>
      <c r="H1543" s="2" t="s">
        <v>25</v>
      </c>
      <c r="I1543" s="2" t="s">
        <v>343</v>
      </c>
      <c r="J1543" s="2" t="s">
        <v>153</v>
      </c>
      <c r="K1543" s="2" t="s">
        <v>147</v>
      </c>
      <c r="L1543" s="2" t="s">
        <v>218</v>
      </c>
      <c r="M1543" s="2" t="s">
        <v>30</v>
      </c>
      <c r="N1543" s="2" t="s">
        <v>31</v>
      </c>
      <c r="O1543" s="2" t="s">
        <v>219</v>
      </c>
      <c r="P1543" s="4">
        <v>66.258200000000002</v>
      </c>
      <c r="Q1543" s="4">
        <v>2</v>
      </c>
      <c r="R1543" s="4">
        <v>-9.0175999999999998</v>
      </c>
      <c r="S1543" s="2" t="s">
        <v>33</v>
      </c>
      <c r="T1543" s="2" t="s">
        <v>101</v>
      </c>
    </row>
    <row r="1544" spans="1:20" x14ac:dyDescent="0.25">
      <c r="A1544" s="2" t="s">
        <v>2741</v>
      </c>
      <c r="B1544" s="3">
        <v>42411</v>
      </c>
      <c r="C1544" s="3">
        <v>42412</v>
      </c>
      <c r="D1544" s="2" t="s">
        <v>55</v>
      </c>
      <c r="E1544" s="2" t="s">
        <v>1986</v>
      </c>
      <c r="F1544" s="2" t="s">
        <v>1987</v>
      </c>
      <c r="G1544" s="2" t="s">
        <v>58</v>
      </c>
      <c r="H1544" s="2" t="s">
        <v>25</v>
      </c>
      <c r="I1544" s="2" t="s">
        <v>343</v>
      </c>
      <c r="J1544" s="2" t="s">
        <v>153</v>
      </c>
      <c r="K1544" s="2" t="s">
        <v>147</v>
      </c>
      <c r="L1544" s="2" t="s">
        <v>174</v>
      </c>
      <c r="M1544" s="2" t="s">
        <v>30</v>
      </c>
      <c r="N1544" s="2" t="s">
        <v>31</v>
      </c>
      <c r="O1544" s="2" t="s">
        <v>175</v>
      </c>
      <c r="P1544" s="4">
        <v>25.839200000000002</v>
      </c>
      <c r="Q1544" s="4">
        <v>4</v>
      </c>
      <c r="R1544" s="4">
        <v>-6.8730000000000002</v>
      </c>
      <c r="S1544" s="2" t="s">
        <v>33</v>
      </c>
      <c r="T1544" s="2" t="s">
        <v>101</v>
      </c>
    </row>
    <row r="1545" spans="1:20" x14ac:dyDescent="0.25">
      <c r="A1545" s="2" t="s">
        <v>2742</v>
      </c>
      <c r="B1545" s="3">
        <v>41644</v>
      </c>
      <c r="C1545" s="3">
        <v>41646</v>
      </c>
      <c r="D1545" s="2" t="s">
        <v>21</v>
      </c>
      <c r="E1545" s="2" t="s">
        <v>1322</v>
      </c>
      <c r="F1545" s="2" t="s">
        <v>1323</v>
      </c>
      <c r="G1545" s="2" t="s">
        <v>58</v>
      </c>
      <c r="H1545" s="2" t="s">
        <v>25</v>
      </c>
      <c r="I1545" s="2" t="s">
        <v>243</v>
      </c>
      <c r="J1545" s="2" t="s">
        <v>244</v>
      </c>
      <c r="K1545" s="2" t="s">
        <v>61</v>
      </c>
      <c r="L1545" s="2" t="s">
        <v>890</v>
      </c>
      <c r="M1545" s="2" t="s">
        <v>30</v>
      </c>
      <c r="N1545" s="2" t="s">
        <v>63</v>
      </c>
      <c r="O1545" s="2" t="s">
        <v>891</v>
      </c>
      <c r="P1545" s="4">
        <v>1038.0178000000001</v>
      </c>
      <c r="Q1545" s="4">
        <v>4</v>
      </c>
      <c r="R1545" s="4">
        <v>555.96310000000005</v>
      </c>
      <c r="S1545" s="2" t="s">
        <v>53</v>
      </c>
      <c r="T1545" s="2" t="s">
        <v>115</v>
      </c>
    </row>
    <row r="1546" spans="1:20" x14ac:dyDescent="0.25">
      <c r="A1546" s="2" t="s">
        <v>2743</v>
      </c>
      <c r="B1546" s="3">
        <v>42274</v>
      </c>
      <c r="C1546" s="3">
        <v>42274</v>
      </c>
      <c r="D1546" s="2" t="s">
        <v>48</v>
      </c>
      <c r="E1546" s="2" t="s">
        <v>117</v>
      </c>
      <c r="F1546" s="2" t="s">
        <v>118</v>
      </c>
      <c r="G1546" s="2" t="s">
        <v>58</v>
      </c>
      <c r="H1546" s="2" t="s">
        <v>25</v>
      </c>
      <c r="I1546" s="2" t="s">
        <v>825</v>
      </c>
      <c r="J1546" s="2" t="s">
        <v>753</v>
      </c>
      <c r="K1546" s="2" t="s">
        <v>147</v>
      </c>
      <c r="L1546" s="2" t="s">
        <v>66</v>
      </c>
      <c r="M1546" s="2" t="s">
        <v>30</v>
      </c>
      <c r="N1546" s="2" t="s">
        <v>31</v>
      </c>
      <c r="O1546" s="2" t="s">
        <v>67</v>
      </c>
      <c r="P1546" s="4">
        <v>21.139600000000002</v>
      </c>
      <c r="Q1546" s="4">
        <v>4</v>
      </c>
      <c r="R1546" s="4">
        <v>-7.4725000000000001</v>
      </c>
      <c r="S1546" s="2" t="s">
        <v>121</v>
      </c>
      <c r="T1546" s="2" t="s">
        <v>148</v>
      </c>
    </row>
    <row r="1547" spans="1:20" x14ac:dyDescent="0.25">
      <c r="A1547" s="2" t="s">
        <v>2744</v>
      </c>
      <c r="B1547" s="3">
        <v>41860</v>
      </c>
      <c r="C1547" s="3">
        <v>41867</v>
      </c>
      <c r="D1547" s="2" t="s">
        <v>55</v>
      </c>
      <c r="E1547" s="2" t="s">
        <v>558</v>
      </c>
      <c r="F1547" s="2" t="s">
        <v>559</v>
      </c>
      <c r="G1547" s="2" t="s">
        <v>58</v>
      </c>
      <c r="H1547" s="2" t="s">
        <v>25</v>
      </c>
      <c r="I1547" s="2" t="s">
        <v>274</v>
      </c>
      <c r="J1547" s="2" t="s">
        <v>146</v>
      </c>
      <c r="K1547" s="2" t="s">
        <v>147</v>
      </c>
      <c r="L1547" s="2" t="s">
        <v>99</v>
      </c>
      <c r="M1547" s="2" t="s">
        <v>30</v>
      </c>
      <c r="N1547" s="2" t="s">
        <v>42</v>
      </c>
      <c r="O1547" s="2" t="s">
        <v>100</v>
      </c>
      <c r="P1547" s="4">
        <v>252.83940000000001</v>
      </c>
      <c r="Q1547" s="4">
        <v>4</v>
      </c>
      <c r="R1547" s="4">
        <v>-74.471699999999998</v>
      </c>
      <c r="S1547" s="2" t="s">
        <v>107</v>
      </c>
      <c r="T1547" s="2" t="s">
        <v>34</v>
      </c>
    </row>
    <row r="1548" spans="1:20" x14ac:dyDescent="0.25">
      <c r="A1548" s="2" t="s">
        <v>2745</v>
      </c>
      <c r="B1548" s="3">
        <v>43073</v>
      </c>
      <c r="C1548" s="3">
        <v>43075</v>
      </c>
      <c r="D1548" s="2" t="s">
        <v>48</v>
      </c>
      <c r="E1548" s="2" t="s">
        <v>835</v>
      </c>
      <c r="F1548" s="2" t="s">
        <v>836</v>
      </c>
      <c r="G1548" s="2" t="s">
        <v>38</v>
      </c>
      <c r="H1548" s="2" t="s">
        <v>25</v>
      </c>
      <c r="I1548" s="2" t="s">
        <v>1243</v>
      </c>
      <c r="J1548" s="2" t="s">
        <v>595</v>
      </c>
      <c r="K1548" s="2" t="s">
        <v>61</v>
      </c>
      <c r="L1548" s="2" t="s">
        <v>200</v>
      </c>
      <c r="M1548" s="2" t="s">
        <v>30</v>
      </c>
      <c r="N1548" s="2" t="s">
        <v>162</v>
      </c>
      <c r="O1548" s="2" t="s">
        <v>201</v>
      </c>
      <c r="P1548" s="4">
        <v>319.70949999999999</v>
      </c>
      <c r="Q1548" s="4">
        <v>3</v>
      </c>
      <c r="R1548" s="4">
        <v>-211.1036</v>
      </c>
      <c r="S1548" s="2" t="s">
        <v>53</v>
      </c>
      <c r="T1548" s="2" t="s">
        <v>76</v>
      </c>
    </row>
    <row r="1549" spans="1:20" x14ac:dyDescent="0.25">
      <c r="A1549" s="2" t="s">
        <v>2746</v>
      </c>
      <c r="B1549" s="3">
        <v>42374</v>
      </c>
      <c r="C1549" s="3">
        <v>42375</v>
      </c>
      <c r="D1549" s="2" t="s">
        <v>48</v>
      </c>
      <c r="E1549" s="2" t="s">
        <v>975</v>
      </c>
      <c r="F1549" s="2" t="s">
        <v>976</v>
      </c>
      <c r="G1549" s="2" t="s">
        <v>38</v>
      </c>
      <c r="H1549" s="2" t="s">
        <v>25</v>
      </c>
      <c r="I1549" s="2" t="s">
        <v>198</v>
      </c>
      <c r="J1549" s="2" t="s">
        <v>199</v>
      </c>
      <c r="K1549" s="2" t="s">
        <v>82</v>
      </c>
      <c r="L1549" s="2" t="s">
        <v>139</v>
      </c>
      <c r="M1549" s="2" t="s">
        <v>30</v>
      </c>
      <c r="N1549" s="2" t="s">
        <v>42</v>
      </c>
      <c r="O1549" s="2" t="s">
        <v>140</v>
      </c>
      <c r="P1549" s="4">
        <v>304.8571</v>
      </c>
      <c r="Q1549" s="4">
        <v>5</v>
      </c>
      <c r="R1549" s="4">
        <v>115.2906</v>
      </c>
      <c r="S1549" s="2" t="s">
        <v>33</v>
      </c>
      <c r="T1549" s="2" t="s">
        <v>115</v>
      </c>
    </row>
    <row r="1550" spans="1:20" x14ac:dyDescent="0.25">
      <c r="A1550" s="2" t="s">
        <v>2747</v>
      </c>
      <c r="B1550" s="3">
        <v>41944</v>
      </c>
      <c r="C1550" s="3">
        <v>41944</v>
      </c>
      <c r="D1550" s="2" t="s">
        <v>142</v>
      </c>
      <c r="E1550" s="2" t="s">
        <v>238</v>
      </c>
      <c r="F1550" s="2" t="s">
        <v>239</v>
      </c>
      <c r="G1550" s="2" t="s">
        <v>58</v>
      </c>
      <c r="H1550" s="2" t="s">
        <v>25</v>
      </c>
      <c r="I1550" s="2" t="s">
        <v>152</v>
      </c>
      <c r="J1550" s="2" t="s">
        <v>153</v>
      </c>
      <c r="K1550" s="2" t="s">
        <v>147</v>
      </c>
      <c r="L1550" s="2" t="s">
        <v>131</v>
      </c>
      <c r="M1550" s="2" t="s">
        <v>30</v>
      </c>
      <c r="N1550" s="2" t="s">
        <v>31</v>
      </c>
      <c r="O1550" s="2" t="s">
        <v>132</v>
      </c>
      <c r="P1550" s="4">
        <v>34.228499999999997</v>
      </c>
      <c r="Q1550" s="4">
        <v>6</v>
      </c>
      <c r="R1550" s="4">
        <v>21.004200000000001</v>
      </c>
      <c r="S1550" s="2" t="s">
        <v>121</v>
      </c>
      <c r="T1550" s="2" t="s">
        <v>93</v>
      </c>
    </row>
    <row r="1551" spans="1:20" x14ac:dyDescent="0.25">
      <c r="A1551" s="2" t="s">
        <v>2748</v>
      </c>
      <c r="B1551" s="3">
        <v>42321</v>
      </c>
      <c r="C1551" s="3">
        <v>42325</v>
      </c>
      <c r="D1551" s="2" t="s">
        <v>55</v>
      </c>
      <c r="E1551" s="2" t="s">
        <v>1462</v>
      </c>
      <c r="F1551" s="2" t="s">
        <v>1463</v>
      </c>
      <c r="G1551" s="2" t="s">
        <v>58</v>
      </c>
      <c r="H1551" s="2" t="s">
        <v>25</v>
      </c>
      <c r="I1551" s="2" t="s">
        <v>829</v>
      </c>
      <c r="J1551" s="2" t="s">
        <v>199</v>
      </c>
      <c r="K1551" s="2" t="s">
        <v>82</v>
      </c>
      <c r="L1551" s="2" t="s">
        <v>139</v>
      </c>
      <c r="M1551" s="2" t="s">
        <v>30</v>
      </c>
      <c r="N1551" s="2" t="s">
        <v>42</v>
      </c>
      <c r="O1551" s="2" t="s">
        <v>140</v>
      </c>
      <c r="P1551" s="4">
        <v>382.20479999999998</v>
      </c>
      <c r="Q1551" s="4">
        <v>6</v>
      </c>
      <c r="R1551" s="4">
        <v>246.79939999999999</v>
      </c>
      <c r="S1551" s="2" t="s">
        <v>75</v>
      </c>
      <c r="T1551" s="2" t="s">
        <v>93</v>
      </c>
    </row>
    <row r="1552" spans="1:20" x14ac:dyDescent="0.25">
      <c r="A1552" s="2" t="s">
        <v>2748</v>
      </c>
      <c r="B1552" s="3">
        <v>42321</v>
      </c>
      <c r="C1552" s="3">
        <v>42325</v>
      </c>
      <c r="D1552" s="2" t="s">
        <v>55</v>
      </c>
      <c r="E1552" s="2" t="s">
        <v>1462</v>
      </c>
      <c r="F1552" s="2" t="s">
        <v>1463</v>
      </c>
      <c r="G1552" s="2" t="s">
        <v>58</v>
      </c>
      <c r="H1552" s="2" t="s">
        <v>25</v>
      </c>
      <c r="I1552" s="2" t="s">
        <v>829</v>
      </c>
      <c r="J1552" s="2" t="s">
        <v>199</v>
      </c>
      <c r="K1552" s="2" t="s">
        <v>82</v>
      </c>
      <c r="L1552" s="2" t="s">
        <v>186</v>
      </c>
      <c r="M1552" s="2" t="s">
        <v>30</v>
      </c>
      <c r="N1552" s="2" t="s">
        <v>31</v>
      </c>
      <c r="O1552" s="2" t="s">
        <v>187</v>
      </c>
      <c r="P1552" s="4">
        <v>50.115600000000001</v>
      </c>
      <c r="Q1552" s="4">
        <v>1</v>
      </c>
      <c r="R1552" s="4">
        <v>-3.0301999999999998</v>
      </c>
      <c r="S1552" s="2" t="s">
        <v>75</v>
      </c>
      <c r="T1552" s="2" t="s">
        <v>93</v>
      </c>
    </row>
    <row r="1553" spans="1:20" x14ac:dyDescent="0.25">
      <c r="A1553" s="2" t="s">
        <v>2749</v>
      </c>
      <c r="B1553" s="3">
        <v>41960</v>
      </c>
      <c r="C1553" s="3">
        <v>41967</v>
      </c>
      <c r="D1553" s="2" t="s">
        <v>55</v>
      </c>
      <c r="E1553" s="2" t="s">
        <v>1766</v>
      </c>
      <c r="F1553" s="2" t="s">
        <v>1767</v>
      </c>
      <c r="G1553" s="2" t="s">
        <v>58</v>
      </c>
      <c r="H1553" s="2" t="s">
        <v>25</v>
      </c>
      <c r="I1553" s="2" t="s">
        <v>752</v>
      </c>
      <c r="J1553" s="2" t="s">
        <v>753</v>
      </c>
      <c r="K1553" s="2" t="s">
        <v>147</v>
      </c>
      <c r="L1553" s="2" t="s">
        <v>218</v>
      </c>
      <c r="M1553" s="2" t="s">
        <v>30</v>
      </c>
      <c r="N1553" s="2" t="s">
        <v>31</v>
      </c>
      <c r="O1553" s="2" t="s">
        <v>219</v>
      </c>
      <c r="P1553" s="4">
        <v>42.904699999999998</v>
      </c>
      <c r="Q1553" s="4">
        <v>1</v>
      </c>
      <c r="R1553" s="4">
        <v>-4.01</v>
      </c>
      <c r="S1553" s="2" t="s">
        <v>107</v>
      </c>
      <c r="T1553" s="2" t="s">
        <v>93</v>
      </c>
    </row>
    <row r="1554" spans="1:20" x14ac:dyDescent="0.25">
      <c r="A1554" s="2" t="s">
        <v>2750</v>
      </c>
      <c r="B1554" s="3">
        <v>42302</v>
      </c>
      <c r="C1554" s="3">
        <v>42302</v>
      </c>
      <c r="D1554" s="2" t="s">
        <v>142</v>
      </c>
      <c r="E1554" s="2" t="s">
        <v>1761</v>
      </c>
      <c r="F1554" s="2" t="s">
        <v>1762</v>
      </c>
      <c r="G1554" s="2" t="s">
        <v>24</v>
      </c>
      <c r="H1554" s="2" t="s">
        <v>25</v>
      </c>
      <c r="I1554" s="2" t="s">
        <v>699</v>
      </c>
      <c r="J1554" s="2" t="s">
        <v>339</v>
      </c>
      <c r="K1554" s="2" t="s">
        <v>82</v>
      </c>
      <c r="L1554" s="2" t="s">
        <v>323</v>
      </c>
      <c r="M1554" s="2" t="s">
        <v>30</v>
      </c>
      <c r="N1554" s="2" t="s">
        <v>31</v>
      </c>
      <c r="O1554" s="2" t="s">
        <v>324</v>
      </c>
      <c r="P1554" s="4">
        <v>368.73590000000002</v>
      </c>
      <c r="Q1554" s="4">
        <v>3</v>
      </c>
      <c r="R1554" s="4">
        <v>104.3057</v>
      </c>
      <c r="S1554" s="2" t="s">
        <v>121</v>
      </c>
      <c r="T1554" s="2" t="s">
        <v>224</v>
      </c>
    </row>
    <row r="1555" spans="1:20" x14ac:dyDescent="0.25">
      <c r="A1555" s="2" t="s">
        <v>2751</v>
      </c>
      <c r="B1555" s="3">
        <v>41655</v>
      </c>
      <c r="C1555" s="3">
        <v>41657</v>
      </c>
      <c r="D1555" s="2" t="s">
        <v>55</v>
      </c>
      <c r="E1555" s="2" t="s">
        <v>451</v>
      </c>
      <c r="F1555" s="2" t="s">
        <v>452</v>
      </c>
      <c r="G1555" s="2" t="s">
        <v>58</v>
      </c>
      <c r="H1555" s="2" t="s">
        <v>25</v>
      </c>
      <c r="I1555" s="2" t="s">
        <v>80</v>
      </c>
      <c r="J1555" s="2" t="s">
        <v>81</v>
      </c>
      <c r="K1555" s="2" t="s">
        <v>82</v>
      </c>
      <c r="L1555" s="2" t="s">
        <v>131</v>
      </c>
      <c r="M1555" s="2" t="s">
        <v>30</v>
      </c>
      <c r="N1555" s="2" t="s">
        <v>31</v>
      </c>
      <c r="O1555" s="2" t="s">
        <v>132</v>
      </c>
      <c r="P1555" s="4">
        <v>40.2089</v>
      </c>
      <c r="Q1555" s="4">
        <v>2</v>
      </c>
      <c r="R1555" s="4">
        <v>18.8413</v>
      </c>
      <c r="S1555" s="2" t="s">
        <v>53</v>
      </c>
      <c r="T1555" s="2" t="s">
        <v>115</v>
      </c>
    </row>
    <row r="1556" spans="1:20" x14ac:dyDescent="0.25">
      <c r="A1556" s="2" t="s">
        <v>2752</v>
      </c>
      <c r="B1556" s="3">
        <v>42054</v>
      </c>
      <c r="C1556" s="3">
        <v>42058</v>
      </c>
      <c r="D1556" s="2" t="s">
        <v>21</v>
      </c>
      <c r="E1556" s="2" t="s">
        <v>1554</v>
      </c>
      <c r="F1556" s="2" t="s">
        <v>1555</v>
      </c>
      <c r="G1556" s="2" t="s">
        <v>58</v>
      </c>
      <c r="H1556" s="2" t="s">
        <v>25</v>
      </c>
      <c r="I1556" s="2" t="s">
        <v>179</v>
      </c>
      <c r="J1556" s="2" t="s">
        <v>180</v>
      </c>
      <c r="K1556" s="2" t="s">
        <v>147</v>
      </c>
      <c r="L1556" s="2" t="s">
        <v>618</v>
      </c>
      <c r="M1556" s="2" t="s">
        <v>30</v>
      </c>
      <c r="N1556" s="2" t="s">
        <v>63</v>
      </c>
      <c r="O1556" s="2" t="s">
        <v>619</v>
      </c>
      <c r="P1556" s="4">
        <v>383.07139999999998</v>
      </c>
      <c r="Q1556" s="4">
        <v>2</v>
      </c>
      <c r="R1556" s="4">
        <v>48.104100000000003</v>
      </c>
      <c r="S1556" s="2" t="s">
        <v>75</v>
      </c>
      <c r="T1556" s="2" t="s">
        <v>101</v>
      </c>
    </row>
    <row r="1557" spans="1:20" x14ac:dyDescent="0.25">
      <c r="A1557" s="2" t="s">
        <v>2753</v>
      </c>
      <c r="B1557" s="3">
        <v>42666</v>
      </c>
      <c r="C1557" s="3">
        <v>42668</v>
      </c>
      <c r="D1557" s="2" t="s">
        <v>48</v>
      </c>
      <c r="E1557" s="2" t="s">
        <v>384</v>
      </c>
      <c r="F1557" s="2" t="s">
        <v>385</v>
      </c>
      <c r="G1557" s="2" t="s">
        <v>58</v>
      </c>
      <c r="H1557" s="2" t="s">
        <v>25</v>
      </c>
      <c r="I1557" s="2" t="s">
        <v>26</v>
      </c>
      <c r="J1557" s="2" t="s">
        <v>91</v>
      </c>
      <c r="K1557" s="2" t="s">
        <v>61</v>
      </c>
      <c r="L1557" s="2" t="s">
        <v>45</v>
      </c>
      <c r="M1557" s="2" t="s">
        <v>30</v>
      </c>
      <c r="N1557" s="2" t="s">
        <v>31</v>
      </c>
      <c r="O1557" s="2" t="s">
        <v>46</v>
      </c>
      <c r="P1557" s="4">
        <v>207.60939999999999</v>
      </c>
      <c r="Q1557" s="4">
        <v>3</v>
      </c>
      <c r="R1557" s="4">
        <v>39.636800000000001</v>
      </c>
      <c r="S1557" s="2" t="s">
        <v>53</v>
      </c>
      <c r="T1557" s="2" t="s">
        <v>224</v>
      </c>
    </row>
    <row r="1558" spans="1:20" x14ac:dyDescent="0.25">
      <c r="A1558" s="2" t="s">
        <v>2754</v>
      </c>
      <c r="B1558" s="3">
        <v>41720</v>
      </c>
      <c r="C1558" s="3">
        <v>41726</v>
      </c>
      <c r="D1558" s="2" t="s">
        <v>55</v>
      </c>
      <c r="E1558" s="2" t="s">
        <v>1220</v>
      </c>
      <c r="F1558" s="2" t="s">
        <v>1221</v>
      </c>
      <c r="G1558" s="2" t="s">
        <v>38</v>
      </c>
      <c r="H1558" s="2" t="s">
        <v>25</v>
      </c>
      <c r="I1558" s="2" t="s">
        <v>233</v>
      </c>
      <c r="J1558" s="2" t="s">
        <v>234</v>
      </c>
      <c r="K1558" s="2" t="s">
        <v>82</v>
      </c>
      <c r="L1558" s="2" t="s">
        <v>252</v>
      </c>
      <c r="M1558" s="2" t="s">
        <v>30</v>
      </c>
      <c r="N1558" s="2" t="s">
        <v>31</v>
      </c>
      <c r="O1558" s="2" t="s">
        <v>253</v>
      </c>
      <c r="P1558" s="4">
        <v>16.128799999999998</v>
      </c>
      <c r="Q1558" s="4">
        <v>3</v>
      </c>
      <c r="R1558" s="4">
        <v>5.2301000000000002</v>
      </c>
      <c r="S1558" s="2" t="s">
        <v>65</v>
      </c>
      <c r="T1558" s="2" t="s">
        <v>44</v>
      </c>
    </row>
    <row r="1559" spans="1:20" x14ac:dyDescent="0.25">
      <c r="A1559" s="2" t="s">
        <v>2755</v>
      </c>
      <c r="B1559" s="3">
        <v>42611</v>
      </c>
      <c r="C1559" s="3">
        <v>42615</v>
      </c>
      <c r="D1559" s="2" t="s">
        <v>55</v>
      </c>
      <c r="E1559" s="2" t="s">
        <v>2563</v>
      </c>
      <c r="F1559" s="2" t="s">
        <v>2564</v>
      </c>
      <c r="G1559" s="2" t="s">
        <v>24</v>
      </c>
      <c r="H1559" s="2" t="s">
        <v>25</v>
      </c>
      <c r="I1559" s="2" t="s">
        <v>552</v>
      </c>
      <c r="J1559" s="2" t="s">
        <v>322</v>
      </c>
      <c r="K1559" s="2" t="s">
        <v>28</v>
      </c>
      <c r="L1559" s="2" t="s">
        <v>174</v>
      </c>
      <c r="M1559" s="2" t="s">
        <v>30</v>
      </c>
      <c r="N1559" s="2" t="s">
        <v>31</v>
      </c>
      <c r="O1559" s="2" t="s">
        <v>175</v>
      </c>
      <c r="P1559" s="4">
        <v>109.46169999999999</v>
      </c>
      <c r="Q1559" s="4">
        <v>3</v>
      </c>
      <c r="R1559" s="4">
        <v>23.8749</v>
      </c>
      <c r="S1559" s="2" t="s">
        <v>75</v>
      </c>
      <c r="T1559" s="2" t="s">
        <v>34</v>
      </c>
    </row>
    <row r="1560" spans="1:20" x14ac:dyDescent="0.25">
      <c r="A1560" s="2" t="s">
        <v>2756</v>
      </c>
      <c r="B1560" s="3">
        <v>42109</v>
      </c>
      <c r="C1560" s="3">
        <v>42109</v>
      </c>
      <c r="D1560" s="2" t="s">
        <v>142</v>
      </c>
      <c r="E1560" s="2" t="s">
        <v>1989</v>
      </c>
      <c r="F1560" s="2" t="s">
        <v>1990</v>
      </c>
      <c r="G1560" s="2" t="s">
        <v>58</v>
      </c>
      <c r="H1560" s="2" t="s">
        <v>25</v>
      </c>
      <c r="I1560" s="2" t="s">
        <v>423</v>
      </c>
      <c r="J1560" s="2" t="s">
        <v>424</v>
      </c>
      <c r="K1560" s="2" t="s">
        <v>28</v>
      </c>
      <c r="L1560" s="2" t="s">
        <v>193</v>
      </c>
      <c r="M1560" s="2" t="s">
        <v>30</v>
      </c>
      <c r="N1560" s="2" t="s">
        <v>42</v>
      </c>
      <c r="O1560" s="2" t="s">
        <v>194</v>
      </c>
      <c r="P1560" s="4">
        <v>172.27959999999999</v>
      </c>
      <c r="Q1560" s="4">
        <v>2</v>
      </c>
      <c r="R1560" s="4">
        <v>53.299300000000002</v>
      </c>
      <c r="S1560" s="2" t="s">
        <v>121</v>
      </c>
      <c r="T1560" s="2" t="s">
        <v>108</v>
      </c>
    </row>
    <row r="1561" spans="1:20" x14ac:dyDescent="0.25">
      <c r="A1561" s="2" t="s">
        <v>2757</v>
      </c>
      <c r="B1561" s="3">
        <v>41737</v>
      </c>
      <c r="C1561" s="3">
        <v>41739</v>
      </c>
      <c r="D1561" s="2" t="s">
        <v>48</v>
      </c>
      <c r="E1561" s="2" t="s">
        <v>2440</v>
      </c>
      <c r="F1561" s="2" t="s">
        <v>2441</v>
      </c>
      <c r="G1561" s="2" t="s">
        <v>38</v>
      </c>
      <c r="H1561" s="2" t="s">
        <v>25</v>
      </c>
      <c r="I1561" s="2" t="s">
        <v>297</v>
      </c>
      <c r="J1561" s="2" t="s">
        <v>234</v>
      </c>
      <c r="K1561" s="2" t="s">
        <v>82</v>
      </c>
      <c r="L1561" s="2" t="s">
        <v>131</v>
      </c>
      <c r="M1561" s="2" t="s">
        <v>30</v>
      </c>
      <c r="N1561" s="2" t="s">
        <v>31</v>
      </c>
      <c r="O1561" s="2" t="s">
        <v>132</v>
      </c>
      <c r="P1561" s="4">
        <v>58.381300000000003</v>
      </c>
      <c r="Q1561" s="4">
        <v>1</v>
      </c>
      <c r="R1561" s="4">
        <v>-6.4128999999999996</v>
      </c>
      <c r="S1561" s="2" t="s">
        <v>53</v>
      </c>
      <c r="T1561" s="2" t="s">
        <v>108</v>
      </c>
    </row>
    <row r="1562" spans="1:20" x14ac:dyDescent="0.25">
      <c r="A1562" s="2" t="s">
        <v>2758</v>
      </c>
      <c r="B1562" s="3">
        <v>42869</v>
      </c>
      <c r="C1562" s="3">
        <v>42870</v>
      </c>
      <c r="D1562" s="2" t="s">
        <v>21</v>
      </c>
      <c r="E1562" s="2" t="s">
        <v>835</v>
      </c>
      <c r="F1562" s="2" t="s">
        <v>836</v>
      </c>
      <c r="G1562" s="2" t="s">
        <v>24</v>
      </c>
      <c r="H1562" s="2" t="s">
        <v>25</v>
      </c>
      <c r="I1562" s="2" t="s">
        <v>1053</v>
      </c>
      <c r="J1562" s="2" t="s">
        <v>806</v>
      </c>
      <c r="K1562" s="2" t="s">
        <v>28</v>
      </c>
      <c r="L1562" s="2" t="s">
        <v>154</v>
      </c>
      <c r="M1562" s="2" t="s">
        <v>30</v>
      </c>
      <c r="N1562" s="2" t="s">
        <v>42</v>
      </c>
      <c r="O1562" s="2" t="s">
        <v>155</v>
      </c>
      <c r="P1562" s="4">
        <v>1142.5233000000001</v>
      </c>
      <c r="Q1562" s="4">
        <v>6</v>
      </c>
      <c r="R1562" s="4">
        <v>645.24130000000002</v>
      </c>
      <c r="S1562" s="2" t="s">
        <v>33</v>
      </c>
      <c r="T1562" s="2" t="s">
        <v>122</v>
      </c>
    </row>
    <row r="1563" spans="1:20" x14ac:dyDescent="0.25">
      <c r="A1563" s="2" t="s">
        <v>2758</v>
      </c>
      <c r="B1563" s="3">
        <v>42869</v>
      </c>
      <c r="C1563" s="3">
        <v>42870</v>
      </c>
      <c r="D1563" s="2" t="s">
        <v>21</v>
      </c>
      <c r="E1563" s="2" t="s">
        <v>835</v>
      </c>
      <c r="F1563" s="2" t="s">
        <v>836</v>
      </c>
      <c r="G1563" s="2" t="s">
        <v>24</v>
      </c>
      <c r="H1563" s="2" t="s">
        <v>25</v>
      </c>
      <c r="I1563" s="2" t="s">
        <v>1053</v>
      </c>
      <c r="J1563" s="2" t="s">
        <v>806</v>
      </c>
      <c r="K1563" s="2" t="s">
        <v>28</v>
      </c>
      <c r="L1563" s="2" t="s">
        <v>453</v>
      </c>
      <c r="M1563" s="2" t="s">
        <v>30</v>
      </c>
      <c r="N1563" s="2" t="s">
        <v>42</v>
      </c>
      <c r="O1563" s="2" t="s">
        <v>454</v>
      </c>
      <c r="P1563" s="4">
        <v>120.0628</v>
      </c>
      <c r="Q1563" s="4">
        <v>5</v>
      </c>
      <c r="R1563" s="4">
        <v>0.25690000000000002</v>
      </c>
      <c r="S1563" s="2" t="s">
        <v>33</v>
      </c>
      <c r="T1563" s="2" t="s">
        <v>122</v>
      </c>
    </row>
    <row r="1564" spans="1:20" x14ac:dyDescent="0.25">
      <c r="A1564" s="2" t="s">
        <v>2759</v>
      </c>
      <c r="B1564" s="3">
        <v>42983</v>
      </c>
      <c r="C1564" s="3">
        <v>42990</v>
      </c>
      <c r="D1564" s="2" t="s">
        <v>55</v>
      </c>
      <c r="E1564" s="2" t="s">
        <v>1465</v>
      </c>
      <c r="F1564" s="2" t="s">
        <v>1466</v>
      </c>
      <c r="G1564" s="2" t="s">
        <v>38</v>
      </c>
      <c r="H1564" s="2" t="s">
        <v>25</v>
      </c>
      <c r="I1564" s="2" t="s">
        <v>805</v>
      </c>
      <c r="J1564" s="2" t="s">
        <v>351</v>
      </c>
      <c r="K1564" s="2" t="s">
        <v>147</v>
      </c>
      <c r="L1564" s="2" t="s">
        <v>154</v>
      </c>
      <c r="M1564" s="2" t="s">
        <v>30</v>
      </c>
      <c r="N1564" s="2" t="s">
        <v>42</v>
      </c>
      <c r="O1564" s="2" t="s">
        <v>155</v>
      </c>
      <c r="P1564" s="4">
        <v>262.37819999999999</v>
      </c>
      <c r="Q1564" s="4">
        <v>6</v>
      </c>
      <c r="R1564" s="4">
        <v>21.303699999999999</v>
      </c>
      <c r="S1564" s="2" t="s">
        <v>107</v>
      </c>
      <c r="T1564" s="2" t="s">
        <v>148</v>
      </c>
    </row>
    <row r="1565" spans="1:20" x14ac:dyDescent="0.25">
      <c r="A1565" s="2" t="s">
        <v>2760</v>
      </c>
      <c r="B1565" s="3">
        <v>42168</v>
      </c>
      <c r="C1565" s="3">
        <v>42168</v>
      </c>
      <c r="D1565" s="2" t="s">
        <v>48</v>
      </c>
      <c r="E1565" s="2" t="s">
        <v>196</v>
      </c>
      <c r="F1565" s="2" t="s">
        <v>197</v>
      </c>
      <c r="G1565" s="2" t="s">
        <v>58</v>
      </c>
      <c r="H1565" s="2" t="s">
        <v>25</v>
      </c>
      <c r="I1565" s="2" t="s">
        <v>1055</v>
      </c>
      <c r="J1565" s="2" t="s">
        <v>106</v>
      </c>
      <c r="K1565" s="2" t="s">
        <v>61</v>
      </c>
      <c r="L1565" s="2" t="s">
        <v>83</v>
      </c>
      <c r="M1565" s="2" t="s">
        <v>30</v>
      </c>
      <c r="N1565" s="2" t="s">
        <v>42</v>
      </c>
      <c r="O1565" s="2" t="s">
        <v>84</v>
      </c>
      <c r="P1565" s="4">
        <v>221.74860000000001</v>
      </c>
      <c r="Q1565" s="4">
        <v>6</v>
      </c>
      <c r="R1565" s="4">
        <v>-56.08</v>
      </c>
      <c r="S1565" s="2" t="s">
        <v>121</v>
      </c>
      <c r="T1565" s="2" t="s">
        <v>133</v>
      </c>
    </row>
    <row r="1566" spans="1:20" x14ac:dyDescent="0.25">
      <c r="A1566" s="2" t="s">
        <v>2761</v>
      </c>
      <c r="B1566" s="3">
        <v>42273</v>
      </c>
      <c r="C1566" s="3">
        <v>42277</v>
      </c>
      <c r="D1566" s="2" t="s">
        <v>55</v>
      </c>
      <c r="E1566" s="2" t="s">
        <v>2762</v>
      </c>
      <c r="F1566" s="2" t="s">
        <v>2763</v>
      </c>
      <c r="G1566" s="2" t="s">
        <v>24</v>
      </c>
      <c r="H1566" s="2" t="s">
        <v>25</v>
      </c>
      <c r="I1566" s="2" t="s">
        <v>902</v>
      </c>
      <c r="J1566" s="2" t="s">
        <v>753</v>
      </c>
      <c r="K1566" s="2" t="s">
        <v>147</v>
      </c>
      <c r="L1566" s="2" t="s">
        <v>139</v>
      </c>
      <c r="M1566" s="2" t="s">
        <v>30</v>
      </c>
      <c r="N1566" s="2" t="s">
        <v>42</v>
      </c>
      <c r="O1566" s="2" t="s">
        <v>140</v>
      </c>
      <c r="P1566" s="4">
        <v>257.29500000000002</v>
      </c>
      <c r="Q1566" s="4">
        <v>3</v>
      </c>
      <c r="R1566" s="4">
        <v>-24.196300000000001</v>
      </c>
      <c r="S1566" s="2" t="s">
        <v>75</v>
      </c>
      <c r="T1566" s="2" t="s">
        <v>148</v>
      </c>
    </row>
    <row r="1567" spans="1:20" x14ac:dyDescent="0.25">
      <c r="A1567" s="2" t="s">
        <v>2761</v>
      </c>
      <c r="B1567" s="3">
        <v>42273</v>
      </c>
      <c r="C1567" s="3">
        <v>42277</v>
      </c>
      <c r="D1567" s="2" t="s">
        <v>55</v>
      </c>
      <c r="E1567" s="2" t="s">
        <v>2762</v>
      </c>
      <c r="F1567" s="2" t="s">
        <v>2763</v>
      </c>
      <c r="G1567" s="2" t="s">
        <v>24</v>
      </c>
      <c r="H1567" s="2" t="s">
        <v>25</v>
      </c>
      <c r="I1567" s="2" t="s">
        <v>902</v>
      </c>
      <c r="J1567" s="2" t="s">
        <v>753</v>
      </c>
      <c r="K1567" s="2" t="s">
        <v>147</v>
      </c>
      <c r="L1567" s="2" t="s">
        <v>453</v>
      </c>
      <c r="M1567" s="2" t="s">
        <v>30</v>
      </c>
      <c r="N1567" s="2" t="s">
        <v>42</v>
      </c>
      <c r="O1567" s="2" t="s">
        <v>454</v>
      </c>
      <c r="P1567" s="4">
        <v>200.9659</v>
      </c>
      <c r="Q1567" s="4">
        <v>5</v>
      </c>
      <c r="R1567" s="4">
        <v>30.221</v>
      </c>
      <c r="S1567" s="2" t="s">
        <v>75</v>
      </c>
      <c r="T1567" s="2" t="s">
        <v>148</v>
      </c>
    </row>
    <row r="1568" spans="1:20" x14ac:dyDescent="0.25">
      <c r="A1568" s="2" t="s">
        <v>2761</v>
      </c>
      <c r="B1568" s="3">
        <v>42273</v>
      </c>
      <c r="C1568" s="3">
        <v>42277</v>
      </c>
      <c r="D1568" s="2" t="s">
        <v>55</v>
      </c>
      <c r="E1568" s="2" t="s">
        <v>2762</v>
      </c>
      <c r="F1568" s="2" t="s">
        <v>2763</v>
      </c>
      <c r="G1568" s="2" t="s">
        <v>24</v>
      </c>
      <c r="H1568" s="2" t="s">
        <v>25</v>
      </c>
      <c r="I1568" s="2" t="s">
        <v>902</v>
      </c>
      <c r="J1568" s="2" t="s">
        <v>753</v>
      </c>
      <c r="K1568" s="2" t="s">
        <v>147</v>
      </c>
      <c r="L1568" s="2" t="s">
        <v>113</v>
      </c>
      <c r="M1568" s="2" t="s">
        <v>30</v>
      </c>
      <c r="N1568" s="2" t="s">
        <v>31</v>
      </c>
      <c r="O1568" s="2" t="s">
        <v>114</v>
      </c>
      <c r="P1568" s="4">
        <v>59.334000000000003</v>
      </c>
      <c r="Q1568" s="4">
        <v>8</v>
      </c>
      <c r="R1568" s="4">
        <v>-8.9341000000000008</v>
      </c>
      <c r="S1568" s="2" t="s">
        <v>75</v>
      </c>
      <c r="T1568" s="2" t="s">
        <v>148</v>
      </c>
    </row>
    <row r="1569" spans="1:20" x14ac:dyDescent="0.25">
      <c r="A1569" s="2" t="s">
        <v>2764</v>
      </c>
      <c r="B1569" s="3">
        <v>42592</v>
      </c>
      <c r="C1569" s="3">
        <v>42594</v>
      </c>
      <c r="D1569" s="2" t="s">
        <v>21</v>
      </c>
      <c r="E1569" s="2" t="s">
        <v>2765</v>
      </c>
      <c r="F1569" s="2" t="s">
        <v>2766</v>
      </c>
      <c r="G1569" s="2" t="s">
        <v>38</v>
      </c>
      <c r="H1569" s="2" t="s">
        <v>25</v>
      </c>
      <c r="I1569" s="2" t="s">
        <v>59</v>
      </c>
      <c r="J1569" s="2" t="s">
        <v>60</v>
      </c>
      <c r="K1569" s="2" t="s">
        <v>61</v>
      </c>
      <c r="L1569" s="2" t="s">
        <v>113</v>
      </c>
      <c r="M1569" s="2" t="s">
        <v>30</v>
      </c>
      <c r="N1569" s="2" t="s">
        <v>31</v>
      </c>
      <c r="O1569" s="2" t="s">
        <v>114</v>
      </c>
      <c r="P1569" s="4">
        <v>21.253299999999999</v>
      </c>
      <c r="Q1569" s="4">
        <v>9</v>
      </c>
      <c r="R1569" s="4">
        <v>23.378599999999999</v>
      </c>
      <c r="S1569" s="2" t="s">
        <v>53</v>
      </c>
      <c r="T1569" s="2" t="s">
        <v>34</v>
      </c>
    </row>
    <row r="1570" spans="1:20" x14ac:dyDescent="0.25">
      <c r="A1570" s="2" t="s">
        <v>2767</v>
      </c>
      <c r="B1570" s="3">
        <v>42152</v>
      </c>
      <c r="C1570" s="3">
        <v>42154</v>
      </c>
      <c r="D1570" s="2" t="s">
        <v>55</v>
      </c>
      <c r="E1570" s="2" t="s">
        <v>276</v>
      </c>
      <c r="F1570" s="2" t="s">
        <v>277</v>
      </c>
      <c r="G1570" s="2" t="s">
        <v>38</v>
      </c>
      <c r="H1570" s="2" t="s">
        <v>25</v>
      </c>
      <c r="I1570" s="2" t="s">
        <v>1212</v>
      </c>
      <c r="J1570" s="2" t="s">
        <v>496</v>
      </c>
      <c r="K1570" s="2" t="s">
        <v>147</v>
      </c>
      <c r="L1570" s="2" t="s">
        <v>207</v>
      </c>
      <c r="M1570" s="2" t="s">
        <v>30</v>
      </c>
      <c r="N1570" s="2" t="s">
        <v>31</v>
      </c>
      <c r="O1570" s="2" t="s">
        <v>208</v>
      </c>
      <c r="P1570" s="4">
        <v>139.98249999999999</v>
      </c>
      <c r="Q1570" s="4">
        <v>4</v>
      </c>
      <c r="R1570" s="4">
        <v>53.2712</v>
      </c>
      <c r="S1570" s="2" t="s">
        <v>53</v>
      </c>
      <c r="T1570" s="2" t="s">
        <v>122</v>
      </c>
    </row>
    <row r="1571" spans="1:20" x14ac:dyDescent="0.25">
      <c r="A1571" s="2" t="s">
        <v>2768</v>
      </c>
      <c r="B1571" s="3">
        <v>42620</v>
      </c>
      <c r="C1571" s="3">
        <v>42621</v>
      </c>
      <c r="D1571" s="2" t="s">
        <v>48</v>
      </c>
      <c r="E1571" s="2" t="s">
        <v>2119</v>
      </c>
      <c r="F1571" s="2" t="s">
        <v>2120</v>
      </c>
      <c r="G1571" s="2" t="s">
        <v>58</v>
      </c>
      <c r="H1571" s="2" t="s">
        <v>25</v>
      </c>
      <c r="I1571" s="2" t="s">
        <v>198</v>
      </c>
      <c r="J1571" s="2" t="s">
        <v>199</v>
      </c>
      <c r="K1571" s="2" t="s">
        <v>82</v>
      </c>
      <c r="L1571" s="2" t="s">
        <v>99</v>
      </c>
      <c r="M1571" s="2" t="s">
        <v>30</v>
      </c>
      <c r="N1571" s="2" t="s">
        <v>42</v>
      </c>
      <c r="O1571" s="2" t="s">
        <v>100</v>
      </c>
      <c r="P1571" s="4">
        <v>493.7527</v>
      </c>
      <c r="Q1571" s="4">
        <v>2</v>
      </c>
      <c r="R1571" s="4">
        <v>25.5045</v>
      </c>
      <c r="S1571" s="2" t="s">
        <v>33</v>
      </c>
      <c r="T1571" s="2" t="s">
        <v>148</v>
      </c>
    </row>
    <row r="1572" spans="1:20" x14ac:dyDescent="0.25">
      <c r="A1572" s="2" t="s">
        <v>2769</v>
      </c>
      <c r="B1572" s="3">
        <v>42630</v>
      </c>
      <c r="C1572" s="3">
        <v>42635</v>
      </c>
      <c r="D1572" s="2" t="s">
        <v>55</v>
      </c>
      <c r="E1572" s="2" t="s">
        <v>1517</v>
      </c>
      <c r="F1572" s="2" t="s">
        <v>1518</v>
      </c>
      <c r="G1572" s="2" t="s">
        <v>24</v>
      </c>
      <c r="H1572" s="2" t="s">
        <v>25</v>
      </c>
      <c r="I1572" s="2" t="s">
        <v>639</v>
      </c>
      <c r="J1572" s="2" t="s">
        <v>192</v>
      </c>
      <c r="K1572" s="2" t="s">
        <v>82</v>
      </c>
      <c r="L1572" s="2" t="s">
        <v>618</v>
      </c>
      <c r="M1572" s="2" t="s">
        <v>30</v>
      </c>
      <c r="N1572" s="2" t="s">
        <v>63</v>
      </c>
      <c r="O1572" s="2" t="s">
        <v>619</v>
      </c>
      <c r="P1572" s="4">
        <v>215.48390000000001</v>
      </c>
      <c r="Q1572" s="4">
        <v>1</v>
      </c>
      <c r="R1572" s="4">
        <v>3.1901999999999999</v>
      </c>
      <c r="S1572" s="2" t="s">
        <v>85</v>
      </c>
      <c r="T1572" s="2" t="s">
        <v>148</v>
      </c>
    </row>
    <row r="1573" spans="1:20" x14ac:dyDescent="0.25">
      <c r="A1573" s="2" t="s">
        <v>2770</v>
      </c>
      <c r="B1573" s="3">
        <v>42025</v>
      </c>
      <c r="C1573" s="3">
        <v>42025</v>
      </c>
      <c r="D1573" s="2" t="s">
        <v>55</v>
      </c>
      <c r="E1573" s="2" t="s">
        <v>2435</v>
      </c>
      <c r="F1573" s="2" t="s">
        <v>2436</v>
      </c>
      <c r="G1573" s="2" t="s">
        <v>58</v>
      </c>
      <c r="H1573" s="2" t="s">
        <v>25</v>
      </c>
      <c r="I1573" s="2" t="s">
        <v>360</v>
      </c>
      <c r="J1573" s="2" t="s">
        <v>160</v>
      </c>
      <c r="K1573" s="2" t="s">
        <v>61</v>
      </c>
      <c r="L1573" s="2" t="s">
        <v>252</v>
      </c>
      <c r="M1573" s="2" t="s">
        <v>30</v>
      </c>
      <c r="N1573" s="2" t="s">
        <v>31</v>
      </c>
      <c r="O1573" s="2" t="s">
        <v>253</v>
      </c>
      <c r="P1573" s="4">
        <v>323.21179999999998</v>
      </c>
      <c r="Q1573" s="4">
        <v>4</v>
      </c>
      <c r="R1573" s="4">
        <v>144.1634</v>
      </c>
      <c r="S1573" s="2" t="s">
        <v>121</v>
      </c>
      <c r="T1573" s="2" t="s">
        <v>115</v>
      </c>
    </row>
    <row r="1574" spans="1:20" x14ac:dyDescent="0.25">
      <c r="A1574" s="2" t="s">
        <v>2770</v>
      </c>
      <c r="B1574" s="3">
        <v>42025</v>
      </c>
      <c r="C1574" s="3">
        <v>42025</v>
      </c>
      <c r="D1574" s="2" t="s">
        <v>55</v>
      </c>
      <c r="E1574" s="2" t="s">
        <v>2435</v>
      </c>
      <c r="F1574" s="2" t="s">
        <v>2436</v>
      </c>
      <c r="G1574" s="2" t="s">
        <v>58</v>
      </c>
      <c r="H1574" s="2" t="s">
        <v>25</v>
      </c>
      <c r="I1574" s="2" t="s">
        <v>360</v>
      </c>
      <c r="J1574" s="2" t="s">
        <v>160</v>
      </c>
      <c r="K1574" s="2" t="s">
        <v>61</v>
      </c>
      <c r="L1574" s="2" t="s">
        <v>73</v>
      </c>
      <c r="M1574" s="2" t="s">
        <v>30</v>
      </c>
      <c r="N1574" s="2" t="s">
        <v>42</v>
      </c>
      <c r="O1574" s="2" t="s">
        <v>74</v>
      </c>
      <c r="P1574" s="4">
        <v>1040.4409000000001</v>
      </c>
      <c r="Q1574" s="4">
        <v>3</v>
      </c>
      <c r="R1574" s="4">
        <v>-206.85890000000001</v>
      </c>
      <c r="S1574" s="2" t="s">
        <v>121</v>
      </c>
      <c r="T1574" s="2" t="s">
        <v>115</v>
      </c>
    </row>
    <row r="1575" spans="1:20" x14ac:dyDescent="0.25">
      <c r="A1575" s="2" t="s">
        <v>2770</v>
      </c>
      <c r="B1575" s="3">
        <v>42025</v>
      </c>
      <c r="C1575" s="3">
        <v>42025</v>
      </c>
      <c r="D1575" s="2" t="s">
        <v>55</v>
      </c>
      <c r="E1575" s="2" t="s">
        <v>2435</v>
      </c>
      <c r="F1575" s="2" t="s">
        <v>2436</v>
      </c>
      <c r="G1575" s="2" t="s">
        <v>58</v>
      </c>
      <c r="H1575" s="2" t="s">
        <v>25</v>
      </c>
      <c r="I1575" s="2" t="s">
        <v>360</v>
      </c>
      <c r="J1575" s="2" t="s">
        <v>160</v>
      </c>
      <c r="K1575" s="2" t="s">
        <v>61</v>
      </c>
      <c r="L1575" s="2" t="s">
        <v>113</v>
      </c>
      <c r="M1575" s="2" t="s">
        <v>30</v>
      </c>
      <c r="N1575" s="2" t="s">
        <v>31</v>
      </c>
      <c r="O1575" s="2" t="s">
        <v>114</v>
      </c>
      <c r="P1575" s="4">
        <v>301.53089999999997</v>
      </c>
      <c r="Q1575" s="4">
        <v>2</v>
      </c>
      <c r="R1575" s="4">
        <v>87.9208</v>
      </c>
      <c r="S1575" s="2" t="s">
        <v>121</v>
      </c>
      <c r="T1575" s="2" t="s">
        <v>115</v>
      </c>
    </row>
    <row r="1576" spans="1:20" x14ac:dyDescent="0.25">
      <c r="A1576" s="2" t="s">
        <v>2771</v>
      </c>
      <c r="B1576" s="3">
        <v>41878</v>
      </c>
      <c r="C1576" s="3">
        <v>41880</v>
      </c>
      <c r="D1576" s="2" t="s">
        <v>21</v>
      </c>
      <c r="E1576" s="2" t="s">
        <v>103</v>
      </c>
      <c r="F1576" s="2" t="s">
        <v>104</v>
      </c>
      <c r="G1576" s="2" t="s">
        <v>58</v>
      </c>
      <c r="H1576" s="2" t="s">
        <v>25</v>
      </c>
      <c r="I1576" s="2" t="s">
        <v>1300</v>
      </c>
      <c r="J1576" s="2" t="s">
        <v>60</v>
      </c>
      <c r="K1576" s="2" t="s">
        <v>61</v>
      </c>
      <c r="L1576" s="2" t="s">
        <v>372</v>
      </c>
      <c r="M1576" s="2" t="s">
        <v>30</v>
      </c>
      <c r="N1576" s="2" t="s">
        <v>162</v>
      </c>
      <c r="O1576" s="2" t="s">
        <v>373</v>
      </c>
      <c r="P1576" s="4">
        <v>860.9452</v>
      </c>
      <c r="Q1576" s="4">
        <v>5</v>
      </c>
      <c r="R1576" s="4">
        <v>-432.08019999999999</v>
      </c>
      <c r="S1576" s="2" t="s">
        <v>53</v>
      </c>
      <c r="T1576" s="2" t="s">
        <v>34</v>
      </c>
    </row>
    <row r="1577" spans="1:20" x14ac:dyDescent="0.25">
      <c r="A1577" s="2" t="s">
        <v>2772</v>
      </c>
      <c r="B1577" s="3">
        <v>42240</v>
      </c>
      <c r="C1577" s="3">
        <v>42243</v>
      </c>
      <c r="D1577" s="2" t="s">
        <v>21</v>
      </c>
      <c r="E1577" s="2" t="s">
        <v>268</v>
      </c>
      <c r="F1577" s="2" t="s">
        <v>269</v>
      </c>
      <c r="G1577" s="2" t="s">
        <v>58</v>
      </c>
      <c r="H1577" s="2" t="s">
        <v>25</v>
      </c>
      <c r="I1577" s="2" t="s">
        <v>799</v>
      </c>
      <c r="J1577" s="2" t="s">
        <v>160</v>
      </c>
      <c r="K1577" s="2" t="s">
        <v>61</v>
      </c>
      <c r="L1577" s="2" t="s">
        <v>193</v>
      </c>
      <c r="M1577" s="2" t="s">
        <v>30</v>
      </c>
      <c r="N1577" s="2" t="s">
        <v>42</v>
      </c>
      <c r="O1577" s="2" t="s">
        <v>194</v>
      </c>
      <c r="P1577" s="4">
        <v>772.81709999999998</v>
      </c>
      <c r="Q1577" s="4">
        <v>3</v>
      </c>
      <c r="R1577" s="4">
        <v>-151.3486</v>
      </c>
      <c r="S1577" s="2" t="s">
        <v>92</v>
      </c>
      <c r="T1577" s="2" t="s">
        <v>34</v>
      </c>
    </row>
    <row r="1578" spans="1:20" x14ac:dyDescent="0.25">
      <c r="A1578" s="2" t="s">
        <v>2772</v>
      </c>
      <c r="B1578" s="3">
        <v>42240</v>
      </c>
      <c r="C1578" s="3">
        <v>42243</v>
      </c>
      <c r="D1578" s="2" t="s">
        <v>21</v>
      </c>
      <c r="E1578" s="2" t="s">
        <v>268</v>
      </c>
      <c r="F1578" s="2" t="s">
        <v>269</v>
      </c>
      <c r="G1578" s="2" t="s">
        <v>58</v>
      </c>
      <c r="H1578" s="2" t="s">
        <v>25</v>
      </c>
      <c r="I1578" s="2" t="s">
        <v>799</v>
      </c>
      <c r="J1578" s="2" t="s">
        <v>160</v>
      </c>
      <c r="K1578" s="2" t="s">
        <v>61</v>
      </c>
      <c r="L1578" s="2" t="s">
        <v>113</v>
      </c>
      <c r="M1578" s="2" t="s">
        <v>30</v>
      </c>
      <c r="N1578" s="2" t="s">
        <v>31</v>
      </c>
      <c r="O1578" s="2" t="s">
        <v>114</v>
      </c>
      <c r="P1578" s="4">
        <v>96.6203</v>
      </c>
      <c r="Q1578" s="4">
        <v>1</v>
      </c>
      <c r="R1578" s="4">
        <v>46.860500000000002</v>
      </c>
      <c r="S1578" s="2" t="s">
        <v>92</v>
      </c>
      <c r="T1578" s="2" t="s">
        <v>34</v>
      </c>
    </row>
    <row r="1579" spans="1:20" x14ac:dyDescent="0.25">
      <c r="A1579" s="2" t="s">
        <v>2772</v>
      </c>
      <c r="B1579" s="3">
        <v>42240</v>
      </c>
      <c r="C1579" s="3">
        <v>42243</v>
      </c>
      <c r="D1579" s="2" t="s">
        <v>21</v>
      </c>
      <c r="E1579" s="2" t="s">
        <v>268</v>
      </c>
      <c r="F1579" s="2" t="s">
        <v>269</v>
      </c>
      <c r="G1579" s="2" t="s">
        <v>58</v>
      </c>
      <c r="H1579" s="2" t="s">
        <v>25</v>
      </c>
      <c r="I1579" s="2" t="s">
        <v>799</v>
      </c>
      <c r="J1579" s="2" t="s">
        <v>160</v>
      </c>
      <c r="K1579" s="2" t="s">
        <v>61</v>
      </c>
      <c r="L1579" s="2" t="s">
        <v>139</v>
      </c>
      <c r="M1579" s="2" t="s">
        <v>30</v>
      </c>
      <c r="N1579" s="2" t="s">
        <v>42</v>
      </c>
      <c r="O1579" s="2" t="s">
        <v>140</v>
      </c>
      <c r="P1579" s="4">
        <v>165.82390000000001</v>
      </c>
      <c r="Q1579" s="4">
        <v>2</v>
      </c>
      <c r="R1579" s="4">
        <v>-50.832700000000003</v>
      </c>
      <c r="S1579" s="2" t="s">
        <v>92</v>
      </c>
      <c r="T1579" s="2" t="s">
        <v>34</v>
      </c>
    </row>
    <row r="1580" spans="1:20" x14ac:dyDescent="0.25">
      <c r="A1580" s="2" t="s">
        <v>2772</v>
      </c>
      <c r="B1580" s="3">
        <v>42240</v>
      </c>
      <c r="C1580" s="3">
        <v>42243</v>
      </c>
      <c r="D1580" s="2" t="s">
        <v>21</v>
      </c>
      <c r="E1580" s="2" t="s">
        <v>268</v>
      </c>
      <c r="F1580" s="2" t="s">
        <v>269</v>
      </c>
      <c r="G1580" s="2" t="s">
        <v>58</v>
      </c>
      <c r="H1580" s="2" t="s">
        <v>25</v>
      </c>
      <c r="I1580" s="2" t="s">
        <v>799</v>
      </c>
      <c r="J1580" s="2" t="s">
        <v>160</v>
      </c>
      <c r="K1580" s="2" t="s">
        <v>61</v>
      </c>
      <c r="L1580" s="2" t="s">
        <v>83</v>
      </c>
      <c r="M1580" s="2" t="s">
        <v>30</v>
      </c>
      <c r="N1580" s="2" t="s">
        <v>42</v>
      </c>
      <c r="O1580" s="2" t="s">
        <v>84</v>
      </c>
      <c r="P1580" s="4">
        <v>225.9025</v>
      </c>
      <c r="Q1580" s="4">
        <v>1</v>
      </c>
      <c r="R1580" s="4">
        <v>-15.1508</v>
      </c>
      <c r="S1580" s="2" t="s">
        <v>92</v>
      </c>
      <c r="T1580" s="2" t="s">
        <v>34</v>
      </c>
    </row>
    <row r="1581" spans="1:20" x14ac:dyDescent="0.25">
      <c r="A1581" s="2" t="s">
        <v>2773</v>
      </c>
      <c r="B1581" s="3">
        <v>42473</v>
      </c>
      <c r="C1581" s="3">
        <v>42475</v>
      </c>
      <c r="D1581" s="2" t="s">
        <v>48</v>
      </c>
      <c r="E1581" s="2" t="s">
        <v>2240</v>
      </c>
      <c r="F1581" s="2" t="s">
        <v>2241</v>
      </c>
      <c r="G1581" s="2" t="s">
        <v>24</v>
      </c>
      <c r="H1581" s="2" t="s">
        <v>25</v>
      </c>
      <c r="I1581" s="2" t="s">
        <v>434</v>
      </c>
      <c r="J1581" s="2" t="s">
        <v>435</v>
      </c>
      <c r="K1581" s="2" t="s">
        <v>61</v>
      </c>
      <c r="L1581" s="2" t="s">
        <v>186</v>
      </c>
      <c r="M1581" s="2" t="s">
        <v>30</v>
      </c>
      <c r="N1581" s="2" t="s">
        <v>31</v>
      </c>
      <c r="O1581" s="2" t="s">
        <v>187</v>
      </c>
      <c r="P1581" s="4">
        <v>48.8416</v>
      </c>
      <c r="Q1581" s="4">
        <v>4</v>
      </c>
      <c r="R1581" s="4">
        <v>-10.318099999999999</v>
      </c>
      <c r="S1581" s="2" t="s">
        <v>53</v>
      </c>
      <c r="T1581" s="2" t="s">
        <v>108</v>
      </c>
    </row>
    <row r="1582" spans="1:20" x14ac:dyDescent="0.25">
      <c r="A1582" s="2" t="s">
        <v>2774</v>
      </c>
      <c r="B1582" s="3">
        <v>41872</v>
      </c>
      <c r="C1582" s="3">
        <v>41873</v>
      </c>
      <c r="D1582" s="2" t="s">
        <v>55</v>
      </c>
      <c r="E1582" s="2" t="s">
        <v>939</v>
      </c>
      <c r="F1582" s="2" t="s">
        <v>940</v>
      </c>
      <c r="G1582" s="2" t="s">
        <v>38</v>
      </c>
      <c r="H1582" s="2" t="s">
        <v>25</v>
      </c>
      <c r="I1582" s="2" t="s">
        <v>1300</v>
      </c>
      <c r="J1582" s="2" t="s">
        <v>60</v>
      </c>
      <c r="K1582" s="2" t="s">
        <v>61</v>
      </c>
      <c r="L1582" s="2" t="s">
        <v>453</v>
      </c>
      <c r="M1582" s="2" t="s">
        <v>30</v>
      </c>
      <c r="N1582" s="2" t="s">
        <v>42</v>
      </c>
      <c r="O1582" s="2" t="s">
        <v>454</v>
      </c>
      <c r="P1582" s="4">
        <v>448.9117</v>
      </c>
      <c r="Q1582" s="4">
        <v>3</v>
      </c>
      <c r="R1582" s="4">
        <v>273.51499999999999</v>
      </c>
      <c r="S1582" s="2" t="s">
        <v>33</v>
      </c>
      <c r="T1582" s="2" t="s">
        <v>34</v>
      </c>
    </row>
    <row r="1583" spans="1:20" x14ac:dyDescent="0.25">
      <c r="A1583" s="2" t="s">
        <v>2775</v>
      </c>
      <c r="B1583" s="3">
        <v>42748</v>
      </c>
      <c r="C1583" s="3">
        <v>42754</v>
      </c>
      <c r="D1583" s="2" t="s">
        <v>55</v>
      </c>
      <c r="E1583" s="2" t="s">
        <v>615</v>
      </c>
      <c r="F1583" s="2" t="s">
        <v>616</v>
      </c>
      <c r="G1583" s="2" t="s">
        <v>24</v>
      </c>
      <c r="H1583" s="2" t="s">
        <v>25</v>
      </c>
      <c r="I1583" s="2" t="s">
        <v>539</v>
      </c>
      <c r="J1583" s="2" t="s">
        <v>91</v>
      </c>
      <c r="K1583" s="2" t="s">
        <v>61</v>
      </c>
      <c r="L1583" s="2" t="s">
        <v>719</v>
      </c>
      <c r="M1583" s="2" t="s">
        <v>30</v>
      </c>
      <c r="N1583" s="2" t="s">
        <v>63</v>
      </c>
      <c r="O1583" s="2" t="s">
        <v>720</v>
      </c>
      <c r="P1583" s="4">
        <v>270.14240000000001</v>
      </c>
      <c r="Q1583" s="4">
        <v>5</v>
      </c>
      <c r="R1583" s="4">
        <v>-14.6234</v>
      </c>
      <c r="S1583" s="2" t="s">
        <v>65</v>
      </c>
      <c r="T1583" s="2" t="s">
        <v>115</v>
      </c>
    </row>
    <row r="1584" spans="1:20" x14ac:dyDescent="0.25">
      <c r="A1584" s="2" t="s">
        <v>2776</v>
      </c>
      <c r="B1584" s="3">
        <v>41830</v>
      </c>
      <c r="C1584" s="3">
        <v>41830</v>
      </c>
      <c r="D1584" s="2" t="s">
        <v>142</v>
      </c>
      <c r="E1584" s="2" t="s">
        <v>2245</v>
      </c>
      <c r="F1584" s="2" t="s">
        <v>1439</v>
      </c>
      <c r="G1584" s="2" t="s">
        <v>38</v>
      </c>
      <c r="H1584" s="2" t="s">
        <v>25</v>
      </c>
      <c r="I1584" s="2" t="s">
        <v>1697</v>
      </c>
      <c r="J1584" s="2" t="s">
        <v>52</v>
      </c>
      <c r="K1584" s="2" t="s">
        <v>28</v>
      </c>
      <c r="L1584" s="2" t="s">
        <v>618</v>
      </c>
      <c r="M1584" s="2" t="s">
        <v>30</v>
      </c>
      <c r="N1584" s="2" t="s">
        <v>63</v>
      </c>
      <c r="O1584" s="2" t="s">
        <v>619</v>
      </c>
      <c r="P1584" s="4">
        <v>1583.0518</v>
      </c>
      <c r="Q1584" s="4">
        <v>5</v>
      </c>
      <c r="R1584" s="4">
        <v>-103.6159</v>
      </c>
      <c r="S1584" s="2" t="s">
        <v>121</v>
      </c>
      <c r="T1584" s="2" t="s">
        <v>86</v>
      </c>
    </row>
    <row r="1585" spans="1:20" x14ac:dyDescent="0.25">
      <c r="A1585" s="2" t="s">
        <v>2777</v>
      </c>
      <c r="B1585" s="3">
        <v>41727</v>
      </c>
      <c r="C1585" s="3">
        <v>41730</v>
      </c>
      <c r="D1585" s="2" t="s">
        <v>55</v>
      </c>
      <c r="E1585" s="2" t="s">
        <v>717</v>
      </c>
      <c r="F1585" s="2" t="s">
        <v>718</v>
      </c>
      <c r="G1585" s="2" t="s">
        <v>58</v>
      </c>
      <c r="H1585" s="2" t="s">
        <v>25</v>
      </c>
      <c r="I1585" s="2" t="s">
        <v>910</v>
      </c>
      <c r="J1585" s="2" t="s">
        <v>260</v>
      </c>
      <c r="K1585" s="2" t="s">
        <v>147</v>
      </c>
      <c r="L1585" s="2" t="s">
        <v>99</v>
      </c>
      <c r="M1585" s="2" t="s">
        <v>30</v>
      </c>
      <c r="N1585" s="2" t="s">
        <v>42</v>
      </c>
      <c r="O1585" s="2" t="s">
        <v>100</v>
      </c>
      <c r="P1585" s="4">
        <v>288.7278</v>
      </c>
      <c r="Q1585" s="4">
        <v>2</v>
      </c>
      <c r="R1585" s="4">
        <v>35.366799999999998</v>
      </c>
      <c r="S1585" s="2" t="s">
        <v>92</v>
      </c>
      <c r="T1585" s="2" t="s">
        <v>44</v>
      </c>
    </row>
    <row r="1586" spans="1:20" x14ac:dyDescent="0.25">
      <c r="A1586" s="2" t="s">
        <v>2778</v>
      </c>
      <c r="B1586" s="3">
        <v>42805</v>
      </c>
      <c r="C1586" s="3">
        <v>42808</v>
      </c>
      <c r="D1586" s="2" t="s">
        <v>55</v>
      </c>
      <c r="E1586" s="2" t="s">
        <v>1621</v>
      </c>
      <c r="F1586" s="2" t="s">
        <v>1622</v>
      </c>
      <c r="G1586" s="2" t="s">
        <v>24</v>
      </c>
      <c r="H1586" s="2" t="s">
        <v>25</v>
      </c>
      <c r="I1586" s="2" t="s">
        <v>437</v>
      </c>
      <c r="J1586" s="2" t="s">
        <v>217</v>
      </c>
      <c r="K1586" s="2" t="s">
        <v>82</v>
      </c>
      <c r="L1586" s="2" t="s">
        <v>513</v>
      </c>
      <c r="M1586" s="2" t="s">
        <v>30</v>
      </c>
      <c r="N1586" s="2" t="s">
        <v>63</v>
      </c>
      <c r="O1586" s="2" t="s">
        <v>514</v>
      </c>
      <c r="P1586" s="4">
        <v>45.563400000000001</v>
      </c>
      <c r="Q1586" s="4">
        <v>2</v>
      </c>
      <c r="R1586" s="4">
        <v>-11.920199999999999</v>
      </c>
      <c r="S1586" s="2" t="s">
        <v>92</v>
      </c>
      <c r="T1586" s="2" t="s">
        <v>44</v>
      </c>
    </row>
    <row r="1587" spans="1:20" x14ac:dyDescent="0.25">
      <c r="A1587" s="2" t="s">
        <v>2778</v>
      </c>
      <c r="B1587" s="3">
        <v>42805</v>
      </c>
      <c r="C1587" s="3">
        <v>42808</v>
      </c>
      <c r="D1587" s="2" t="s">
        <v>55</v>
      </c>
      <c r="E1587" s="2" t="s">
        <v>1621</v>
      </c>
      <c r="F1587" s="2" t="s">
        <v>1622</v>
      </c>
      <c r="G1587" s="2" t="s">
        <v>24</v>
      </c>
      <c r="H1587" s="2" t="s">
        <v>25</v>
      </c>
      <c r="I1587" s="2" t="s">
        <v>437</v>
      </c>
      <c r="J1587" s="2" t="s">
        <v>217</v>
      </c>
      <c r="K1587" s="2" t="s">
        <v>82</v>
      </c>
      <c r="L1587" s="2" t="s">
        <v>29</v>
      </c>
      <c r="M1587" s="2" t="s">
        <v>30</v>
      </c>
      <c r="N1587" s="2" t="s">
        <v>31</v>
      </c>
      <c r="O1587" s="2" t="s">
        <v>32</v>
      </c>
      <c r="P1587" s="4">
        <v>29.604600000000001</v>
      </c>
      <c r="Q1587" s="4">
        <v>3</v>
      </c>
      <c r="R1587" s="4">
        <v>21.6388</v>
      </c>
      <c r="S1587" s="2" t="s">
        <v>92</v>
      </c>
      <c r="T1587" s="2" t="s">
        <v>44</v>
      </c>
    </row>
    <row r="1588" spans="1:20" x14ac:dyDescent="0.25">
      <c r="A1588" s="2" t="s">
        <v>2778</v>
      </c>
      <c r="B1588" s="3">
        <v>42805</v>
      </c>
      <c r="C1588" s="3">
        <v>42808</v>
      </c>
      <c r="D1588" s="2" t="s">
        <v>55</v>
      </c>
      <c r="E1588" s="2" t="s">
        <v>1621</v>
      </c>
      <c r="F1588" s="2" t="s">
        <v>1622</v>
      </c>
      <c r="G1588" s="2" t="s">
        <v>24</v>
      </c>
      <c r="H1588" s="2" t="s">
        <v>25</v>
      </c>
      <c r="I1588" s="2" t="s">
        <v>437</v>
      </c>
      <c r="J1588" s="2" t="s">
        <v>217</v>
      </c>
      <c r="K1588" s="2" t="s">
        <v>82</v>
      </c>
      <c r="L1588" s="2" t="s">
        <v>207</v>
      </c>
      <c r="M1588" s="2" t="s">
        <v>30</v>
      </c>
      <c r="N1588" s="2" t="s">
        <v>31</v>
      </c>
      <c r="O1588" s="2" t="s">
        <v>208</v>
      </c>
      <c r="P1588" s="4">
        <v>135.0258</v>
      </c>
      <c r="Q1588" s="4">
        <v>1</v>
      </c>
      <c r="R1588" s="4">
        <v>43.018000000000001</v>
      </c>
      <c r="S1588" s="2" t="s">
        <v>92</v>
      </c>
      <c r="T1588" s="2" t="s">
        <v>44</v>
      </c>
    </row>
    <row r="1589" spans="1:20" x14ac:dyDescent="0.25">
      <c r="A1589" s="2" t="s">
        <v>2779</v>
      </c>
      <c r="B1589" s="3">
        <v>42648</v>
      </c>
      <c r="C1589" s="3">
        <v>42654</v>
      </c>
      <c r="D1589" s="2" t="s">
        <v>55</v>
      </c>
      <c r="E1589" s="2" t="s">
        <v>1020</v>
      </c>
      <c r="F1589" s="2" t="s">
        <v>1021</v>
      </c>
      <c r="G1589" s="2" t="s">
        <v>58</v>
      </c>
      <c r="H1589" s="2" t="s">
        <v>25</v>
      </c>
      <c r="I1589" s="2" t="s">
        <v>216</v>
      </c>
      <c r="J1589" s="2" t="s">
        <v>217</v>
      </c>
      <c r="K1589" s="2" t="s">
        <v>82</v>
      </c>
      <c r="L1589" s="2" t="s">
        <v>612</v>
      </c>
      <c r="M1589" s="2" t="s">
        <v>30</v>
      </c>
      <c r="N1589" s="2" t="s">
        <v>162</v>
      </c>
      <c r="O1589" s="2" t="s">
        <v>613</v>
      </c>
      <c r="P1589" s="4">
        <v>843.60339999999997</v>
      </c>
      <c r="Q1589" s="4">
        <v>5</v>
      </c>
      <c r="R1589" s="4">
        <v>205.44980000000001</v>
      </c>
      <c r="S1589" s="2" t="s">
        <v>65</v>
      </c>
      <c r="T1589" s="2" t="s">
        <v>224</v>
      </c>
    </row>
    <row r="1590" spans="1:20" x14ac:dyDescent="0.25">
      <c r="A1590" s="2" t="s">
        <v>2779</v>
      </c>
      <c r="B1590" s="3">
        <v>42648</v>
      </c>
      <c r="C1590" s="3">
        <v>42654</v>
      </c>
      <c r="D1590" s="2" t="s">
        <v>55</v>
      </c>
      <c r="E1590" s="2" t="s">
        <v>1020</v>
      </c>
      <c r="F1590" s="2" t="s">
        <v>1021</v>
      </c>
      <c r="G1590" s="2" t="s">
        <v>58</v>
      </c>
      <c r="H1590" s="2" t="s">
        <v>25</v>
      </c>
      <c r="I1590" s="2" t="s">
        <v>216</v>
      </c>
      <c r="J1590" s="2" t="s">
        <v>217</v>
      </c>
      <c r="K1590" s="2" t="s">
        <v>82</v>
      </c>
      <c r="L1590" s="2" t="s">
        <v>228</v>
      </c>
      <c r="M1590" s="2" t="s">
        <v>30</v>
      </c>
      <c r="N1590" s="2" t="s">
        <v>42</v>
      </c>
      <c r="O1590" s="2" t="s">
        <v>229</v>
      </c>
      <c r="P1590" s="4">
        <v>2418.7152000000001</v>
      </c>
      <c r="Q1590" s="4">
        <v>3</v>
      </c>
      <c r="R1590" s="4">
        <v>1042.1597999999999</v>
      </c>
      <c r="S1590" s="2" t="s">
        <v>65</v>
      </c>
      <c r="T1590" s="2" t="s">
        <v>224</v>
      </c>
    </row>
    <row r="1591" spans="1:20" x14ac:dyDescent="0.25">
      <c r="A1591" s="2" t="s">
        <v>2779</v>
      </c>
      <c r="B1591" s="3">
        <v>42648</v>
      </c>
      <c r="C1591" s="3">
        <v>42654</v>
      </c>
      <c r="D1591" s="2" t="s">
        <v>55</v>
      </c>
      <c r="E1591" s="2" t="s">
        <v>1020</v>
      </c>
      <c r="F1591" s="2" t="s">
        <v>1021</v>
      </c>
      <c r="G1591" s="2" t="s">
        <v>58</v>
      </c>
      <c r="H1591" s="2" t="s">
        <v>25</v>
      </c>
      <c r="I1591" s="2" t="s">
        <v>216</v>
      </c>
      <c r="J1591" s="2" t="s">
        <v>217</v>
      </c>
      <c r="K1591" s="2" t="s">
        <v>82</v>
      </c>
      <c r="L1591" s="2" t="s">
        <v>252</v>
      </c>
      <c r="M1591" s="2" t="s">
        <v>30</v>
      </c>
      <c r="N1591" s="2" t="s">
        <v>31</v>
      </c>
      <c r="O1591" s="2" t="s">
        <v>253</v>
      </c>
      <c r="P1591" s="4">
        <v>97.379199999999997</v>
      </c>
      <c r="Q1591" s="4">
        <v>1</v>
      </c>
      <c r="R1591" s="4">
        <v>13.9925</v>
      </c>
      <c r="S1591" s="2" t="s">
        <v>65</v>
      </c>
      <c r="T1591" s="2" t="s">
        <v>224</v>
      </c>
    </row>
    <row r="1592" spans="1:20" x14ac:dyDescent="0.25">
      <c r="A1592" s="2" t="s">
        <v>2780</v>
      </c>
      <c r="B1592" s="3">
        <v>43087</v>
      </c>
      <c r="C1592" s="3">
        <v>43090</v>
      </c>
      <c r="D1592" s="2" t="s">
        <v>55</v>
      </c>
      <c r="E1592" s="2" t="s">
        <v>657</v>
      </c>
      <c r="F1592" s="2" t="s">
        <v>658</v>
      </c>
      <c r="G1592" s="2" t="s">
        <v>38</v>
      </c>
      <c r="H1592" s="2" t="s">
        <v>25</v>
      </c>
      <c r="I1592" s="2" t="s">
        <v>501</v>
      </c>
      <c r="J1592" s="2" t="s">
        <v>234</v>
      </c>
      <c r="K1592" s="2" t="s">
        <v>82</v>
      </c>
      <c r="L1592" s="2" t="s">
        <v>29</v>
      </c>
      <c r="M1592" s="2" t="s">
        <v>30</v>
      </c>
      <c r="N1592" s="2" t="s">
        <v>31</v>
      </c>
      <c r="O1592" s="2" t="s">
        <v>32</v>
      </c>
      <c r="P1592" s="4">
        <v>238.29730000000001</v>
      </c>
      <c r="Q1592" s="4">
        <v>5</v>
      </c>
      <c r="R1592" s="4">
        <v>118.4757</v>
      </c>
      <c r="S1592" s="2" t="s">
        <v>92</v>
      </c>
      <c r="T1592" s="2" t="s">
        <v>76</v>
      </c>
    </row>
    <row r="1593" spans="1:20" x14ac:dyDescent="0.25">
      <c r="A1593" s="2" t="s">
        <v>2781</v>
      </c>
      <c r="B1593" s="3">
        <v>42017</v>
      </c>
      <c r="C1593" s="3">
        <v>42017</v>
      </c>
      <c r="D1593" s="2" t="s">
        <v>21</v>
      </c>
      <c r="E1593" s="2" t="s">
        <v>1609</v>
      </c>
      <c r="F1593" s="2" t="s">
        <v>1610</v>
      </c>
      <c r="G1593" s="2" t="s">
        <v>58</v>
      </c>
      <c r="H1593" s="2" t="s">
        <v>25</v>
      </c>
      <c r="I1593" s="2" t="s">
        <v>485</v>
      </c>
      <c r="J1593" s="2" t="s">
        <v>251</v>
      </c>
      <c r="K1593" s="2" t="s">
        <v>147</v>
      </c>
      <c r="L1593" s="2" t="s">
        <v>228</v>
      </c>
      <c r="M1593" s="2" t="s">
        <v>30</v>
      </c>
      <c r="N1593" s="2" t="s">
        <v>42</v>
      </c>
      <c r="O1593" s="2" t="s">
        <v>229</v>
      </c>
      <c r="P1593" s="4">
        <v>205.2319</v>
      </c>
      <c r="Q1593" s="4">
        <v>5</v>
      </c>
      <c r="R1593" s="4">
        <v>25.4681</v>
      </c>
      <c r="S1593" s="2" t="s">
        <v>121</v>
      </c>
      <c r="T1593" s="2" t="s">
        <v>115</v>
      </c>
    </row>
    <row r="1594" spans="1:20" x14ac:dyDescent="0.25">
      <c r="A1594" s="2" t="s">
        <v>2782</v>
      </c>
      <c r="B1594" s="3">
        <v>42206</v>
      </c>
      <c r="C1594" s="3">
        <v>42206</v>
      </c>
      <c r="D1594" s="2" t="s">
        <v>48</v>
      </c>
      <c r="E1594" s="2" t="s">
        <v>1704</v>
      </c>
      <c r="F1594" s="2" t="s">
        <v>1705</v>
      </c>
      <c r="G1594" s="2" t="s">
        <v>58</v>
      </c>
      <c r="H1594" s="2" t="s">
        <v>25</v>
      </c>
      <c r="I1594" s="2" t="s">
        <v>474</v>
      </c>
      <c r="J1594" s="2" t="s">
        <v>475</v>
      </c>
      <c r="K1594" s="2" t="s">
        <v>28</v>
      </c>
      <c r="L1594" s="2" t="s">
        <v>139</v>
      </c>
      <c r="M1594" s="2" t="s">
        <v>30</v>
      </c>
      <c r="N1594" s="2" t="s">
        <v>42</v>
      </c>
      <c r="O1594" s="2" t="s">
        <v>140</v>
      </c>
      <c r="P1594" s="4">
        <v>3519.4288999999999</v>
      </c>
      <c r="Q1594" s="4">
        <v>4</v>
      </c>
      <c r="R1594" s="4">
        <v>2490.598</v>
      </c>
      <c r="S1594" s="2" t="s">
        <v>121</v>
      </c>
      <c r="T1594" s="2" t="s">
        <v>86</v>
      </c>
    </row>
    <row r="1595" spans="1:20" x14ac:dyDescent="0.25">
      <c r="A1595" s="2" t="s">
        <v>2783</v>
      </c>
      <c r="B1595" s="3">
        <v>41935</v>
      </c>
      <c r="C1595" s="3">
        <v>41939</v>
      </c>
      <c r="D1595" s="2" t="s">
        <v>55</v>
      </c>
      <c r="E1595" s="2" t="s">
        <v>2784</v>
      </c>
      <c r="F1595" s="2" t="s">
        <v>2785</v>
      </c>
      <c r="G1595" s="2" t="s">
        <v>38</v>
      </c>
      <c r="H1595" s="2" t="s">
        <v>25</v>
      </c>
      <c r="I1595" s="2" t="s">
        <v>505</v>
      </c>
      <c r="J1595" s="2" t="s">
        <v>244</v>
      </c>
      <c r="K1595" s="2" t="s">
        <v>61</v>
      </c>
      <c r="L1595" s="2" t="s">
        <v>99</v>
      </c>
      <c r="M1595" s="2" t="s">
        <v>30</v>
      </c>
      <c r="N1595" s="2" t="s">
        <v>42</v>
      </c>
      <c r="O1595" s="2" t="s">
        <v>100</v>
      </c>
      <c r="P1595" s="4">
        <v>619.1644</v>
      </c>
      <c r="Q1595" s="4">
        <v>2</v>
      </c>
      <c r="R1595" s="4">
        <v>43.586799999999997</v>
      </c>
      <c r="S1595" s="2" t="s">
        <v>75</v>
      </c>
      <c r="T1595" s="2" t="s">
        <v>224</v>
      </c>
    </row>
    <row r="1596" spans="1:20" x14ac:dyDescent="0.25">
      <c r="A1596" s="2" t="s">
        <v>2786</v>
      </c>
      <c r="B1596" s="3">
        <v>41938</v>
      </c>
      <c r="C1596" s="3">
        <v>41938</v>
      </c>
      <c r="D1596" s="2" t="s">
        <v>142</v>
      </c>
      <c r="E1596" s="2" t="s">
        <v>758</v>
      </c>
      <c r="F1596" s="2" t="s">
        <v>759</v>
      </c>
      <c r="G1596" s="2" t="s">
        <v>58</v>
      </c>
      <c r="H1596" s="2" t="s">
        <v>25</v>
      </c>
      <c r="I1596" s="2" t="s">
        <v>309</v>
      </c>
      <c r="J1596" s="2" t="s">
        <v>310</v>
      </c>
      <c r="K1596" s="2" t="s">
        <v>28</v>
      </c>
      <c r="L1596" s="2" t="s">
        <v>193</v>
      </c>
      <c r="M1596" s="2" t="s">
        <v>30</v>
      </c>
      <c r="N1596" s="2" t="s">
        <v>42</v>
      </c>
      <c r="O1596" s="2" t="s">
        <v>194</v>
      </c>
      <c r="P1596" s="4">
        <v>181.56229999999999</v>
      </c>
      <c r="Q1596" s="4">
        <v>6</v>
      </c>
      <c r="R1596" s="4">
        <v>-2.0251000000000001</v>
      </c>
      <c r="S1596" s="2" t="s">
        <v>121</v>
      </c>
      <c r="T1596" s="2" t="s">
        <v>224</v>
      </c>
    </row>
    <row r="1597" spans="1:20" x14ac:dyDescent="0.25">
      <c r="A1597" s="2" t="s">
        <v>2787</v>
      </c>
      <c r="B1597" s="3">
        <v>42589</v>
      </c>
      <c r="C1597" s="3">
        <v>42592</v>
      </c>
      <c r="D1597" s="2" t="s">
        <v>55</v>
      </c>
      <c r="E1597" s="2" t="s">
        <v>1749</v>
      </c>
      <c r="F1597" s="2" t="s">
        <v>1750</v>
      </c>
      <c r="G1597" s="2" t="s">
        <v>38</v>
      </c>
      <c r="H1597" s="2" t="s">
        <v>25</v>
      </c>
      <c r="I1597" s="2" t="s">
        <v>779</v>
      </c>
      <c r="J1597" s="2" t="s">
        <v>356</v>
      </c>
      <c r="K1597" s="2" t="s">
        <v>147</v>
      </c>
      <c r="L1597" s="2" t="s">
        <v>323</v>
      </c>
      <c r="M1597" s="2" t="s">
        <v>30</v>
      </c>
      <c r="N1597" s="2" t="s">
        <v>31</v>
      </c>
      <c r="O1597" s="2" t="s">
        <v>324</v>
      </c>
      <c r="P1597" s="4">
        <v>94.012</v>
      </c>
      <c r="Q1597" s="4">
        <v>5</v>
      </c>
      <c r="R1597" s="4">
        <v>17.335000000000001</v>
      </c>
      <c r="S1597" s="2" t="s">
        <v>92</v>
      </c>
      <c r="T1597" s="2" t="s">
        <v>34</v>
      </c>
    </row>
    <row r="1598" spans="1:20" x14ac:dyDescent="0.25">
      <c r="A1598" s="2" t="s">
        <v>2788</v>
      </c>
      <c r="B1598" s="3">
        <v>42220</v>
      </c>
      <c r="C1598" s="3">
        <v>42225</v>
      </c>
      <c r="D1598" s="2" t="s">
        <v>55</v>
      </c>
      <c r="E1598" s="2" t="s">
        <v>1322</v>
      </c>
      <c r="F1598" s="2" t="s">
        <v>1323</v>
      </c>
      <c r="G1598" s="2" t="s">
        <v>58</v>
      </c>
      <c r="H1598" s="2" t="s">
        <v>25</v>
      </c>
      <c r="I1598" s="2" t="s">
        <v>212</v>
      </c>
      <c r="J1598" s="2" t="s">
        <v>185</v>
      </c>
      <c r="K1598" s="2" t="s">
        <v>147</v>
      </c>
      <c r="L1598" s="2" t="s">
        <v>228</v>
      </c>
      <c r="M1598" s="2" t="s">
        <v>30</v>
      </c>
      <c r="N1598" s="2" t="s">
        <v>42</v>
      </c>
      <c r="O1598" s="2" t="s">
        <v>229</v>
      </c>
      <c r="P1598" s="4">
        <v>1586.5452</v>
      </c>
      <c r="Q1598" s="4">
        <v>2</v>
      </c>
      <c r="R1598" s="4">
        <v>444.99779999999998</v>
      </c>
      <c r="S1598" s="2" t="s">
        <v>85</v>
      </c>
      <c r="T1598" s="2" t="s">
        <v>34</v>
      </c>
    </row>
    <row r="1599" spans="1:20" x14ac:dyDescent="0.25">
      <c r="A1599" s="2" t="s">
        <v>2789</v>
      </c>
      <c r="B1599" s="3">
        <v>43049</v>
      </c>
      <c r="C1599" s="3">
        <v>43051</v>
      </c>
      <c r="D1599" s="2" t="s">
        <v>55</v>
      </c>
      <c r="E1599" s="2" t="s">
        <v>603</v>
      </c>
      <c r="F1599" s="2" t="s">
        <v>604</v>
      </c>
      <c r="G1599" s="2" t="s">
        <v>24</v>
      </c>
      <c r="H1599" s="2" t="s">
        <v>25</v>
      </c>
      <c r="I1599" s="2" t="s">
        <v>1118</v>
      </c>
      <c r="J1599" s="2" t="s">
        <v>435</v>
      </c>
      <c r="K1599" s="2" t="s">
        <v>61</v>
      </c>
      <c r="L1599" s="2" t="s">
        <v>139</v>
      </c>
      <c r="M1599" s="2" t="s">
        <v>30</v>
      </c>
      <c r="N1599" s="2" t="s">
        <v>42</v>
      </c>
      <c r="O1599" s="2" t="s">
        <v>140</v>
      </c>
      <c r="P1599" s="4">
        <v>1102.4979000000001</v>
      </c>
      <c r="Q1599" s="4">
        <v>2</v>
      </c>
      <c r="R1599" s="4">
        <v>46.837800000000001</v>
      </c>
      <c r="S1599" s="2" t="s">
        <v>53</v>
      </c>
      <c r="T1599" s="2" t="s">
        <v>93</v>
      </c>
    </row>
    <row r="1600" spans="1:20" x14ac:dyDescent="0.25">
      <c r="A1600" s="2" t="s">
        <v>2790</v>
      </c>
      <c r="B1600" s="3">
        <v>42427</v>
      </c>
      <c r="C1600" s="3">
        <v>42431</v>
      </c>
      <c r="D1600" s="2" t="s">
        <v>21</v>
      </c>
      <c r="E1600" s="2" t="s">
        <v>2648</v>
      </c>
      <c r="F1600" s="2" t="s">
        <v>2649</v>
      </c>
      <c r="G1600" s="2" t="s">
        <v>58</v>
      </c>
      <c r="H1600" s="2" t="s">
        <v>25</v>
      </c>
      <c r="I1600" s="2" t="s">
        <v>51</v>
      </c>
      <c r="J1600" s="2" t="s">
        <v>52</v>
      </c>
      <c r="K1600" s="2" t="s">
        <v>28</v>
      </c>
      <c r="L1600" s="2" t="s">
        <v>311</v>
      </c>
      <c r="M1600" s="2" t="s">
        <v>30</v>
      </c>
      <c r="N1600" s="2" t="s">
        <v>63</v>
      </c>
      <c r="O1600" s="2" t="s">
        <v>312</v>
      </c>
      <c r="P1600" s="4">
        <v>1421.029</v>
      </c>
      <c r="Q1600" s="4">
        <v>4</v>
      </c>
      <c r="R1600" s="4">
        <v>-632.33920000000001</v>
      </c>
      <c r="S1600" s="2" t="s">
        <v>75</v>
      </c>
      <c r="T1600" s="2" t="s">
        <v>101</v>
      </c>
    </row>
    <row r="1601" spans="1:20" x14ac:dyDescent="0.25">
      <c r="A1601" s="2" t="s">
        <v>2791</v>
      </c>
      <c r="B1601" s="3">
        <v>42697</v>
      </c>
      <c r="C1601" s="3">
        <v>42700</v>
      </c>
      <c r="D1601" s="2" t="s">
        <v>55</v>
      </c>
      <c r="E1601" s="2" t="s">
        <v>1451</v>
      </c>
      <c r="F1601" s="2" t="s">
        <v>1452</v>
      </c>
      <c r="G1601" s="2" t="s">
        <v>58</v>
      </c>
      <c r="H1601" s="2" t="s">
        <v>25</v>
      </c>
      <c r="I1601" s="2" t="s">
        <v>398</v>
      </c>
      <c r="J1601" s="2" t="s">
        <v>251</v>
      </c>
      <c r="K1601" s="2" t="s">
        <v>147</v>
      </c>
      <c r="L1601" s="2" t="s">
        <v>113</v>
      </c>
      <c r="M1601" s="2" t="s">
        <v>30</v>
      </c>
      <c r="N1601" s="2" t="s">
        <v>31</v>
      </c>
      <c r="O1601" s="2" t="s">
        <v>114</v>
      </c>
      <c r="P1601" s="4">
        <v>25.228400000000001</v>
      </c>
      <c r="Q1601" s="4">
        <v>2</v>
      </c>
      <c r="R1601" s="4">
        <v>2.8677999999999999</v>
      </c>
      <c r="S1601" s="2" t="s">
        <v>92</v>
      </c>
      <c r="T1601" s="2" t="s">
        <v>93</v>
      </c>
    </row>
    <row r="1602" spans="1:20" x14ac:dyDescent="0.25">
      <c r="A1602" s="2" t="s">
        <v>2792</v>
      </c>
      <c r="B1602" s="3">
        <v>42896</v>
      </c>
      <c r="C1602" s="3">
        <v>42902</v>
      </c>
      <c r="D1602" s="2" t="s">
        <v>55</v>
      </c>
      <c r="E1602" s="2" t="s">
        <v>2793</v>
      </c>
      <c r="F1602" s="2" t="s">
        <v>2794</v>
      </c>
      <c r="G1602" s="2" t="s">
        <v>58</v>
      </c>
      <c r="H1602" s="2" t="s">
        <v>25</v>
      </c>
      <c r="I1602" s="2" t="s">
        <v>152</v>
      </c>
      <c r="J1602" s="2" t="s">
        <v>153</v>
      </c>
      <c r="K1602" s="2" t="s">
        <v>147</v>
      </c>
      <c r="L1602" s="2" t="s">
        <v>1476</v>
      </c>
      <c r="M1602" s="2" t="s">
        <v>30</v>
      </c>
      <c r="N1602" s="2" t="s">
        <v>63</v>
      </c>
      <c r="O1602" s="2" t="s">
        <v>1477</v>
      </c>
      <c r="P1602" s="4">
        <v>404.1789</v>
      </c>
      <c r="Q1602" s="4">
        <v>3</v>
      </c>
      <c r="R1602" s="4">
        <v>39.408799999999999</v>
      </c>
      <c r="S1602" s="2" t="s">
        <v>65</v>
      </c>
      <c r="T1602" s="2" t="s">
        <v>133</v>
      </c>
    </row>
    <row r="1603" spans="1:20" x14ac:dyDescent="0.25">
      <c r="A1603" s="2" t="s">
        <v>2795</v>
      </c>
      <c r="B1603" s="3">
        <v>42023</v>
      </c>
      <c r="C1603" s="3">
        <v>42029</v>
      </c>
      <c r="D1603" s="2" t="s">
        <v>55</v>
      </c>
      <c r="E1603" s="2" t="s">
        <v>2509</v>
      </c>
      <c r="F1603" s="2" t="s">
        <v>2510</v>
      </c>
      <c r="G1603" s="2" t="s">
        <v>38</v>
      </c>
      <c r="H1603" s="2" t="s">
        <v>25</v>
      </c>
      <c r="I1603" s="2" t="s">
        <v>288</v>
      </c>
      <c r="J1603" s="2" t="s">
        <v>289</v>
      </c>
      <c r="K1603" s="2" t="s">
        <v>82</v>
      </c>
      <c r="L1603" s="2" t="s">
        <v>29</v>
      </c>
      <c r="M1603" s="2" t="s">
        <v>30</v>
      </c>
      <c r="N1603" s="2" t="s">
        <v>31</v>
      </c>
      <c r="O1603" s="2" t="s">
        <v>32</v>
      </c>
      <c r="P1603" s="4">
        <v>68.324700000000007</v>
      </c>
      <c r="Q1603" s="4">
        <v>5</v>
      </c>
      <c r="R1603" s="4">
        <v>7.1947999999999999</v>
      </c>
      <c r="S1603" s="2" t="s">
        <v>65</v>
      </c>
      <c r="T1603" s="2" t="s">
        <v>115</v>
      </c>
    </row>
    <row r="1604" spans="1:20" x14ac:dyDescent="0.25">
      <c r="A1604" s="2" t="s">
        <v>2796</v>
      </c>
      <c r="B1604" s="3">
        <v>42795</v>
      </c>
      <c r="C1604" s="3">
        <v>42800</v>
      </c>
      <c r="D1604" s="2" t="s">
        <v>55</v>
      </c>
      <c r="E1604" s="2" t="s">
        <v>1855</v>
      </c>
      <c r="F1604" s="2" t="s">
        <v>1856</v>
      </c>
      <c r="G1604" s="2" t="s">
        <v>58</v>
      </c>
      <c r="H1604" s="2" t="s">
        <v>25</v>
      </c>
      <c r="I1604" s="2" t="s">
        <v>760</v>
      </c>
      <c r="J1604" s="2" t="s">
        <v>112</v>
      </c>
      <c r="K1604" s="2" t="s">
        <v>28</v>
      </c>
      <c r="L1604" s="2" t="s">
        <v>113</v>
      </c>
      <c r="M1604" s="2" t="s">
        <v>30</v>
      </c>
      <c r="N1604" s="2" t="s">
        <v>31</v>
      </c>
      <c r="O1604" s="2" t="s">
        <v>114</v>
      </c>
      <c r="P1604" s="4">
        <v>14.7521</v>
      </c>
      <c r="Q1604" s="4">
        <v>3</v>
      </c>
      <c r="R1604" s="4">
        <v>5.2202999999999999</v>
      </c>
      <c r="S1604" s="2" t="s">
        <v>85</v>
      </c>
      <c r="T1604" s="2" t="s">
        <v>44</v>
      </c>
    </row>
    <row r="1605" spans="1:20" x14ac:dyDescent="0.25">
      <c r="A1605" s="2" t="s">
        <v>2797</v>
      </c>
      <c r="B1605" s="3">
        <v>42322</v>
      </c>
      <c r="C1605" s="3">
        <v>42324</v>
      </c>
      <c r="D1605" s="2" t="s">
        <v>55</v>
      </c>
      <c r="E1605" s="2" t="s">
        <v>945</v>
      </c>
      <c r="F1605" s="2" t="s">
        <v>946</v>
      </c>
      <c r="G1605" s="2" t="s">
        <v>58</v>
      </c>
      <c r="H1605" s="2" t="s">
        <v>25</v>
      </c>
      <c r="I1605" s="2" t="s">
        <v>509</v>
      </c>
      <c r="J1605" s="2" t="s">
        <v>356</v>
      </c>
      <c r="K1605" s="2" t="s">
        <v>147</v>
      </c>
      <c r="L1605" s="2" t="s">
        <v>207</v>
      </c>
      <c r="M1605" s="2" t="s">
        <v>30</v>
      </c>
      <c r="N1605" s="2" t="s">
        <v>31</v>
      </c>
      <c r="O1605" s="2" t="s">
        <v>208</v>
      </c>
      <c r="P1605" s="4">
        <v>67.024100000000004</v>
      </c>
      <c r="Q1605" s="4">
        <v>4</v>
      </c>
      <c r="R1605" s="4">
        <v>-12.6213</v>
      </c>
      <c r="S1605" s="2" t="s">
        <v>53</v>
      </c>
      <c r="T1605" s="2" t="s">
        <v>93</v>
      </c>
    </row>
    <row r="1606" spans="1:20" x14ac:dyDescent="0.25">
      <c r="A1606" s="2" t="s">
        <v>2798</v>
      </c>
      <c r="B1606" s="3">
        <v>42596</v>
      </c>
      <c r="C1606" s="3">
        <v>42596</v>
      </c>
      <c r="D1606" s="2" t="s">
        <v>142</v>
      </c>
      <c r="E1606" s="2" t="s">
        <v>2799</v>
      </c>
      <c r="F1606" s="2" t="s">
        <v>2800</v>
      </c>
      <c r="G1606" s="2" t="s">
        <v>24</v>
      </c>
      <c r="H1606" s="2" t="s">
        <v>25</v>
      </c>
      <c r="I1606" s="2" t="s">
        <v>527</v>
      </c>
      <c r="J1606" s="2" t="s">
        <v>496</v>
      </c>
      <c r="K1606" s="2" t="s">
        <v>147</v>
      </c>
      <c r="L1606" s="2" t="s">
        <v>207</v>
      </c>
      <c r="M1606" s="2" t="s">
        <v>30</v>
      </c>
      <c r="N1606" s="2" t="s">
        <v>31</v>
      </c>
      <c r="O1606" s="2" t="s">
        <v>208</v>
      </c>
      <c r="P1606" s="4">
        <v>14.9145</v>
      </c>
      <c r="Q1606" s="4">
        <v>4</v>
      </c>
      <c r="R1606" s="4">
        <v>0.57520000000000004</v>
      </c>
      <c r="S1606" s="2" t="s">
        <v>121</v>
      </c>
      <c r="T1606" s="2" t="s">
        <v>34</v>
      </c>
    </row>
    <row r="1607" spans="1:20" x14ac:dyDescent="0.25">
      <c r="A1607" s="2" t="s">
        <v>2801</v>
      </c>
      <c r="B1607" s="3">
        <v>42079</v>
      </c>
      <c r="C1607" s="3">
        <v>42083</v>
      </c>
      <c r="D1607" s="2" t="s">
        <v>55</v>
      </c>
      <c r="E1607" s="2" t="s">
        <v>2400</v>
      </c>
      <c r="F1607" s="2" t="s">
        <v>2401</v>
      </c>
      <c r="G1607" s="2" t="s">
        <v>58</v>
      </c>
      <c r="H1607" s="2" t="s">
        <v>25</v>
      </c>
      <c r="I1607" s="2" t="s">
        <v>1098</v>
      </c>
      <c r="J1607" s="2" t="s">
        <v>595</v>
      </c>
      <c r="K1607" s="2" t="s">
        <v>61</v>
      </c>
      <c r="L1607" s="2" t="s">
        <v>207</v>
      </c>
      <c r="M1607" s="2" t="s">
        <v>30</v>
      </c>
      <c r="N1607" s="2" t="s">
        <v>31</v>
      </c>
      <c r="O1607" s="2" t="s">
        <v>208</v>
      </c>
      <c r="P1607" s="4">
        <v>6.6003999999999996</v>
      </c>
      <c r="Q1607" s="4">
        <v>1</v>
      </c>
      <c r="R1607" s="4">
        <v>1.6398999999999999</v>
      </c>
      <c r="S1607" s="2" t="s">
        <v>75</v>
      </c>
      <c r="T1607" s="2" t="s">
        <v>44</v>
      </c>
    </row>
    <row r="1608" spans="1:20" x14ac:dyDescent="0.25">
      <c r="A1608" s="2" t="s">
        <v>2802</v>
      </c>
      <c r="B1608" s="3">
        <v>41831</v>
      </c>
      <c r="C1608" s="3">
        <v>41834</v>
      </c>
      <c r="D1608" s="2" t="s">
        <v>55</v>
      </c>
      <c r="E1608" s="2" t="s">
        <v>647</v>
      </c>
      <c r="F1608" s="2" t="s">
        <v>648</v>
      </c>
      <c r="G1608" s="2" t="s">
        <v>38</v>
      </c>
      <c r="H1608" s="2" t="s">
        <v>25</v>
      </c>
      <c r="I1608" s="2" t="s">
        <v>293</v>
      </c>
      <c r="J1608" s="2" t="s">
        <v>260</v>
      </c>
      <c r="K1608" s="2" t="s">
        <v>147</v>
      </c>
      <c r="L1608" s="2" t="s">
        <v>113</v>
      </c>
      <c r="M1608" s="2" t="s">
        <v>30</v>
      </c>
      <c r="N1608" s="2" t="s">
        <v>31</v>
      </c>
      <c r="O1608" s="2" t="s">
        <v>114</v>
      </c>
      <c r="P1608" s="4">
        <v>164.4151</v>
      </c>
      <c r="Q1608" s="4">
        <v>1</v>
      </c>
      <c r="R1608" s="4">
        <v>-14.232200000000001</v>
      </c>
      <c r="S1608" s="2" t="s">
        <v>92</v>
      </c>
      <c r="T1608" s="2" t="s">
        <v>86</v>
      </c>
    </row>
    <row r="1609" spans="1:20" x14ac:dyDescent="0.25">
      <c r="A1609" s="2" t="s">
        <v>2803</v>
      </c>
      <c r="B1609" s="3">
        <v>41982</v>
      </c>
      <c r="C1609" s="3">
        <v>41982</v>
      </c>
      <c r="D1609" s="2" t="s">
        <v>48</v>
      </c>
      <c r="E1609" s="2" t="s">
        <v>771</v>
      </c>
      <c r="F1609" s="2" t="s">
        <v>772</v>
      </c>
      <c r="G1609" s="2" t="s">
        <v>24</v>
      </c>
      <c r="H1609" s="2" t="s">
        <v>25</v>
      </c>
      <c r="I1609" s="2" t="s">
        <v>167</v>
      </c>
      <c r="J1609" s="2" t="s">
        <v>168</v>
      </c>
      <c r="K1609" s="2" t="s">
        <v>28</v>
      </c>
      <c r="L1609" s="2" t="s">
        <v>29</v>
      </c>
      <c r="M1609" s="2" t="s">
        <v>30</v>
      </c>
      <c r="N1609" s="2" t="s">
        <v>31</v>
      </c>
      <c r="O1609" s="2" t="s">
        <v>32</v>
      </c>
      <c r="P1609" s="4">
        <v>79.7483</v>
      </c>
      <c r="Q1609" s="4">
        <v>1</v>
      </c>
      <c r="R1609" s="4">
        <v>0.48209999999999997</v>
      </c>
      <c r="S1609" s="2" t="s">
        <v>121</v>
      </c>
      <c r="T1609" s="2" t="s">
        <v>76</v>
      </c>
    </row>
    <row r="1610" spans="1:20" x14ac:dyDescent="0.25">
      <c r="A1610" s="2" t="s">
        <v>2804</v>
      </c>
      <c r="B1610" s="3">
        <v>42208</v>
      </c>
      <c r="C1610" s="3">
        <v>42208</v>
      </c>
      <c r="D1610" s="2" t="s">
        <v>21</v>
      </c>
      <c r="E1610" s="2" t="s">
        <v>1880</v>
      </c>
      <c r="F1610" s="2" t="s">
        <v>1881</v>
      </c>
      <c r="G1610" s="2" t="s">
        <v>38</v>
      </c>
      <c r="H1610" s="2" t="s">
        <v>25</v>
      </c>
      <c r="I1610" s="2" t="s">
        <v>205</v>
      </c>
      <c r="J1610" s="2" t="s">
        <v>206</v>
      </c>
      <c r="K1610" s="2" t="s">
        <v>61</v>
      </c>
      <c r="L1610" s="2" t="s">
        <v>29</v>
      </c>
      <c r="M1610" s="2" t="s">
        <v>30</v>
      </c>
      <c r="N1610" s="2" t="s">
        <v>31</v>
      </c>
      <c r="O1610" s="2" t="s">
        <v>32</v>
      </c>
      <c r="P1610" s="4">
        <v>95.837199999999996</v>
      </c>
      <c r="Q1610" s="4">
        <v>3</v>
      </c>
      <c r="R1610" s="4">
        <v>26.8995</v>
      </c>
      <c r="S1610" s="2" t="s">
        <v>121</v>
      </c>
      <c r="T1610" s="2" t="s">
        <v>86</v>
      </c>
    </row>
    <row r="1611" spans="1:20" x14ac:dyDescent="0.25">
      <c r="A1611" s="2" t="s">
        <v>2805</v>
      </c>
      <c r="B1611" s="3">
        <v>41683</v>
      </c>
      <c r="C1611" s="3">
        <v>41684</v>
      </c>
      <c r="D1611" s="2" t="s">
        <v>21</v>
      </c>
      <c r="E1611" s="2" t="s">
        <v>951</v>
      </c>
      <c r="F1611" s="2" t="s">
        <v>952</v>
      </c>
      <c r="G1611" s="2" t="s">
        <v>58</v>
      </c>
      <c r="H1611" s="2" t="s">
        <v>25</v>
      </c>
      <c r="I1611" s="2" t="s">
        <v>97</v>
      </c>
      <c r="J1611" s="2" t="s">
        <v>112</v>
      </c>
      <c r="K1611" s="2" t="s">
        <v>28</v>
      </c>
      <c r="L1611" s="2" t="s">
        <v>83</v>
      </c>
      <c r="M1611" s="2" t="s">
        <v>30</v>
      </c>
      <c r="N1611" s="2" t="s">
        <v>42</v>
      </c>
      <c r="O1611" s="2" t="s">
        <v>84</v>
      </c>
      <c r="P1611" s="4">
        <v>129.44880000000001</v>
      </c>
      <c r="Q1611" s="4">
        <v>3</v>
      </c>
      <c r="R1611" s="4">
        <v>-16.508099999999999</v>
      </c>
      <c r="S1611" s="2" t="s">
        <v>33</v>
      </c>
      <c r="T1611" s="2" t="s">
        <v>101</v>
      </c>
    </row>
    <row r="1612" spans="1:20" x14ac:dyDescent="0.25">
      <c r="A1612" s="2" t="s">
        <v>2805</v>
      </c>
      <c r="B1612" s="3">
        <v>41683</v>
      </c>
      <c r="C1612" s="3">
        <v>41684</v>
      </c>
      <c r="D1612" s="2" t="s">
        <v>21</v>
      </c>
      <c r="E1612" s="2" t="s">
        <v>951</v>
      </c>
      <c r="F1612" s="2" t="s">
        <v>952</v>
      </c>
      <c r="G1612" s="2" t="s">
        <v>58</v>
      </c>
      <c r="H1612" s="2" t="s">
        <v>25</v>
      </c>
      <c r="I1612" s="2" t="s">
        <v>97</v>
      </c>
      <c r="J1612" s="2" t="s">
        <v>112</v>
      </c>
      <c r="K1612" s="2" t="s">
        <v>28</v>
      </c>
      <c r="L1612" s="2" t="s">
        <v>161</v>
      </c>
      <c r="M1612" s="2" t="s">
        <v>30</v>
      </c>
      <c r="N1612" s="2" t="s">
        <v>162</v>
      </c>
      <c r="O1612" s="2" t="s">
        <v>163</v>
      </c>
      <c r="P1612" s="4">
        <v>1203.6146000000001</v>
      </c>
      <c r="Q1612" s="4">
        <v>7</v>
      </c>
      <c r="R1612" s="4">
        <v>-440.42750000000001</v>
      </c>
      <c r="S1612" s="2" t="s">
        <v>33</v>
      </c>
      <c r="T1612" s="2" t="s">
        <v>101</v>
      </c>
    </row>
    <row r="1613" spans="1:20" x14ac:dyDescent="0.25">
      <c r="A1613" s="2" t="s">
        <v>2806</v>
      </c>
      <c r="B1613" s="3">
        <v>42560</v>
      </c>
      <c r="C1613" s="3">
        <v>42564</v>
      </c>
      <c r="D1613" s="2" t="s">
        <v>55</v>
      </c>
      <c r="E1613" s="2" t="s">
        <v>714</v>
      </c>
      <c r="F1613" s="2" t="s">
        <v>715</v>
      </c>
      <c r="G1613" s="2" t="s">
        <v>58</v>
      </c>
      <c r="H1613" s="2" t="s">
        <v>25</v>
      </c>
      <c r="I1613" s="2" t="s">
        <v>355</v>
      </c>
      <c r="J1613" s="2" t="s">
        <v>356</v>
      </c>
      <c r="K1613" s="2" t="s">
        <v>147</v>
      </c>
      <c r="L1613" s="2" t="s">
        <v>254</v>
      </c>
      <c r="M1613" s="2" t="s">
        <v>30</v>
      </c>
      <c r="N1613" s="2" t="s">
        <v>162</v>
      </c>
      <c r="O1613" s="2" t="s">
        <v>255</v>
      </c>
      <c r="P1613" s="4">
        <v>384.24439999999998</v>
      </c>
      <c r="Q1613" s="4">
        <v>3</v>
      </c>
      <c r="R1613" s="4">
        <v>204.28200000000001</v>
      </c>
      <c r="S1613" s="2" t="s">
        <v>75</v>
      </c>
      <c r="T1613" s="2" t="s">
        <v>86</v>
      </c>
    </row>
    <row r="1614" spans="1:20" x14ac:dyDescent="0.25">
      <c r="A1614" s="2" t="s">
        <v>2806</v>
      </c>
      <c r="B1614" s="3">
        <v>42560</v>
      </c>
      <c r="C1614" s="3">
        <v>42564</v>
      </c>
      <c r="D1614" s="2" t="s">
        <v>55</v>
      </c>
      <c r="E1614" s="2" t="s">
        <v>714</v>
      </c>
      <c r="F1614" s="2" t="s">
        <v>715</v>
      </c>
      <c r="G1614" s="2" t="s">
        <v>58</v>
      </c>
      <c r="H1614" s="2" t="s">
        <v>25</v>
      </c>
      <c r="I1614" s="2" t="s">
        <v>355</v>
      </c>
      <c r="J1614" s="2" t="s">
        <v>356</v>
      </c>
      <c r="K1614" s="2" t="s">
        <v>147</v>
      </c>
      <c r="L1614" s="2" t="s">
        <v>890</v>
      </c>
      <c r="M1614" s="2" t="s">
        <v>30</v>
      </c>
      <c r="N1614" s="2" t="s">
        <v>63</v>
      </c>
      <c r="O1614" s="2" t="s">
        <v>891</v>
      </c>
      <c r="P1614" s="4">
        <v>142.2961</v>
      </c>
      <c r="Q1614" s="4">
        <v>1</v>
      </c>
      <c r="R1614" s="4">
        <v>-2.9727999999999999</v>
      </c>
      <c r="S1614" s="2" t="s">
        <v>75</v>
      </c>
      <c r="T1614" s="2" t="s">
        <v>86</v>
      </c>
    </row>
    <row r="1615" spans="1:20" x14ac:dyDescent="0.25">
      <c r="A1615" s="2" t="s">
        <v>2807</v>
      </c>
      <c r="B1615" s="3">
        <v>42610</v>
      </c>
      <c r="C1615" s="3">
        <v>42613</v>
      </c>
      <c r="D1615" s="2" t="s">
        <v>21</v>
      </c>
      <c r="E1615" s="2" t="s">
        <v>2808</v>
      </c>
      <c r="F1615" s="2" t="s">
        <v>2809</v>
      </c>
      <c r="G1615" s="2" t="s">
        <v>58</v>
      </c>
      <c r="H1615" s="2" t="s">
        <v>25</v>
      </c>
      <c r="I1615" s="2" t="s">
        <v>402</v>
      </c>
      <c r="J1615" s="2" t="s">
        <v>403</v>
      </c>
      <c r="K1615" s="2" t="s">
        <v>147</v>
      </c>
      <c r="L1615" s="2" t="s">
        <v>207</v>
      </c>
      <c r="M1615" s="2" t="s">
        <v>30</v>
      </c>
      <c r="N1615" s="2" t="s">
        <v>31</v>
      </c>
      <c r="O1615" s="2" t="s">
        <v>208</v>
      </c>
      <c r="P1615" s="4">
        <v>53.377099999999999</v>
      </c>
      <c r="Q1615" s="4">
        <v>1</v>
      </c>
      <c r="R1615" s="4">
        <v>26.148299999999999</v>
      </c>
      <c r="S1615" s="2" t="s">
        <v>92</v>
      </c>
      <c r="T1615" s="2" t="s">
        <v>34</v>
      </c>
    </row>
    <row r="1616" spans="1:20" x14ac:dyDescent="0.25">
      <c r="A1616" s="2" t="s">
        <v>2810</v>
      </c>
      <c r="B1616" s="3">
        <v>41789</v>
      </c>
      <c r="C1616" s="3">
        <v>41794</v>
      </c>
      <c r="D1616" s="2" t="s">
        <v>55</v>
      </c>
      <c r="E1616" s="2" t="s">
        <v>214</v>
      </c>
      <c r="F1616" s="2" t="s">
        <v>215</v>
      </c>
      <c r="G1616" s="2" t="s">
        <v>58</v>
      </c>
      <c r="H1616" s="2" t="s">
        <v>25</v>
      </c>
      <c r="I1616" s="2" t="s">
        <v>474</v>
      </c>
      <c r="J1616" s="2" t="s">
        <v>475</v>
      </c>
      <c r="K1616" s="2" t="s">
        <v>28</v>
      </c>
      <c r="L1616" s="2" t="s">
        <v>344</v>
      </c>
      <c r="M1616" s="2" t="s">
        <v>30</v>
      </c>
      <c r="N1616" s="2" t="s">
        <v>42</v>
      </c>
      <c r="O1616" s="2" t="s">
        <v>345</v>
      </c>
      <c r="P1616" s="4">
        <v>364.97620000000001</v>
      </c>
      <c r="Q1616" s="4">
        <v>5</v>
      </c>
      <c r="R1616" s="4">
        <v>160.39099999999999</v>
      </c>
      <c r="S1616" s="2" t="s">
        <v>85</v>
      </c>
      <c r="T1616" s="2" t="s">
        <v>122</v>
      </c>
    </row>
    <row r="1617" spans="1:20" x14ac:dyDescent="0.25">
      <c r="A1617" s="2" t="s">
        <v>2810</v>
      </c>
      <c r="B1617" s="3">
        <v>41789</v>
      </c>
      <c r="C1617" s="3">
        <v>41794</v>
      </c>
      <c r="D1617" s="2" t="s">
        <v>55</v>
      </c>
      <c r="E1617" s="2" t="s">
        <v>214</v>
      </c>
      <c r="F1617" s="2" t="s">
        <v>215</v>
      </c>
      <c r="G1617" s="2" t="s">
        <v>58</v>
      </c>
      <c r="H1617" s="2" t="s">
        <v>25</v>
      </c>
      <c r="I1617" s="2" t="s">
        <v>474</v>
      </c>
      <c r="J1617" s="2" t="s">
        <v>475</v>
      </c>
      <c r="K1617" s="2" t="s">
        <v>28</v>
      </c>
      <c r="L1617" s="2" t="s">
        <v>612</v>
      </c>
      <c r="M1617" s="2" t="s">
        <v>30</v>
      </c>
      <c r="N1617" s="2" t="s">
        <v>162</v>
      </c>
      <c r="O1617" s="2" t="s">
        <v>613</v>
      </c>
      <c r="P1617" s="4">
        <v>2764.0641000000001</v>
      </c>
      <c r="Q1617" s="4">
        <v>3</v>
      </c>
      <c r="R1617" s="4">
        <v>-1584.3689999999999</v>
      </c>
      <c r="S1617" s="2" t="s">
        <v>85</v>
      </c>
      <c r="T1617" s="2" t="s">
        <v>122</v>
      </c>
    </row>
    <row r="1618" spans="1:20" x14ac:dyDescent="0.25">
      <c r="A1618" s="2" t="s">
        <v>2811</v>
      </c>
      <c r="B1618" s="3">
        <v>42081</v>
      </c>
      <c r="C1618" s="3">
        <v>42084</v>
      </c>
      <c r="D1618" s="2" t="s">
        <v>55</v>
      </c>
      <c r="E1618" s="2" t="s">
        <v>1146</v>
      </c>
      <c r="F1618" s="2" t="s">
        <v>1147</v>
      </c>
      <c r="G1618" s="2" t="s">
        <v>58</v>
      </c>
      <c r="H1618" s="2" t="s">
        <v>25</v>
      </c>
      <c r="I1618" s="2" t="s">
        <v>288</v>
      </c>
      <c r="J1618" s="2" t="s">
        <v>289</v>
      </c>
      <c r="K1618" s="2" t="s">
        <v>82</v>
      </c>
      <c r="L1618" s="2" t="s">
        <v>174</v>
      </c>
      <c r="M1618" s="2" t="s">
        <v>30</v>
      </c>
      <c r="N1618" s="2" t="s">
        <v>31</v>
      </c>
      <c r="O1618" s="2" t="s">
        <v>175</v>
      </c>
      <c r="P1618" s="4">
        <v>22.200900000000001</v>
      </c>
      <c r="Q1618" s="4">
        <v>2</v>
      </c>
      <c r="R1618" s="4">
        <v>-1.6254999999999999</v>
      </c>
      <c r="S1618" s="2" t="s">
        <v>92</v>
      </c>
      <c r="T1618" s="2" t="s">
        <v>44</v>
      </c>
    </row>
    <row r="1619" spans="1:20" x14ac:dyDescent="0.25">
      <c r="A1619" s="2" t="s">
        <v>2811</v>
      </c>
      <c r="B1619" s="3">
        <v>42081</v>
      </c>
      <c r="C1619" s="3">
        <v>42084</v>
      </c>
      <c r="D1619" s="2" t="s">
        <v>55</v>
      </c>
      <c r="E1619" s="2" t="s">
        <v>1146</v>
      </c>
      <c r="F1619" s="2" t="s">
        <v>1147</v>
      </c>
      <c r="G1619" s="2" t="s">
        <v>58</v>
      </c>
      <c r="H1619" s="2" t="s">
        <v>25</v>
      </c>
      <c r="I1619" s="2" t="s">
        <v>288</v>
      </c>
      <c r="J1619" s="2" t="s">
        <v>289</v>
      </c>
      <c r="K1619" s="2" t="s">
        <v>82</v>
      </c>
      <c r="L1619" s="2" t="s">
        <v>83</v>
      </c>
      <c r="M1619" s="2" t="s">
        <v>30</v>
      </c>
      <c r="N1619" s="2" t="s">
        <v>42</v>
      </c>
      <c r="O1619" s="2" t="s">
        <v>84</v>
      </c>
      <c r="P1619" s="4">
        <v>275.9511</v>
      </c>
      <c r="Q1619" s="4">
        <v>4</v>
      </c>
      <c r="R1619" s="4">
        <v>-19.819900000000001</v>
      </c>
      <c r="S1619" s="2" t="s">
        <v>92</v>
      </c>
      <c r="T1619" s="2" t="s">
        <v>44</v>
      </c>
    </row>
    <row r="1620" spans="1:20" x14ac:dyDescent="0.25">
      <c r="A1620" s="2" t="s">
        <v>2812</v>
      </c>
      <c r="B1620" s="3">
        <v>42409</v>
      </c>
      <c r="C1620" s="3">
        <v>42409</v>
      </c>
      <c r="D1620" s="2" t="s">
        <v>48</v>
      </c>
      <c r="E1620" s="2" t="s">
        <v>456</v>
      </c>
      <c r="F1620" s="2" t="s">
        <v>457</v>
      </c>
      <c r="G1620" s="2" t="s">
        <v>24</v>
      </c>
      <c r="H1620" s="2" t="s">
        <v>25</v>
      </c>
      <c r="I1620" s="2" t="s">
        <v>509</v>
      </c>
      <c r="J1620" s="2" t="s">
        <v>356</v>
      </c>
      <c r="K1620" s="2" t="s">
        <v>147</v>
      </c>
      <c r="L1620" s="2" t="s">
        <v>301</v>
      </c>
      <c r="M1620" s="2" t="s">
        <v>30</v>
      </c>
      <c r="N1620" s="2" t="s">
        <v>162</v>
      </c>
      <c r="O1620" s="2" t="s">
        <v>302</v>
      </c>
      <c r="P1620" s="4">
        <v>414.435</v>
      </c>
      <c r="Q1620" s="4">
        <v>2</v>
      </c>
      <c r="R1620" s="4">
        <v>-271.79469999999998</v>
      </c>
      <c r="S1620" s="2" t="s">
        <v>121</v>
      </c>
      <c r="T1620" s="2" t="s">
        <v>101</v>
      </c>
    </row>
    <row r="1621" spans="1:20" x14ac:dyDescent="0.25">
      <c r="A1621" s="2" t="s">
        <v>2813</v>
      </c>
      <c r="B1621" s="3">
        <v>42787</v>
      </c>
      <c r="C1621" s="3">
        <v>42790</v>
      </c>
      <c r="D1621" s="2" t="s">
        <v>55</v>
      </c>
      <c r="E1621" s="2" t="s">
        <v>1989</v>
      </c>
      <c r="F1621" s="2" t="s">
        <v>1990</v>
      </c>
      <c r="G1621" s="2" t="s">
        <v>24</v>
      </c>
      <c r="H1621" s="2" t="s">
        <v>25</v>
      </c>
      <c r="I1621" s="2" t="s">
        <v>566</v>
      </c>
      <c r="J1621" s="2" t="s">
        <v>424</v>
      </c>
      <c r="K1621" s="2" t="s">
        <v>28</v>
      </c>
      <c r="L1621" s="2" t="s">
        <v>41</v>
      </c>
      <c r="M1621" s="2" t="s">
        <v>30</v>
      </c>
      <c r="N1621" s="2" t="s">
        <v>42</v>
      </c>
      <c r="O1621" s="2" t="s">
        <v>43</v>
      </c>
      <c r="P1621" s="4">
        <v>406.0061</v>
      </c>
      <c r="Q1621" s="4">
        <v>1</v>
      </c>
      <c r="R1621" s="4">
        <v>130.45089999999999</v>
      </c>
      <c r="S1621" s="2" t="s">
        <v>92</v>
      </c>
      <c r="T1621" s="2" t="s">
        <v>101</v>
      </c>
    </row>
    <row r="1622" spans="1:20" x14ac:dyDescent="0.25">
      <c r="A1622" s="2" t="s">
        <v>2814</v>
      </c>
      <c r="B1622" s="3">
        <v>42681</v>
      </c>
      <c r="C1622" s="3">
        <v>42685</v>
      </c>
      <c r="D1622" s="2" t="s">
        <v>55</v>
      </c>
      <c r="E1622" s="2" t="s">
        <v>2656</v>
      </c>
      <c r="F1622" s="2" t="s">
        <v>2657</v>
      </c>
      <c r="G1622" s="2" t="s">
        <v>38</v>
      </c>
      <c r="H1622" s="2" t="s">
        <v>25</v>
      </c>
      <c r="I1622" s="2" t="s">
        <v>805</v>
      </c>
      <c r="J1622" s="2" t="s">
        <v>351</v>
      </c>
      <c r="K1622" s="2" t="s">
        <v>147</v>
      </c>
      <c r="L1622" s="2" t="s">
        <v>323</v>
      </c>
      <c r="M1622" s="2" t="s">
        <v>30</v>
      </c>
      <c r="N1622" s="2" t="s">
        <v>31</v>
      </c>
      <c r="O1622" s="2" t="s">
        <v>324</v>
      </c>
      <c r="P1622" s="4">
        <v>297.90320000000003</v>
      </c>
      <c r="Q1622" s="4">
        <v>2</v>
      </c>
      <c r="R1622" s="4">
        <v>105.8622</v>
      </c>
      <c r="S1622" s="2" t="s">
        <v>75</v>
      </c>
      <c r="T1622" s="2" t="s">
        <v>93</v>
      </c>
    </row>
    <row r="1623" spans="1:20" x14ac:dyDescent="0.25">
      <c r="A1623" s="2" t="s">
        <v>2815</v>
      </c>
      <c r="B1623" s="3">
        <v>41730</v>
      </c>
      <c r="C1623" s="3">
        <v>41730</v>
      </c>
      <c r="D1623" s="2" t="s">
        <v>21</v>
      </c>
      <c r="E1623" s="2" t="s">
        <v>511</v>
      </c>
      <c r="F1623" s="2" t="s">
        <v>512</v>
      </c>
      <c r="G1623" s="2" t="s">
        <v>24</v>
      </c>
      <c r="H1623" s="2" t="s">
        <v>25</v>
      </c>
      <c r="I1623" s="2" t="s">
        <v>138</v>
      </c>
      <c r="J1623" s="2" t="s">
        <v>407</v>
      </c>
      <c r="K1623" s="2" t="s">
        <v>28</v>
      </c>
      <c r="L1623" s="2" t="s">
        <v>252</v>
      </c>
      <c r="M1623" s="2" t="s">
        <v>30</v>
      </c>
      <c r="N1623" s="2" t="s">
        <v>31</v>
      </c>
      <c r="O1623" s="2" t="s">
        <v>253</v>
      </c>
      <c r="P1623" s="4">
        <v>6.2435999999999998</v>
      </c>
      <c r="Q1623" s="4">
        <v>1</v>
      </c>
      <c r="R1623" s="4">
        <v>0.14560000000000001</v>
      </c>
      <c r="S1623" s="2" t="s">
        <v>121</v>
      </c>
      <c r="T1623" s="2" t="s">
        <v>108</v>
      </c>
    </row>
    <row r="1624" spans="1:20" x14ac:dyDescent="0.25">
      <c r="A1624" s="2" t="s">
        <v>2816</v>
      </c>
      <c r="B1624" s="3">
        <v>42504</v>
      </c>
      <c r="C1624" s="3">
        <v>42504</v>
      </c>
      <c r="D1624" s="2" t="s">
        <v>55</v>
      </c>
      <c r="E1624" s="2" t="s">
        <v>341</v>
      </c>
      <c r="F1624" s="2" t="s">
        <v>342</v>
      </c>
      <c r="G1624" s="2" t="s">
        <v>58</v>
      </c>
      <c r="H1624" s="2" t="s">
        <v>25</v>
      </c>
      <c r="I1624" s="2" t="s">
        <v>1366</v>
      </c>
      <c r="J1624" s="2" t="s">
        <v>244</v>
      </c>
      <c r="K1624" s="2" t="s">
        <v>61</v>
      </c>
      <c r="L1624" s="2" t="s">
        <v>218</v>
      </c>
      <c r="M1624" s="2" t="s">
        <v>30</v>
      </c>
      <c r="N1624" s="2" t="s">
        <v>31</v>
      </c>
      <c r="O1624" s="2" t="s">
        <v>219</v>
      </c>
      <c r="P1624" s="4">
        <v>43.819299999999998</v>
      </c>
      <c r="Q1624" s="4">
        <v>1</v>
      </c>
      <c r="R1624" s="4">
        <v>-6.0148999999999999</v>
      </c>
      <c r="S1624" s="2" t="s">
        <v>121</v>
      </c>
      <c r="T1624" s="2" t="s">
        <v>122</v>
      </c>
    </row>
    <row r="1625" spans="1:20" x14ac:dyDescent="0.25">
      <c r="A1625" s="2" t="s">
        <v>2817</v>
      </c>
      <c r="B1625" s="3">
        <v>41689</v>
      </c>
      <c r="C1625" s="3">
        <v>41690</v>
      </c>
      <c r="D1625" s="2" t="s">
        <v>55</v>
      </c>
      <c r="E1625" s="2" t="s">
        <v>2082</v>
      </c>
      <c r="F1625" s="2" t="s">
        <v>2083</v>
      </c>
      <c r="G1625" s="2" t="s">
        <v>58</v>
      </c>
      <c r="H1625" s="2" t="s">
        <v>25</v>
      </c>
      <c r="I1625" s="2" t="s">
        <v>527</v>
      </c>
      <c r="J1625" s="2" t="s">
        <v>496</v>
      </c>
      <c r="K1625" s="2" t="s">
        <v>147</v>
      </c>
      <c r="L1625" s="2" t="s">
        <v>235</v>
      </c>
      <c r="M1625" s="2" t="s">
        <v>30</v>
      </c>
      <c r="N1625" s="2" t="s">
        <v>31</v>
      </c>
      <c r="O1625" s="2" t="s">
        <v>236</v>
      </c>
      <c r="P1625" s="4">
        <v>281.28320000000002</v>
      </c>
      <c r="Q1625" s="4">
        <v>4</v>
      </c>
      <c r="R1625" s="4">
        <v>128.7996</v>
      </c>
      <c r="S1625" s="2" t="s">
        <v>33</v>
      </c>
      <c r="T1625" s="2" t="s">
        <v>101</v>
      </c>
    </row>
    <row r="1626" spans="1:20" x14ac:dyDescent="0.25">
      <c r="A1626" s="2" t="s">
        <v>2818</v>
      </c>
      <c r="B1626" s="3">
        <v>42400</v>
      </c>
      <c r="C1626" s="3">
        <v>42400</v>
      </c>
      <c r="D1626" s="2" t="s">
        <v>142</v>
      </c>
      <c r="E1626" s="2" t="s">
        <v>1621</v>
      </c>
      <c r="F1626" s="2" t="s">
        <v>1622</v>
      </c>
      <c r="G1626" s="2" t="s">
        <v>38</v>
      </c>
      <c r="H1626" s="2" t="s">
        <v>25</v>
      </c>
      <c r="I1626" s="2" t="s">
        <v>509</v>
      </c>
      <c r="J1626" s="2" t="s">
        <v>356</v>
      </c>
      <c r="K1626" s="2" t="s">
        <v>147</v>
      </c>
      <c r="L1626" s="2" t="s">
        <v>113</v>
      </c>
      <c r="M1626" s="2" t="s">
        <v>30</v>
      </c>
      <c r="N1626" s="2" t="s">
        <v>31</v>
      </c>
      <c r="O1626" s="2" t="s">
        <v>114</v>
      </c>
      <c r="P1626" s="4">
        <v>48.7136</v>
      </c>
      <c r="Q1626" s="4">
        <v>2</v>
      </c>
      <c r="R1626" s="4">
        <v>23.329699999999999</v>
      </c>
      <c r="S1626" s="2" t="s">
        <v>121</v>
      </c>
      <c r="T1626" s="2" t="s">
        <v>115</v>
      </c>
    </row>
    <row r="1627" spans="1:20" x14ac:dyDescent="0.25">
      <c r="A1627" s="2" t="s">
        <v>2819</v>
      </c>
      <c r="B1627" s="3">
        <v>42962</v>
      </c>
      <c r="C1627" s="3">
        <v>42966</v>
      </c>
      <c r="D1627" s="2" t="s">
        <v>21</v>
      </c>
      <c r="E1627" s="2" t="s">
        <v>787</v>
      </c>
      <c r="F1627" s="2" t="s">
        <v>788</v>
      </c>
      <c r="G1627" s="2" t="s">
        <v>58</v>
      </c>
      <c r="H1627" s="2" t="s">
        <v>25</v>
      </c>
      <c r="I1627" s="2" t="s">
        <v>402</v>
      </c>
      <c r="J1627" s="2" t="s">
        <v>403</v>
      </c>
      <c r="K1627" s="2" t="s">
        <v>147</v>
      </c>
      <c r="L1627" s="2" t="s">
        <v>453</v>
      </c>
      <c r="M1627" s="2" t="s">
        <v>30</v>
      </c>
      <c r="N1627" s="2" t="s">
        <v>42</v>
      </c>
      <c r="O1627" s="2" t="s">
        <v>454</v>
      </c>
      <c r="P1627" s="4">
        <v>514.94960000000003</v>
      </c>
      <c r="Q1627" s="4">
        <v>2</v>
      </c>
      <c r="R1627" s="4">
        <v>39.4422</v>
      </c>
      <c r="S1627" s="2" t="s">
        <v>75</v>
      </c>
      <c r="T1627" s="2" t="s">
        <v>34</v>
      </c>
    </row>
    <row r="1628" spans="1:20" x14ac:dyDescent="0.25">
      <c r="A1628" s="2" t="s">
        <v>2820</v>
      </c>
      <c r="B1628" s="3">
        <v>41796</v>
      </c>
      <c r="C1628" s="3">
        <v>41798</v>
      </c>
      <c r="D1628" s="2" t="s">
        <v>21</v>
      </c>
      <c r="E1628" s="2" t="s">
        <v>262</v>
      </c>
      <c r="F1628" s="2" t="s">
        <v>263</v>
      </c>
      <c r="G1628" s="2" t="s">
        <v>24</v>
      </c>
      <c r="H1628" s="2" t="s">
        <v>25</v>
      </c>
      <c r="I1628" s="2" t="s">
        <v>539</v>
      </c>
      <c r="J1628" s="2" t="s">
        <v>91</v>
      </c>
      <c r="K1628" s="2" t="s">
        <v>61</v>
      </c>
      <c r="L1628" s="2" t="s">
        <v>719</v>
      </c>
      <c r="M1628" s="2" t="s">
        <v>30</v>
      </c>
      <c r="N1628" s="2" t="s">
        <v>63</v>
      </c>
      <c r="O1628" s="2" t="s">
        <v>720</v>
      </c>
      <c r="P1628" s="4">
        <v>900.83680000000004</v>
      </c>
      <c r="Q1628" s="4">
        <v>2</v>
      </c>
      <c r="R1628" s="4">
        <v>-38.628700000000002</v>
      </c>
      <c r="S1628" s="2" t="s">
        <v>53</v>
      </c>
      <c r="T1628" s="2" t="s">
        <v>133</v>
      </c>
    </row>
    <row r="1629" spans="1:20" x14ac:dyDescent="0.25">
      <c r="A1629" s="2" t="s">
        <v>2821</v>
      </c>
      <c r="B1629" s="3">
        <v>42597</v>
      </c>
      <c r="C1629" s="3">
        <v>42598</v>
      </c>
      <c r="D1629" s="2" t="s">
        <v>48</v>
      </c>
      <c r="E1629" s="2" t="s">
        <v>750</v>
      </c>
      <c r="F1629" s="2" t="s">
        <v>751</v>
      </c>
      <c r="G1629" s="2" t="s">
        <v>38</v>
      </c>
      <c r="H1629" s="2" t="s">
        <v>25</v>
      </c>
      <c r="I1629" s="2" t="s">
        <v>179</v>
      </c>
      <c r="J1629" s="2" t="s">
        <v>180</v>
      </c>
      <c r="K1629" s="2" t="s">
        <v>147</v>
      </c>
      <c r="L1629" s="2" t="s">
        <v>245</v>
      </c>
      <c r="M1629" s="2" t="s">
        <v>30</v>
      </c>
      <c r="N1629" s="2" t="s">
        <v>42</v>
      </c>
      <c r="O1629" s="2" t="s">
        <v>246</v>
      </c>
      <c r="P1629" s="4">
        <v>73.8048</v>
      </c>
      <c r="Q1629" s="4">
        <v>1</v>
      </c>
      <c r="R1629" s="4">
        <v>-25.572800000000001</v>
      </c>
      <c r="S1629" s="2" t="s">
        <v>33</v>
      </c>
      <c r="T1629" s="2" t="s">
        <v>34</v>
      </c>
    </row>
    <row r="1630" spans="1:20" x14ac:dyDescent="0.25">
      <c r="A1630" s="2" t="s">
        <v>2822</v>
      </c>
      <c r="B1630" s="3">
        <v>42696</v>
      </c>
      <c r="C1630" s="3">
        <v>42698</v>
      </c>
      <c r="D1630" s="2" t="s">
        <v>55</v>
      </c>
      <c r="E1630" s="2" t="s">
        <v>1479</v>
      </c>
      <c r="F1630" s="2" t="s">
        <v>1480</v>
      </c>
      <c r="G1630" s="2" t="s">
        <v>58</v>
      </c>
      <c r="H1630" s="2" t="s">
        <v>25</v>
      </c>
      <c r="I1630" s="2" t="s">
        <v>1114</v>
      </c>
      <c r="J1630" s="2" t="s">
        <v>138</v>
      </c>
      <c r="K1630" s="2" t="s">
        <v>82</v>
      </c>
      <c r="L1630" s="2" t="s">
        <v>283</v>
      </c>
      <c r="M1630" s="2" t="s">
        <v>30</v>
      </c>
      <c r="N1630" s="2" t="s">
        <v>162</v>
      </c>
      <c r="O1630" s="2" t="s">
        <v>284</v>
      </c>
      <c r="P1630" s="4">
        <v>370.3657</v>
      </c>
      <c r="Q1630" s="4">
        <v>3</v>
      </c>
      <c r="R1630" s="4">
        <v>-217.64169999999999</v>
      </c>
      <c r="S1630" s="2" t="s">
        <v>53</v>
      </c>
      <c r="T1630" s="2" t="s">
        <v>93</v>
      </c>
    </row>
    <row r="1631" spans="1:20" x14ac:dyDescent="0.25">
      <c r="A1631" s="2" t="s">
        <v>2823</v>
      </c>
      <c r="B1631" s="3">
        <v>42396</v>
      </c>
      <c r="C1631" s="3">
        <v>42400</v>
      </c>
      <c r="D1631" s="2" t="s">
        <v>21</v>
      </c>
      <c r="E1631" s="2" t="s">
        <v>1116</v>
      </c>
      <c r="F1631" s="2" t="s">
        <v>1117</v>
      </c>
      <c r="G1631" s="2" t="s">
        <v>58</v>
      </c>
      <c r="H1631" s="2" t="s">
        <v>25</v>
      </c>
      <c r="I1631" s="2" t="s">
        <v>167</v>
      </c>
      <c r="J1631" s="2" t="s">
        <v>168</v>
      </c>
      <c r="K1631" s="2" t="s">
        <v>28</v>
      </c>
      <c r="L1631" s="2" t="s">
        <v>174</v>
      </c>
      <c r="M1631" s="2" t="s">
        <v>30</v>
      </c>
      <c r="N1631" s="2" t="s">
        <v>31</v>
      </c>
      <c r="O1631" s="2" t="s">
        <v>175</v>
      </c>
      <c r="P1631" s="4">
        <v>161.10220000000001</v>
      </c>
      <c r="Q1631" s="4">
        <v>1</v>
      </c>
      <c r="R1631" s="4">
        <v>-43.363500000000002</v>
      </c>
      <c r="S1631" s="2" t="s">
        <v>75</v>
      </c>
      <c r="T1631" s="2" t="s">
        <v>115</v>
      </c>
    </row>
    <row r="1632" spans="1:20" x14ac:dyDescent="0.25">
      <c r="A1632" s="2" t="s">
        <v>2824</v>
      </c>
      <c r="B1632" s="3">
        <v>42472</v>
      </c>
      <c r="C1632" s="3">
        <v>42472</v>
      </c>
      <c r="D1632" s="2" t="s">
        <v>21</v>
      </c>
      <c r="E1632" s="2" t="s">
        <v>690</v>
      </c>
      <c r="F1632" s="2" t="s">
        <v>691</v>
      </c>
      <c r="G1632" s="2" t="s">
        <v>58</v>
      </c>
      <c r="H1632" s="2" t="s">
        <v>25</v>
      </c>
      <c r="I1632" s="2" t="s">
        <v>445</v>
      </c>
      <c r="J1632" s="2" t="s">
        <v>138</v>
      </c>
      <c r="K1632" s="2" t="s">
        <v>82</v>
      </c>
      <c r="L1632" s="2" t="s">
        <v>113</v>
      </c>
      <c r="M1632" s="2" t="s">
        <v>30</v>
      </c>
      <c r="N1632" s="2" t="s">
        <v>31</v>
      </c>
      <c r="O1632" s="2" t="s">
        <v>114</v>
      </c>
      <c r="P1632" s="4">
        <v>654.05510000000004</v>
      </c>
      <c r="Q1632" s="4">
        <v>8</v>
      </c>
      <c r="R1632" s="4">
        <v>402.86450000000002</v>
      </c>
      <c r="S1632" s="2" t="s">
        <v>121</v>
      </c>
      <c r="T1632" s="2" t="s">
        <v>108</v>
      </c>
    </row>
    <row r="1633" spans="1:20" x14ac:dyDescent="0.25">
      <c r="A1633" s="2" t="s">
        <v>2825</v>
      </c>
      <c r="B1633" s="3">
        <v>42018</v>
      </c>
      <c r="C1633" s="3">
        <v>42019</v>
      </c>
      <c r="D1633" s="2" t="s">
        <v>55</v>
      </c>
      <c r="E1633" s="2" t="s">
        <v>1770</v>
      </c>
      <c r="F1633" s="2" t="s">
        <v>1771</v>
      </c>
      <c r="G1633" s="2" t="s">
        <v>58</v>
      </c>
      <c r="H1633" s="2" t="s">
        <v>25</v>
      </c>
      <c r="I1633" s="2" t="s">
        <v>495</v>
      </c>
      <c r="J1633" s="2" t="s">
        <v>496</v>
      </c>
      <c r="K1633" s="2" t="s">
        <v>147</v>
      </c>
      <c r="L1633" s="2" t="s">
        <v>218</v>
      </c>
      <c r="M1633" s="2" t="s">
        <v>30</v>
      </c>
      <c r="N1633" s="2" t="s">
        <v>31</v>
      </c>
      <c r="O1633" s="2" t="s">
        <v>219</v>
      </c>
      <c r="P1633" s="4">
        <v>13.6746</v>
      </c>
      <c r="Q1633" s="4">
        <v>9</v>
      </c>
      <c r="R1633" s="4">
        <v>-5.6947000000000001</v>
      </c>
      <c r="S1633" s="2" t="s">
        <v>33</v>
      </c>
      <c r="T1633" s="2" t="s">
        <v>115</v>
      </c>
    </row>
    <row r="1634" spans="1:20" x14ac:dyDescent="0.25">
      <c r="A1634" s="2" t="s">
        <v>2825</v>
      </c>
      <c r="B1634" s="3">
        <v>42018</v>
      </c>
      <c r="C1634" s="3">
        <v>42019</v>
      </c>
      <c r="D1634" s="2" t="s">
        <v>55</v>
      </c>
      <c r="E1634" s="2" t="s">
        <v>1770</v>
      </c>
      <c r="F1634" s="2" t="s">
        <v>1771</v>
      </c>
      <c r="G1634" s="2" t="s">
        <v>58</v>
      </c>
      <c r="H1634" s="2" t="s">
        <v>25</v>
      </c>
      <c r="I1634" s="2" t="s">
        <v>495</v>
      </c>
      <c r="J1634" s="2" t="s">
        <v>496</v>
      </c>
      <c r="K1634" s="2" t="s">
        <v>147</v>
      </c>
      <c r="L1634" s="2" t="s">
        <v>311</v>
      </c>
      <c r="M1634" s="2" t="s">
        <v>30</v>
      </c>
      <c r="N1634" s="2" t="s">
        <v>63</v>
      </c>
      <c r="O1634" s="2" t="s">
        <v>312</v>
      </c>
      <c r="P1634" s="4">
        <v>195.7201</v>
      </c>
      <c r="Q1634" s="4">
        <v>1</v>
      </c>
      <c r="R1634" s="4">
        <v>-73.883399999999995</v>
      </c>
      <c r="S1634" s="2" t="s">
        <v>33</v>
      </c>
      <c r="T1634" s="2" t="s">
        <v>115</v>
      </c>
    </row>
    <row r="1635" spans="1:20" x14ac:dyDescent="0.25">
      <c r="A1635" s="2" t="s">
        <v>2826</v>
      </c>
      <c r="B1635" s="3">
        <v>42169</v>
      </c>
      <c r="C1635" s="3">
        <v>42172</v>
      </c>
      <c r="D1635" s="2" t="s">
        <v>55</v>
      </c>
      <c r="E1635" s="2" t="s">
        <v>912</v>
      </c>
      <c r="F1635" s="2" t="s">
        <v>913</v>
      </c>
      <c r="G1635" s="2" t="s">
        <v>24</v>
      </c>
      <c r="H1635" s="2" t="s">
        <v>25</v>
      </c>
      <c r="I1635" s="2" t="s">
        <v>437</v>
      </c>
      <c r="J1635" s="2" t="s">
        <v>217</v>
      </c>
      <c r="K1635" s="2" t="s">
        <v>82</v>
      </c>
      <c r="L1635" s="2" t="s">
        <v>328</v>
      </c>
      <c r="M1635" s="2" t="s">
        <v>30</v>
      </c>
      <c r="N1635" s="2" t="s">
        <v>63</v>
      </c>
      <c r="O1635" s="2" t="s">
        <v>329</v>
      </c>
      <c r="P1635" s="4">
        <v>230.32830000000001</v>
      </c>
      <c r="Q1635" s="4">
        <v>7</v>
      </c>
      <c r="R1635" s="4">
        <v>-5.6698000000000004</v>
      </c>
      <c r="S1635" s="2" t="s">
        <v>92</v>
      </c>
      <c r="T1635" s="2" t="s">
        <v>133</v>
      </c>
    </row>
    <row r="1636" spans="1:20" x14ac:dyDescent="0.25">
      <c r="A1636" s="2" t="s">
        <v>2827</v>
      </c>
      <c r="B1636" s="3">
        <v>42136</v>
      </c>
      <c r="C1636" s="3">
        <v>42138</v>
      </c>
      <c r="D1636" s="2" t="s">
        <v>55</v>
      </c>
      <c r="E1636" s="2" t="s">
        <v>765</v>
      </c>
      <c r="F1636" s="2" t="s">
        <v>766</v>
      </c>
      <c r="G1636" s="2" t="s">
        <v>58</v>
      </c>
      <c r="H1636" s="2" t="s">
        <v>25</v>
      </c>
      <c r="I1636" s="2" t="s">
        <v>137</v>
      </c>
      <c r="J1636" s="2" t="s">
        <v>138</v>
      </c>
      <c r="K1636" s="2" t="s">
        <v>82</v>
      </c>
      <c r="L1636" s="2" t="s">
        <v>235</v>
      </c>
      <c r="M1636" s="2" t="s">
        <v>30</v>
      </c>
      <c r="N1636" s="2" t="s">
        <v>31</v>
      </c>
      <c r="O1636" s="2" t="s">
        <v>236</v>
      </c>
      <c r="P1636" s="4">
        <v>195.8159</v>
      </c>
      <c r="Q1636" s="4">
        <v>3</v>
      </c>
      <c r="R1636" s="4">
        <v>-72.061400000000006</v>
      </c>
      <c r="S1636" s="2" t="s">
        <v>53</v>
      </c>
      <c r="T1636" s="2" t="s">
        <v>122</v>
      </c>
    </row>
    <row r="1637" spans="1:20" x14ac:dyDescent="0.25">
      <c r="A1637" s="2" t="s">
        <v>2828</v>
      </c>
      <c r="B1637" s="3">
        <v>42269</v>
      </c>
      <c r="C1637" s="3">
        <v>42275</v>
      </c>
      <c r="D1637" s="2" t="s">
        <v>55</v>
      </c>
      <c r="E1637" s="2" t="s">
        <v>1669</v>
      </c>
      <c r="F1637" s="2" t="s">
        <v>1670</v>
      </c>
      <c r="G1637" s="2" t="s">
        <v>58</v>
      </c>
      <c r="H1637" s="2" t="s">
        <v>25</v>
      </c>
      <c r="I1637" s="2" t="s">
        <v>666</v>
      </c>
      <c r="J1637" s="2" t="s">
        <v>667</v>
      </c>
      <c r="K1637" s="2" t="s">
        <v>28</v>
      </c>
      <c r="L1637" s="2" t="s">
        <v>83</v>
      </c>
      <c r="M1637" s="2" t="s">
        <v>30</v>
      </c>
      <c r="N1637" s="2" t="s">
        <v>42</v>
      </c>
      <c r="O1637" s="2" t="s">
        <v>84</v>
      </c>
      <c r="P1637" s="4">
        <v>349.62700000000001</v>
      </c>
      <c r="Q1637" s="4">
        <v>4</v>
      </c>
      <c r="R1637" s="4">
        <v>119.3775</v>
      </c>
      <c r="S1637" s="2" t="s">
        <v>65</v>
      </c>
      <c r="T1637" s="2" t="s">
        <v>148</v>
      </c>
    </row>
    <row r="1638" spans="1:20" x14ac:dyDescent="0.25">
      <c r="A1638" s="2" t="s">
        <v>2829</v>
      </c>
      <c r="B1638" s="3">
        <v>41808</v>
      </c>
      <c r="C1638" s="3">
        <v>41813</v>
      </c>
      <c r="D1638" s="2" t="s">
        <v>55</v>
      </c>
      <c r="E1638" s="2" t="s">
        <v>2380</v>
      </c>
      <c r="F1638" s="2" t="s">
        <v>2381</v>
      </c>
      <c r="G1638" s="2" t="s">
        <v>24</v>
      </c>
      <c r="H1638" s="2" t="s">
        <v>25</v>
      </c>
      <c r="I1638" s="2" t="s">
        <v>360</v>
      </c>
      <c r="J1638" s="2" t="s">
        <v>160</v>
      </c>
      <c r="K1638" s="2" t="s">
        <v>61</v>
      </c>
      <c r="L1638" s="2" t="s">
        <v>174</v>
      </c>
      <c r="M1638" s="2" t="s">
        <v>30</v>
      </c>
      <c r="N1638" s="2" t="s">
        <v>31</v>
      </c>
      <c r="O1638" s="2" t="s">
        <v>175</v>
      </c>
      <c r="P1638" s="4">
        <v>130.1644</v>
      </c>
      <c r="Q1638" s="4">
        <v>2</v>
      </c>
      <c r="R1638" s="4">
        <v>0.65739999999999998</v>
      </c>
      <c r="S1638" s="2" t="s">
        <v>85</v>
      </c>
      <c r="T1638" s="2" t="s">
        <v>133</v>
      </c>
    </row>
    <row r="1639" spans="1:20" x14ac:dyDescent="0.25">
      <c r="A1639" s="2" t="s">
        <v>2830</v>
      </c>
      <c r="B1639" s="3">
        <v>42022</v>
      </c>
      <c r="C1639" s="3">
        <v>42024</v>
      </c>
      <c r="D1639" s="2" t="s">
        <v>21</v>
      </c>
      <c r="E1639" s="2" t="s">
        <v>2669</v>
      </c>
      <c r="F1639" s="2" t="s">
        <v>2670</v>
      </c>
      <c r="G1639" s="2" t="s">
        <v>38</v>
      </c>
      <c r="H1639" s="2" t="s">
        <v>25</v>
      </c>
      <c r="I1639" s="2" t="s">
        <v>243</v>
      </c>
      <c r="J1639" s="2" t="s">
        <v>244</v>
      </c>
      <c r="K1639" s="2" t="s">
        <v>61</v>
      </c>
      <c r="L1639" s="2" t="s">
        <v>218</v>
      </c>
      <c r="M1639" s="2" t="s">
        <v>30</v>
      </c>
      <c r="N1639" s="2" t="s">
        <v>31</v>
      </c>
      <c r="O1639" s="2" t="s">
        <v>219</v>
      </c>
      <c r="P1639" s="4">
        <v>215.10990000000001</v>
      </c>
      <c r="Q1639" s="4">
        <v>6</v>
      </c>
      <c r="R1639" s="4">
        <v>29.168099999999999</v>
      </c>
      <c r="S1639" s="2" t="s">
        <v>53</v>
      </c>
      <c r="T1639" s="2" t="s">
        <v>115</v>
      </c>
    </row>
    <row r="1640" spans="1:20" x14ac:dyDescent="0.25">
      <c r="A1640" s="2" t="s">
        <v>2831</v>
      </c>
      <c r="B1640" s="3">
        <v>41687</v>
      </c>
      <c r="C1640" s="3">
        <v>41687</v>
      </c>
      <c r="D1640" s="2" t="s">
        <v>55</v>
      </c>
      <c r="E1640" s="2" t="s">
        <v>1509</v>
      </c>
      <c r="F1640" s="2" t="s">
        <v>1510</v>
      </c>
      <c r="G1640" s="2" t="s">
        <v>58</v>
      </c>
      <c r="H1640" s="2" t="s">
        <v>25</v>
      </c>
      <c r="I1640" s="2" t="s">
        <v>288</v>
      </c>
      <c r="J1640" s="2" t="s">
        <v>289</v>
      </c>
      <c r="K1640" s="2" t="s">
        <v>82</v>
      </c>
      <c r="L1640" s="2" t="s">
        <v>186</v>
      </c>
      <c r="M1640" s="2" t="s">
        <v>30</v>
      </c>
      <c r="N1640" s="2" t="s">
        <v>31</v>
      </c>
      <c r="O1640" s="2" t="s">
        <v>187</v>
      </c>
      <c r="P1640" s="4">
        <v>25.9575</v>
      </c>
      <c r="Q1640" s="4">
        <v>3</v>
      </c>
      <c r="R1640" s="4">
        <v>9.8507999999999996</v>
      </c>
      <c r="S1640" s="2" t="s">
        <v>121</v>
      </c>
      <c r="T1640" s="2" t="s">
        <v>101</v>
      </c>
    </row>
    <row r="1641" spans="1:20" x14ac:dyDescent="0.25">
      <c r="A1641" s="2" t="s">
        <v>2832</v>
      </c>
      <c r="B1641" s="3">
        <v>42134</v>
      </c>
      <c r="C1641" s="3">
        <v>42134</v>
      </c>
      <c r="D1641" s="2" t="s">
        <v>48</v>
      </c>
      <c r="E1641" s="2" t="s">
        <v>221</v>
      </c>
      <c r="F1641" s="2" t="s">
        <v>222</v>
      </c>
      <c r="G1641" s="2" t="s">
        <v>58</v>
      </c>
      <c r="H1641" s="2" t="s">
        <v>25</v>
      </c>
      <c r="I1641" s="2" t="s">
        <v>491</v>
      </c>
      <c r="J1641" s="2" t="s">
        <v>310</v>
      </c>
      <c r="K1641" s="2" t="s">
        <v>28</v>
      </c>
      <c r="L1641" s="2" t="s">
        <v>83</v>
      </c>
      <c r="M1641" s="2" t="s">
        <v>30</v>
      </c>
      <c r="N1641" s="2" t="s">
        <v>42</v>
      </c>
      <c r="O1641" s="2" t="s">
        <v>84</v>
      </c>
      <c r="P1641" s="4">
        <v>142.63640000000001</v>
      </c>
      <c r="Q1641" s="4">
        <v>8</v>
      </c>
      <c r="R1641" s="4">
        <v>-29.432500000000001</v>
      </c>
      <c r="S1641" s="2" t="s">
        <v>121</v>
      </c>
      <c r="T1641" s="2" t="s">
        <v>122</v>
      </c>
    </row>
    <row r="1642" spans="1:20" x14ac:dyDescent="0.25">
      <c r="A1642" s="2" t="s">
        <v>2833</v>
      </c>
      <c r="B1642" s="3">
        <v>43046</v>
      </c>
      <c r="C1642" s="3">
        <v>43050</v>
      </c>
      <c r="D1642" s="2" t="s">
        <v>55</v>
      </c>
      <c r="E1642" s="2" t="s">
        <v>734</v>
      </c>
      <c r="F1642" s="2" t="s">
        <v>735</v>
      </c>
      <c r="G1642" s="2" t="s">
        <v>58</v>
      </c>
      <c r="H1642" s="2" t="s">
        <v>25</v>
      </c>
      <c r="I1642" s="2" t="s">
        <v>760</v>
      </c>
      <c r="J1642" s="2" t="s">
        <v>112</v>
      </c>
      <c r="K1642" s="2" t="s">
        <v>28</v>
      </c>
      <c r="L1642" s="2" t="s">
        <v>252</v>
      </c>
      <c r="M1642" s="2" t="s">
        <v>30</v>
      </c>
      <c r="N1642" s="2" t="s">
        <v>31</v>
      </c>
      <c r="O1642" s="2" t="s">
        <v>253</v>
      </c>
      <c r="P1642" s="4">
        <v>26.727799999999998</v>
      </c>
      <c r="Q1642" s="4">
        <v>4</v>
      </c>
      <c r="R1642" s="4">
        <v>7.8463000000000003</v>
      </c>
      <c r="S1642" s="2" t="s">
        <v>75</v>
      </c>
      <c r="T1642" s="2" t="s">
        <v>93</v>
      </c>
    </row>
    <row r="1643" spans="1:20" x14ac:dyDescent="0.25">
      <c r="A1643" s="2" t="s">
        <v>2834</v>
      </c>
      <c r="B1643" s="3">
        <v>42448</v>
      </c>
      <c r="C1643" s="3">
        <v>42455</v>
      </c>
      <c r="D1643" s="2" t="s">
        <v>55</v>
      </c>
      <c r="E1643" s="2" t="s">
        <v>2602</v>
      </c>
      <c r="F1643" s="2" t="s">
        <v>2603</v>
      </c>
      <c r="G1643" s="2" t="s">
        <v>38</v>
      </c>
      <c r="H1643" s="2" t="s">
        <v>25</v>
      </c>
      <c r="I1643" s="2" t="s">
        <v>527</v>
      </c>
      <c r="J1643" s="2" t="s">
        <v>496</v>
      </c>
      <c r="K1643" s="2" t="s">
        <v>147</v>
      </c>
      <c r="L1643" s="2" t="s">
        <v>113</v>
      </c>
      <c r="M1643" s="2" t="s">
        <v>30</v>
      </c>
      <c r="N1643" s="2" t="s">
        <v>31</v>
      </c>
      <c r="O1643" s="2" t="s">
        <v>114</v>
      </c>
      <c r="P1643" s="4">
        <v>246.1</v>
      </c>
      <c r="Q1643" s="4">
        <v>1</v>
      </c>
      <c r="R1643" s="4">
        <v>-27.075399999999998</v>
      </c>
      <c r="S1643" s="2" t="s">
        <v>107</v>
      </c>
      <c r="T1643" s="2" t="s">
        <v>44</v>
      </c>
    </row>
    <row r="1644" spans="1:20" x14ac:dyDescent="0.25">
      <c r="A1644" s="2" t="s">
        <v>2835</v>
      </c>
      <c r="B1644" s="3">
        <v>41738</v>
      </c>
      <c r="C1644" s="3">
        <v>41743</v>
      </c>
      <c r="D1644" s="2" t="s">
        <v>55</v>
      </c>
      <c r="E1644" s="2" t="s">
        <v>690</v>
      </c>
      <c r="F1644" s="2" t="s">
        <v>691</v>
      </c>
      <c r="G1644" s="2" t="s">
        <v>38</v>
      </c>
      <c r="H1644" s="2" t="s">
        <v>25</v>
      </c>
      <c r="I1644" s="2" t="s">
        <v>662</v>
      </c>
      <c r="J1644" s="2" t="s">
        <v>310</v>
      </c>
      <c r="K1644" s="2" t="s">
        <v>28</v>
      </c>
      <c r="L1644" s="2" t="s">
        <v>719</v>
      </c>
      <c r="M1644" s="2" t="s">
        <v>30</v>
      </c>
      <c r="N1644" s="2" t="s">
        <v>63</v>
      </c>
      <c r="O1644" s="2" t="s">
        <v>720</v>
      </c>
      <c r="P1644" s="4">
        <v>4127.3531000000003</v>
      </c>
      <c r="Q1644" s="4">
        <v>4</v>
      </c>
      <c r="R1644" s="4">
        <v>-3067.4994000000002</v>
      </c>
      <c r="S1644" s="2" t="s">
        <v>85</v>
      </c>
      <c r="T1644" s="2" t="s">
        <v>108</v>
      </c>
    </row>
    <row r="1645" spans="1:20" x14ac:dyDescent="0.25">
      <c r="A1645" s="2" t="s">
        <v>2835</v>
      </c>
      <c r="B1645" s="3">
        <v>41738</v>
      </c>
      <c r="C1645" s="3">
        <v>41743</v>
      </c>
      <c r="D1645" s="2" t="s">
        <v>55</v>
      </c>
      <c r="E1645" s="2" t="s">
        <v>690</v>
      </c>
      <c r="F1645" s="2" t="s">
        <v>691</v>
      </c>
      <c r="G1645" s="2" t="s">
        <v>38</v>
      </c>
      <c r="H1645" s="2" t="s">
        <v>25</v>
      </c>
      <c r="I1645" s="2" t="s">
        <v>662</v>
      </c>
      <c r="J1645" s="2" t="s">
        <v>310</v>
      </c>
      <c r="K1645" s="2" t="s">
        <v>28</v>
      </c>
      <c r="L1645" s="2" t="s">
        <v>218</v>
      </c>
      <c r="M1645" s="2" t="s">
        <v>30</v>
      </c>
      <c r="N1645" s="2" t="s">
        <v>31</v>
      </c>
      <c r="O1645" s="2" t="s">
        <v>219</v>
      </c>
      <c r="P1645" s="4">
        <v>33.423200000000001</v>
      </c>
      <c r="Q1645" s="4">
        <v>5</v>
      </c>
      <c r="R1645" s="4">
        <v>7.4203000000000001</v>
      </c>
      <c r="S1645" s="2" t="s">
        <v>85</v>
      </c>
      <c r="T1645" s="2" t="s">
        <v>108</v>
      </c>
    </row>
    <row r="1646" spans="1:20" x14ac:dyDescent="0.25">
      <c r="A1646" s="2" t="s">
        <v>2835</v>
      </c>
      <c r="B1646" s="3">
        <v>41738</v>
      </c>
      <c r="C1646" s="3">
        <v>41743</v>
      </c>
      <c r="D1646" s="2" t="s">
        <v>55</v>
      </c>
      <c r="E1646" s="2" t="s">
        <v>690</v>
      </c>
      <c r="F1646" s="2" t="s">
        <v>691</v>
      </c>
      <c r="G1646" s="2" t="s">
        <v>38</v>
      </c>
      <c r="H1646" s="2" t="s">
        <v>25</v>
      </c>
      <c r="I1646" s="2" t="s">
        <v>662</v>
      </c>
      <c r="J1646" s="2" t="s">
        <v>310</v>
      </c>
      <c r="K1646" s="2" t="s">
        <v>28</v>
      </c>
      <c r="L1646" s="2" t="s">
        <v>415</v>
      </c>
      <c r="M1646" s="2" t="s">
        <v>30</v>
      </c>
      <c r="N1646" s="2" t="s">
        <v>63</v>
      </c>
      <c r="O1646" s="2" t="s">
        <v>416</v>
      </c>
      <c r="P1646" s="4">
        <v>116.8531</v>
      </c>
      <c r="Q1646" s="4">
        <v>3</v>
      </c>
      <c r="R1646" s="4">
        <v>6.4383999999999997</v>
      </c>
      <c r="S1646" s="2" t="s">
        <v>85</v>
      </c>
      <c r="T1646" s="2" t="s">
        <v>108</v>
      </c>
    </row>
    <row r="1647" spans="1:20" x14ac:dyDescent="0.25">
      <c r="A1647" s="2" t="s">
        <v>2835</v>
      </c>
      <c r="B1647" s="3">
        <v>41738</v>
      </c>
      <c r="C1647" s="3">
        <v>41743</v>
      </c>
      <c r="D1647" s="2" t="s">
        <v>55</v>
      </c>
      <c r="E1647" s="2" t="s">
        <v>690</v>
      </c>
      <c r="F1647" s="2" t="s">
        <v>691</v>
      </c>
      <c r="G1647" s="2" t="s">
        <v>38</v>
      </c>
      <c r="H1647" s="2" t="s">
        <v>25</v>
      </c>
      <c r="I1647" s="2" t="s">
        <v>662</v>
      </c>
      <c r="J1647" s="2" t="s">
        <v>310</v>
      </c>
      <c r="K1647" s="2" t="s">
        <v>28</v>
      </c>
      <c r="L1647" s="2" t="s">
        <v>29</v>
      </c>
      <c r="M1647" s="2" t="s">
        <v>30</v>
      </c>
      <c r="N1647" s="2" t="s">
        <v>31</v>
      </c>
      <c r="O1647" s="2" t="s">
        <v>32</v>
      </c>
      <c r="P1647" s="4">
        <v>60.882199999999997</v>
      </c>
      <c r="Q1647" s="4">
        <v>3</v>
      </c>
      <c r="R1647" s="4">
        <v>-3.0499000000000001</v>
      </c>
      <c r="S1647" s="2" t="s">
        <v>85</v>
      </c>
      <c r="T1647" s="2" t="s">
        <v>108</v>
      </c>
    </row>
    <row r="1648" spans="1:20" x14ac:dyDescent="0.25">
      <c r="A1648" s="2" t="s">
        <v>2836</v>
      </c>
      <c r="B1648" s="3">
        <v>42674</v>
      </c>
      <c r="C1648" s="3">
        <v>42678</v>
      </c>
      <c r="D1648" s="2" t="s">
        <v>21</v>
      </c>
      <c r="E1648" s="2" t="s">
        <v>1808</v>
      </c>
      <c r="F1648" s="2" t="s">
        <v>1809</v>
      </c>
      <c r="G1648" s="2" t="s">
        <v>24</v>
      </c>
      <c r="H1648" s="2" t="s">
        <v>25</v>
      </c>
      <c r="I1648" s="2" t="s">
        <v>184</v>
      </c>
      <c r="J1648" s="2" t="s">
        <v>185</v>
      </c>
      <c r="K1648" s="2" t="s">
        <v>147</v>
      </c>
      <c r="L1648" s="2" t="s">
        <v>890</v>
      </c>
      <c r="M1648" s="2" t="s">
        <v>30</v>
      </c>
      <c r="N1648" s="2" t="s">
        <v>63</v>
      </c>
      <c r="O1648" s="2" t="s">
        <v>891</v>
      </c>
      <c r="P1648" s="4">
        <v>335.28100000000001</v>
      </c>
      <c r="Q1648" s="4">
        <v>5</v>
      </c>
      <c r="R1648" s="4">
        <v>-39.961100000000002</v>
      </c>
      <c r="S1648" s="2" t="s">
        <v>75</v>
      </c>
      <c r="T1648" s="2" t="s">
        <v>224</v>
      </c>
    </row>
    <row r="1649" spans="1:20" x14ac:dyDescent="0.25">
      <c r="A1649" s="2" t="s">
        <v>2836</v>
      </c>
      <c r="B1649" s="3">
        <v>42674</v>
      </c>
      <c r="C1649" s="3">
        <v>42678</v>
      </c>
      <c r="D1649" s="2" t="s">
        <v>21</v>
      </c>
      <c r="E1649" s="2" t="s">
        <v>1808</v>
      </c>
      <c r="F1649" s="2" t="s">
        <v>1809</v>
      </c>
      <c r="G1649" s="2" t="s">
        <v>24</v>
      </c>
      <c r="H1649" s="2" t="s">
        <v>25</v>
      </c>
      <c r="I1649" s="2" t="s">
        <v>184</v>
      </c>
      <c r="J1649" s="2" t="s">
        <v>185</v>
      </c>
      <c r="K1649" s="2" t="s">
        <v>147</v>
      </c>
      <c r="L1649" s="2" t="s">
        <v>41</v>
      </c>
      <c r="M1649" s="2" t="s">
        <v>30</v>
      </c>
      <c r="N1649" s="2" t="s">
        <v>42</v>
      </c>
      <c r="O1649" s="2" t="s">
        <v>43</v>
      </c>
      <c r="P1649" s="4">
        <v>463.69380000000001</v>
      </c>
      <c r="Q1649" s="4">
        <v>2</v>
      </c>
      <c r="R1649" s="4">
        <v>-10.805099999999999</v>
      </c>
      <c r="S1649" s="2" t="s">
        <v>75</v>
      </c>
      <c r="T1649" s="2" t="s">
        <v>224</v>
      </c>
    </row>
    <row r="1650" spans="1:20" x14ac:dyDescent="0.25">
      <c r="A1650" s="2" t="s">
        <v>2837</v>
      </c>
      <c r="B1650" s="3">
        <v>41700</v>
      </c>
      <c r="C1650" s="3">
        <v>41702</v>
      </c>
      <c r="D1650" s="2" t="s">
        <v>48</v>
      </c>
      <c r="E1650" s="2" t="s">
        <v>2633</v>
      </c>
      <c r="F1650" s="2" t="s">
        <v>2634</v>
      </c>
      <c r="G1650" s="2" t="s">
        <v>38</v>
      </c>
      <c r="H1650" s="2" t="s">
        <v>25</v>
      </c>
      <c r="I1650" s="2" t="s">
        <v>402</v>
      </c>
      <c r="J1650" s="2" t="s">
        <v>403</v>
      </c>
      <c r="K1650" s="2" t="s">
        <v>147</v>
      </c>
      <c r="L1650" s="2" t="s">
        <v>193</v>
      </c>
      <c r="M1650" s="2" t="s">
        <v>30</v>
      </c>
      <c r="N1650" s="2" t="s">
        <v>42</v>
      </c>
      <c r="O1650" s="2" t="s">
        <v>194</v>
      </c>
      <c r="P1650" s="4">
        <v>262.4828</v>
      </c>
      <c r="Q1650" s="4">
        <v>3</v>
      </c>
      <c r="R1650" s="4">
        <v>15.7493</v>
      </c>
      <c r="S1650" s="2" t="s">
        <v>53</v>
      </c>
      <c r="T1650" s="2" t="s">
        <v>44</v>
      </c>
    </row>
    <row r="1651" spans="1:20" x14ac:dyDescent="0.25">
      <c r="A1651" s="2" t="s">
        <v>2837</v>
      </c>
      <c r="B1651" s="3">
        <v>41700</v>
      </c>
      <c r="C1651" s="3">
        <v>41702</v>
      </c>
      <c r="D1651" s="2" t="s">
        <v>48</v>
      </c>
      <c r="E1651" s="2" t="s">
        <v>2633</v>
      </c>
      <c r="F1651" s="2" t="s">
        <v>2634</v>
      </c>
      <c r="G1651" s="2" t="s">
        <v>38</v>
      </c>
      <c r="H1651" s="2" t="s">
        <v>25</v>
      </c>
      <c r="I1651" s="2" t="s">
        <v>402</v>
      </c>
      <c r="J1651" s="2" t="s">
        <v>403</v>
      </c>
      <c r="K1651" s="2" t="s">
        <v>147</v>
      </c>
      <c r="L1651" s="2" t="s">
        <v>99</v>
      </c>
      <c r="M1651" s="2" t="s">
        <v>30</v>
      </c>
      <c r="N1651" s="2" t="s">
        <v>42</v>
      </c>
      <c r="O1651" s="2" t="s">
        <v>100</v>
      </c>
      <c r="P1651" s="4">
        <v>250.9273</v>
      </c>
      <c r="Q1651" s="4">
        <v>2</v>
      </c>
      <c r="R1651" s="4">
        <v>48.8538</v>
      </c>
      <c r="S1651" s="2" t="s">
        <v>53</v>
      </c>
      <c r="T1651" s="2" t="s">
        <v>44</v>
      </c>
    </row>
    <row r="1652" spans="1:20" x14ac:dyDescent="0.25">
      <c r="A1652" s="2" t="s">
        <v>2838</v>
      </c>
      <c r="B1652" s="3">
        <v>43079</v>
      </c>
      <c r="C1652" s="3">
        <v>43081</v>
      </c>
      <c r="D1652" s="2" t="s">
        <v>48</v>
      </c>
      <c r="E1652" s="2" t="s">
        <v>939</v>
      </c>
      <c r="F1652" s="2" t="s">
        <v>940</v>
      </c>
      <c r="G1652" s="2" t="s">
        <v>38</v>
      </c>
      <c r="H1652" s="2" t="s">
        <v>25</v>
      </c>
      <c r="I1652" s="2" t="s">
        <v>779</v>
      </c>
      <c r="J1652" s="2" t="s">
        <v>356</v>
      </c>
      <c r="K1652" s="2" t="s">
        <v>147</v>
      </c>
      <c r="L1652" s="2" t="s">
        <v>344</v>
      </c>
      <c r="M1652" s="2" t="s">
        <v>30</v>
      </c>
      <c r="N1652" s="2" t="s">
        <v>42</v>
      </c>
      <c r="O1652" s="2" t="s">
        <v>345</v>
      </c>
      <c r="P1652" s="4">
        <v>132.05420000000001</v>
      </c>
      <c r="Q1652" s="4">
        <v>3</v>
      </c>
      <c r="R1652" s="4">
        <v>39.597200000000001</v>
      </c>
      <c r="S1652" s="2" t="s">
        <v>53</v>
      </c>
      <c r="T1652" s="2" t="s">
        <v>76</v>
      </c>
    </row>
    <row r="1653" spans="1:20" x14ac:dyDescent="0.25">
      <c r="A1653" s="2" t="s">
        <v>2839</v>
      </c>
      <c r="B1653" s="3">
        <v>42348</v>
      </c>
      <c r="C1653" s="3">
        <v>42352</v>
      </c>
      <c r="D1653" s="2" t="s">
        <v>21</v>
      </c>
      <c r="E1653" s="2" t="s">
        <v>2840</v>
      </c>
      <c r="F1653" s="2" t="s">
        <v>2841</v>
      </c>
      <c r="G1653" s="2" t="s">
        <v>58</v>
      </c>
      <c r="H1653" s="2" t="s">
        <v>25</v>
      </c>
      <c r="I1653" s="2" t="s">
        <v>527</v>
      </c>
      <c r="J1653" s="2" t="s">
        <v>496</v>
      </c>
      <c r="K1653" s="2" t="s">
        <v>147</v>
      </c>
      <c r="L1653" s="2" t="s">
        <v>333</v>
      </c>
      <c r="M1653" s="2" t="s">
        <v>30</v>
      </c>
      <c r="N1653" s="2" t="s">
        <v>162</v>
      </c>
      <c r="O1653" s="2" t="s">
        <v>334</v>
      </c>
      <c r="P1653" s="4">
        <v>968.56669999999997</v>
      </c>
      <c r="Q1653" s="4">
        <v>2</v>
      </c>
      <c r="R1653" s="4">
        <v>127.77979999999999</v>
      </c>
      <c r="S1653" s="2" t="s">
        <v>75</v>
      </c>
      <c r="T1653" s="2" t="s">
        <v>76</v>
      </c>
    </row>
    <row r="1654" spans="1:20" x14ac:dyDescent="0.25">
      <c r="A1654" s="2" t="s">
        <v>2842</v>
      </c>
      <c r="B1654" s="3">
        <v>42113</v>
      </c>
      <c r="C1654" s="3">
        <v>42116</v>
      </c>
      <c r="D1654" s="2" t="s">
        <v>21</v>
      </c>
      <c r="E1654" s="2" t="s">
        <v>1479</v>
      </c>
      <c r="F1654" s="2" t="s">
        <v>1480</v>
      </c>
      <c r="G1654" s="2" t="s">
        <v>58</v>
      </c>
      <c r="H1654" s="2" t="s">
        <v>25</v>
      </c>
      <c r="I1654" s="2" t="s">
        <v>145</v>
      </c>
      <c r="J1654" s="2" t="s">
        <v>146</v>
      </c>
      <c r="K1654" s="2" t="s">
        <v>147</v>
      </c>
      <c r="L1654" s="2" t="s">
        <v>323</v>
      </c>
      <c r="M1654" s="2" t="s">
        <v>30</v>
      </c>
      <c r="N1654" s="2" t="s">
        <v>31</v>
      </c>
      <c r="O1654" s="2" t="s">
        <v>324</v>
      </c>
      <c r="P1654" s="4">
        <v>16.530899999999999</v>
      </c>
      <c r="Q1654" s="4">
        <v>5</v>
      </c>
      <c r="R1654" s="4">
        <v>5.6681999999999997</v>
      </c>
      <c r="S1654" s="2" t="s">
        <v>92</v>
      </c>
      <c r="T1654" s="2" t="s">
        <v>108</v>
      </c>
    </row>
    <row r="1655" spans="1:20" x14ac:dyDescent="0.25">
      <c r="A1655" s="2" t="s">
        <v>2843</v>
      </c>
      <c r="B1655" s="3">
        <v>42081</v>
      </c>
      <c r="C1655" s="3">
        <v>42082</v>
      </c>
      <c r="D1655" s="2" t="s">
        <v>55</v>
      </c>
      <c r="E1655" s="2" t="s">
        <v>738</v>
      </c>
      <c r="F1655" s="2" t="s">
        <v>739</v>
      </c>
      <c r="G1655" s="2" t="s">
        <v>58</v>
      </c>
      <c r="H1655" s="2" t="s">
        <v>25</v>
      </c>
      <c r="I1655" s="2" t="s">
        <v>505</v>
      </c>
      <c r="J1655" s="2" t="s">
        <v>244</v>
      </c>
      <c r="K1655" s="2" t="s">
        <v>61</v>
      </c>
      <c r="L1655" s="2" t="s">
        <v>793</v>
      </c>
      <c r="M1655" s="2" t="s">
        <v>30</v>
      </c>
      <c r="N1655" s="2" t="s">
        <v>63</v>
      </c>
      <c r="O1655" s="2" t="s">
        <v>794</v>
      </c>
      <c r="P1655" s="4">
        <v>598.3451</v>
      </c>
      <c r="Q1655" s="4">
        <v>7</v>
      </c>
      <c r="R1655" s="4">
        <v>-61.758499999999998</v>
      </c>
      <c r="S1655" s="2" t="s">
        <v>33</v>
      </c>
      <c r="T1655" s="2" t="s">
        <v>44</v>
      </c>
    </row>
    <row r="1656" spans="1:20" x14ac:dyDescent="0.25">
      <c r="A1656" s="2" t="s">
        <v>2844</v>
      </c>
      <c r="B1656" s="3">
        <v>42242</v>
      </c>
      <c r="C1656" s="3">
        <v>42247</v>
      </c>
      <c r="D1656" s="2" t="s">
        <v>55</v>
      </c>
      <c r="E1656" s="2" t="s">
        <v>1149</v>
      </c>
      <c r="F1656" s="2" t="s">
        <v>1150</v>
      </c>
      <c r="G1656" s="2" t="s">
        <v>38</v>
      </c>
      <c r="H1656" s="2" t="s">
        <v>25</v>
      </c>
      <c r="I1656" s="2" t="s">
        <v>805</v>
      </c>
      <c r="J1656" s="2" t="s">
        <v>351</v>
      </c>
      <c r="K1656" s="2" t="s">
        <v>147</v>
      </c>
      <c r="L1656" s="2" t="s">
        <v>45</v>
      </c>
      <c r="M1656" s="2" t="s">
        <v>30</v>
      </c>
      <c r="N1656" s="2" t="s">
        <v>31</v>
      </c>
      <c r="O1656" s="2" t="s">
        <v>46</v>
      </c>
      <c r="P1656" s="4">
        <v>13.997400000000001</v>
      </c>
      <c r="Q1656" s="4">
        <v>5</v>
      </c>
      <c r="R1656" s="4">
        <v>-1.0479000000000001</v>
      </c>
      <c r="S1656" s="2" t="s">
        <v>85</v>
      </c>
      <c r="T1656" s="2" t="s">
        <v>34</v>
      </c>
    </row>
    <row r="1657" spans="1:20" x14ac:dyDescent="0.25">
      <c r="A1657" s="2" t="s">
        <v>2845</v>
      </c>
      <c r="B1657" s="3">
        <v>42531</v>
      </c>
      <c r="C1657" s="3">
        <v>42531</v>
      </c>
      <c r="D1657" s="2" t="s">
        <v>55</v>
      </c>
      <c r="E1657" s="2" t="s">
        <v>2846</v>
      </c>
      <c r="F1657" s="2" t="s">
        <v>2847</v>
      </c>
      <c r="G1657" s="2" t="s">
        <v>38</v>
      </c>
      <c r="H1657" s="2" t="s">
        <v>25</v>
      </c>
      <c r="I1657" s="2" t="s">
        <v>509</v>
      </c>
      <c r="J1657" s="2" t="s">
        <v>356</v>
      </c>
      <c r="K1657" s="2" t="s">
        <v>147</v>
      </c>
      <c r="L1657" s="2" t="s">
        <v>174</v>
      </c>
      <c r="M1657" s="2" t="s">
        <v>30</v>
      </c>
      <c r="N1657" s="2" t="s">
        <v>31</v>
      </c>
      <c r="O1657" s="2" t="s">
        <v>175</v>
      </c>
      <c r="P1657" s="4">
        <v>35.440199999999997</v>
      </c>
      <c r="Q1657" s="4">
        <v>2</v>
      </c>
      <c r="R1657" s="4">
        <v>-2.1955</v>
      </c>
      <c r="S1657" s="2" t="s">
        <v>121</v>
      </c>
      <c r="T1657" s="2" t="s">
        <v>133</v>
      </c>
    </row>
    <row r="1658" spans="1:20" x14ac:dyDescent="0.25">
      <c r="A1658" s="2" t="s">
        <v>2845</v>
      </c>
      <c r="B1658" s="3">
        <v>42531</v>
      </c>
      <c r="C1658" s="3">
        <v>42531</v>
      </c>
      <c r="D1658" s="2" t="s">
        <v>55</v>
      </c>
      <c r="E1658" s="2" t="s">
        <v>2846</v>
      </c>
      <c r="F1658" s="2" t="s">
        <v>2847</v>
      </c>
      <c r="G1658" s="2" t="s">
        <v>38</v>
      </c>
      <c r="H1658" s="2" t="s">
        <v>25</v>
      </c>
      <c r="I1658" s="2" t="s">
        <v>509</v>
      </c>
      <c r="J1658" s="2" t="s">
        <v>356</v>
      </c>
      <c r="K1658" s="2" t="s">
        <v>147</v>
      </c>
      <c r="L1658" s="2" t="s">
        <v>333</v>
      </c>
      <c r="M1658" s="2" t="s">
        <v>30</v>
      </c>
      <c r="N1658" s="2" t="s">
        <v>162</v>
      </c>
      <c r="O1658" s="2" t="s">
        <v>334</v>
      </c>
      <c r="P1658" s="4">
        <v>1014.7391</v>
      </c>
      <c r="Q1658" s="4">
        <v>6</v>
      </c>
      <c r="R1658" s="4">
        <v>-43.7746</v>
      </c>
      <c r="S1658" s="2" t="s">
        <v>121</v>
      </c>
      <c r="T1658" s="2" t="s">
        <v>133</v>
      </c>
    </row>
    <row r="1659" spans="1:20" x14ac:dyDescent="0.25">
      <c r="A1659" s="2" t="s">
        <v>2848</v>
      </c>
      <c r="B1659" s="3">
        <v>42379</v>
      </c>
      <c r="C1659" s="3">
        <v>42386</v>
      </c>
      <c r="D1659" s="2" t="s">
        <v>55</v>
      </c>
      <c r="E1659" s="2" t="s">
        <v>314</v>
      </c>
      <c r="F1659" s="2" t="s">
        <v>315</v>
      </c>
      <c r="G1659" s="2" t="s">
        <v>24</v>
      </c>
      <c r="H1659" s="2" t="s">
        <v>25</v>
      </c>
      <c r="I1659" s="2" t="s">
        <v>1449</v>
      </c>
      <c r="J1659" s="2" t="s">
        <v>753</v>
      </c>
      <c r="K1659" s="2" t="s">
        <v>147</v>
      </c>
      <c r="L1659" s="2" t="s">
        <v>207</v>
      </c>
      <c r="M1659" s="2" t="s">
        <v>30</v>
      </c>
      <c r="N1659" s="2" t="s">
        <v>31</v>
      </c>
      <c r="O1659" s="2" t="s">
        <v>208</v>
      </c>
      <c r="P1659" s="4">
        <v>122.9936</v>
      </c>
      <c r="Q1659" s="4">
        <v>6</v>
      </c>
      <c r="R1659" s="4">
        <v>-8.0466999999999995</v>
      </c>
      <c r="S1659" s="2" t="s">
        <v>107</v>
      </c>
      <c r="T1659" s="2" t="s">
        <v>115</v>
      </c>
    </row>
    <row r="1660" spans="1:20" x14ac:dyDescent="0.25">
      <c r="A1660" s="2" t="s">
        <v>2849</v>
      </c>
      <c r="B1660" s="3">
        <v>41844</v>
      </c>
      <c r="C1660" s="3">
        <v>41846</v>
      </c>
      <c r="D1660" s="2" t="s">
        <v>48</v>
      </c>
      <c r="E1660" s="2" t="s">
        <v>1182</v>
      </c>
      <c r="F1660" s="2" t="s">
        <v>1183</v>
      </c>
      <c r="G1660" s="2" t="s">
        <v>58</v>
      </c>
      <c r="H1660" s="2" t="s">
        <v>25</v>
      </c>
      <c r="I1660" s="2" t="s">
        <v>1366</v>
      </c>
      <c r="J1660" s="2" t="s">
        <v>244</v>
      </c>
      <c r="K1660" s="2" t="s">
        <v>61</v>
      </c>
      <c r="L1660" s="2" t="s">
        <v>301</v>
      </c>
      <c r="M1660" s="2" t="s">
        <v>30</v>
      </c>
      <c r="N1660" s="2" t="s">
        <v>162</v>
      </c>
      <c r="O1660" s="2" t="s">
        <v>302</v>
      </c>
      <c r="P1660" s="4">
        <v>445.46429999999998</v>
      </c>
      <c r="Q1660" s="4">
        <v>3</v>
      </c>
      <c r="R1660" s="4">
        <v>275.78019999999998</v>
      </c>
      <c r="S1660" s="2" t="s">
        <v>53</v>
      </c>
      <c r="T1660" s="2" t="s">
        <v>86</v>
      </c>
    </row>
    <row r="1661" spans="1:20" x14ac:dyDescent="0.25">
      <c r="A1661" s="2" t="s">
        <v>2850</v>
      </c>
      <c r="B1661" s="3">
        <v>42634</v>
      </c>
      <c r="C1661" s="3">
        <v>42634</v>
      </c>
      <c r="D1661" s="2" t="s">
        <v>142</v>
      </c>
      <c r="E1661" s="2" t="s">
        <v>2851</v>
      </c>
      <c r="F1661" s="2" t="s">
        <v>2852</v>
      </c>
      <c r="G1661" s="2" t="s">
        <v>38</v>
      </c>
      <c r="H1661" s="2" t="s">
        <v>25</v>
      </c>
      <c r="I1661" s="2" t="s">
        <v>623</v>
      </c>
      <c r="J1661" s="2" t="s">
        <v>40</v>
      </c>
      <c r="K1661" s="2" t="s">
        <v>28</v>
      </c>
      <c r="L1661" s="2" t="s">
        <v>41</v>
      </c>
      <c r="M1661" s="2" t="s">
        <v>30</v>
      </c>
      <c r="N1661" s="2" t="s">
        <v>42</v>
      </c>
      <c r="O1661" s="2" t="s">
        <v>43</v>
      </c>
      <c r="P1661" s="4">
        <v>189.36859999999999</v>
      </c>
      <c r="Q1661" s="4">
        <v>5</v>
      </c>
      <c r="R1661" s="4">
        <v>-40.251199999999997</v>
      </c>
      <c r="S1661" s="2" t="s">
        <v>121</v>
      </c>
      <c r="T1661" s="2" t="s">
        <v>148</v>
      </c>
    </row>
    <row r="1662" spans="1:20" x14ac:dyDescent="0.25">
      <c r="A1662" s="2" t="s">
        <v>2850</v>
      </c>
      <c r="B1662" s="3">
        <v>42634</v>
      </c>
      <c r="C1662" s="3">
        <v>42634</v>
      </c>
      <c r="D1662" s="2" t="s">
        <v>142</v>
      </c>
      <c r="E1662" s="2" t="s">
        <v>2851</v>
      </c>
      <c r="F1662" s="2" t="s">
        <v>2852</v>
      </c>
      <c r="G1662" s="2" t="s">
        <v>38</v>
      </c>
      <c r="H1662" s="2" t="s">
        <v>25</v>
      </c>
      <c r="I1662" s="2" t="s">
        <v>623</v>
      </c>
      <c r="J1662" s="2" t="s">
        <v>40</v>
      </c>
      <c r="K1662" s="2" t="s">
        <v>28</v>
      </c>
      <c r="L1662" s="2" t="s">
        <v>83</v>
      </c>
      <c r="M1662" s="2" t="s">
        <v>30</v>
      </c>
      <c r="N1662" s="2" t="s">
        <v>42</v>
      </c>
      <c r="O1662" s="2" t="s">
        <v>84</v>
      </c>
      <c r="P1662" s="4">
        <v>2685.3616000000002</v>
      </c>
      <c r="Q1662" s="4">
        <v>2</v>
      </c>
      <c r="R1662" s="4">
        <v>213.6892</v>
      </c>
      <c r="S1662" s="2" t="s">
        <v>121</v>
      </c>
      <c r="T1662" s="2" t="s">
        <v>148</v>
      </c>
    </row>
    <row r="1663" spans="1:20" x14ac:dyDescent="0.25">
      <c r="A1663" s="2" t="s">
        <v>2853</v>
      </c>
      <c r="B1663" s="3">
        <v>42775</v>
      </c>
      <c r="C1663" s="3">
        <v>42777</v>
      </c>
      <c r="D1663" s="2" t="s">
        <v>55</v>
      </c>
      <c r="E1663" s="2" t="s">
        <v>2263</v>
      </c>
      <c r="F1663" s="2" t="s">
        <v>2264</v>
      </c>
      <c r="G1663" s="2" t="s">
        <v>24</v>
      </c>
      <c r="H1663" s="2" t="s">
        <v>25</v>
      </c>
      <c r="I1663" s="2" t="s">
        <v>773</v>
      </c>
      <c r="J1663" s="2" t="s">
        <v>322</v>
      </c>
      <c r="K1663" s="2" t="s">
        <v>28</v>
      </c>
      <c r="L1663" s="2" t="s">
        <v>99</v>
      </c>
      <c r="M1663" s="2" t="s">
        <v>30</v>
      </c>
      <c r="N1663" s="2" t="s">
        <v>42</v>
      </c>
      <c r="O1663" s="2" t="s">
        <v>100</v>
      </c>
      <c r="P1663" s="4">
        <v>850.36890000000005</v>
      </c>
      <c r="Q1663" s="4">
        <v>4</v>
      </c>
      <c r="R1663" s="4">
        <v>173.81610000000001</v>
      </c>
      <c r="S1663" s="2" t="s">
        <v>53</v>
      </c>
      <c r="T1663" s="2" t="s">
        <v>101</v>
      </c>
    </row>
    <row r="1664" spans="1:20" x14ac:dyDescent="0.25">
      <c r="A1664" s="2" t="s">
        <v>2854</v>
      </c>
      <c r="B1664" s="3">
        <v>42406</v>
      </c>
      <c r="C1664" s="3">
        <v>42410</v>
      </c>
      <c r="D1664" s="2" t="s">
        <v>21</v>
      </c>
      <c r="E1664" s="2" t="s">
        <v>1645</v>
      </c>
      <c r="F1664" s="2" t="s">
        <v>1646</v>
      </c>
      <c r="G1664" s="2" t="s">
        <v>58</v>
      </c>
      <c r="H1664" s="2" t="s">
        <v>25</v>
      </c>
      <c r="I1664" s="2" t="s">
        <v>205</v>
      </c>
      <c r="J1664" s="2" t="s">
        <v>206</v>
      </c>
      <c r="K1664" s="2" t="s">
        <v>61</v>
      </c>
      <c r="L1664" s="2" t="s">
        <v>612</v>
      </c>
      <c r="M1664" s="2" t="s">
        <v>30</v>
      </c>
      <c r="N1664" s="2" t="s">
        <v>162</v>
      </c>
      <c r="O1664" s="2" t="s">
        <v>613</v>
      </c>
      <c r="P1664" s="4">
        <v>317.35579999999999</v>
      </c>
      <c r="Q1664" s="4">
        <v>1</v>
      </c>
      <c r="R1664" s="4">
        <v>-12.3125</v>
      </c>
      <c r="S1664" s="2" t="s">
        <v>75</v>
      </c>
      <c r="T1664" s="2" t="s">
        <v>101</v>
      </c>
    </row>
    <row r="1665" spans="1:20" x14ac:dyDescent="0.25">
      <c r="A1665" s="2" t="s">
        <v>2854</v>
      </c>
      <c r="B1665" s="3">
        <v>42406</v>
      </c>
      <c r="C1665" s="3">
        <v>42410</v>
      </c>
      <c r="D1665" s="2" t="s">
        <v>21</v>
      </c>
      <c r="E1665" s="2" t="s">
        <v>1645</v>
      </c>
      <c r="F1665" s="2" t="s">
        <v>1646</v>
      </c>
      <c r="G1665" s="2" t="s">
        <v>58</v>
      </c>
      <c r="H1665" s="2" t="s">
        <v>25</v>
      </c>
      <c r="I1665" s="2" t="s">
        <v>205</v>
      </c>
      <c r="J1665" s="2" t="s">
        <v>206</v>
      </c>
      <c r="K1665" s="2" t="s">
        <v>61</v>
      </c>
      <c r="L1665" s="2" t="s">
        <v>252</v>
      </c>
      <c r="M1665" s="2" t="s">
        <v>30</v>
      </c>
      <c r="N1665" s="2" t="s">
        <v>31</v>
      </c>
      <c r="O1665" s="2" t="s">
        <v>253</v>
      </c>
      <c r="P1665" s="4">
        <v>9.4437999999999995</v>
      </c>
      <c r="Q1665" s="4">
        <v>2</v>
      </c>
      <c r="R1665" s="4">
        <v>4.5227000000000004</v>
      </c>
      <c r="S1665" s="2" t="s">
        <v>75</v>
      </c>
      <c r="T1665" s="2" t="s">
        <v>101</v>
      </c>
    </row>
    <row r="1666" spans="1:20" x14ac:dyDescent="0.25">
      <c r="A1666" s="2" t="s">
        <v>2855</v>
      </c>
      <c r="B1666" s="3">
        <v>42232</v>
      </c>
      <c r="C1666" s="3">
        <v>42232</v>
      </c>
      <c r="D1666" s="2" t="s">
        <v>142</v>
      </c>
      <c r="E1666" s="2" t="s">
        <v>392</v>
      </c>
      <c r="F1666" s="2" t="s">
        <v>393</v>
      </c>
      <c r="G1666" s="2" t="s">
        <v>58</v>
      </c>
      <c r="H1666" s="2" t="s">
        <v>25</v>
      </c>
      <c r="I1666" s="2" t="s">
        <v>779</v>
      </c>
      <c r="J1666" s="2" t="s">
        <v>356</v>
      </c>
      <c r="K1666" s="2" t="s">
        <v>147</v>
      </c>
      <c r="L1666" s="2" t="s">
        <v>344</v>
      </c>
      <c r="M1666" s="2" t="s">
        <v>30</v>
      </c>
      <c r="N1666" s="2" t="s">
        <v>42</v>
      </c>
      <c r="O1666" s="2" t="s">
        <v>345</v>
      </c>
      <c r="P1666" s="4">
        <v>253.6891</v>
      </c>
      <c r="Q1666" s="4">
        <v>3</v>
      </c>
      <c r="R1666" s="4">
        <v>1.3751</v>
      </c>
      <c r="S1666" s="2" t="s">
        <v>121</v>
      </c>
      <c r="T1666" s="2" t="s">
        <v>34</v>
      </c>
    </row>
    <row r="1667" spans="1:20" x14ac:dyDescent="0.25">
      <c r="A1667" s="2" t="s">
        <v>2856</v>
      </c>
      <c r="B1667" s="3">
        <v>43086</v>
      </c>
      <c r="C1667" s="3">
        <v>43088</v>
      </c>
      <c r="D1667" s="2" t="s">
        <v>48</v>
      </c>
      <c r="E1667" s="2" t="s">
        <v>2041</v>
      </c>
      <c r="F1667" s="2" t="s">
        <v>2042</v>
      </c>
      <c r="G1667" s="2" t="s">
        <v>38</v>
      </c>
      <c r="H1667" s="2" t="s">
        <v>25</v>
      </c>
      <c r="I1667" s="2" t="s">
        <v>699</v>
      </c>
      <c r="J1667" s="2" t="s">
        <v>339</v>
      </c>
      <c r="K1667" s="2" t="s">
        <v>82</v>
      </c>
      <c r="L1667" s="2" t="s">
        <v>218</v>
      </c>
      <c r="M1667" s="2" t="s">
        <v>30</v>
      </c>
      <c r="N1667" s="2" t="s">
        <v>31</v>
      </c>
      <c r="O1667" s="2" t="s">
        <v>219</v>
      </c>
      <c r="P1667" s="4">
        <v>30.307700000000001</v>
      </c>
      <c r="Q1667" s="4">
        <v>2</v>
      </c>
      <c r="R1667" s="4">
        <v>12.757199999999999</v>
      </c>
      <c r="S1667" s="2" t="s">
        <v>53</v>
      </c>
      <c r="T1667" s="2" t="s">
        <v>76</v>
      </c>
    </row>
    <row r="1668" spans="1:20" x14ac:dyDescent="0.25">
      <c r="A1668" s="2" t="s">
        <v>2857</v>
      </c>
      <c r="B1668" s="3">
        <v>43024</v>
      </c>
      <c r="C1668" s="3">
        <v>43027</v>
      </c>
      <c r="D1668" s="2" t="s">
        <v>55</v>
      </c>
      <c r="E1668" s="2" t="s">
        <v>1628</v>
      </c>
      <c r="F1668" s="2" t="s">
        <v>1629</v>
      </c>
      <c r="G1668" s="2" t="s">
        <v>24</v>
      </c>
      <c r="H1668" s="2" t="s">
        <v>25</v>
      </c>
      <c r="I1668" s="2" t="s">
        <v>531</v>
      </c>
      <c r="J1668" s="2" t="s">
        <v>435</v>
      </c>
      <c r="K1668" s="2" t="s">
        <v>61</v>
      </c>
      <c r="L1668" s="2" t="s">
        <v>131</v>
      </c>
      <c r="M1668" s="2" t="s">
        <v>30</v>
      </c>
      <c r="N1668" s="2" t="s">
        <v>31</v>
      </c>
      <c r="O1668" s="2" t="s">
        <v>132</v>
      </c>
      <c r="P1668" s="4">
        <v>18.754000000000001</v>
      </c>
      <c r="Q1668" s="4">
        <v>3</v>
      </c>
      <c r="R1668" s="4">
        <v>8.1394000000000002</v>
      </c>
      <c r="S1668" s="2" t="s">
        <v>92</v>
      </c>
      <c r="T1668" s="2" t="s">
        <v>224</v>
      </c>
    </row>
    <row r="1669" spans="1:20" x14ac:dyDescent="0.25">
      <c r="A1669" s="2" t="s">
        <v>2858</v>
      </c>
      <c r="B1669" s="3">
        <v>41683</v>
      </c>
      <c r="C1669" s="3">
        <v>41686</v>
      </c>
      <c r="D1669" s="2" t="s">
        <v>55</v>
      </c>
      <c r="E1669" s="2" t="s">
        <v>1262</v>
      </c>
      <c r="F1669" s="2" t="s">
        <v>1263</v>
      </c>
      <c r="G1669" s="2" t="s">
        <v>38</v>
      </c>
      <c r="H1669" s="2" t="s">
        <v>25</v>
      </c>
      <c r="I1669" s="2" t="s">
        <v>138</v>
      </c>
      <c r="J1669" s="2" t="s">
        <v>407</v>
      </c>
      <c r="K1669" s="2" t="s">
        <v>28</v>
      </c>
      <c r="L1669" s="2" t="s">
        <v>193</v>
      </c>
      <c r="M1669" s="2" t="s">
        <v>30</v>
      </c>
      <c r="N1669" s="2" t="s">
        <v>42</v>
      </c>
      <c r="O1669" s="2" t="s">
        <v>194</v>
      </c>
      <c r="P1669" s="4">
        <v>630.03510000000006</v>
      </c>
      <c r="Q1669" s="4">
        <v>1</v>
      </c>
      <c r="R1669" s="4">
        <v>-124.9405</v>
      </c>
      <c r="S1669" s="2" t="s">
        <v>92</v>
      </c>
      <c r="T1669" s="2" t="s">
        <v>101</v>
      </c>
    </row>
    <row r="1670" spans="1:20" x14ac:dyDescent="0.25">
      <c r="A1670" s="2" t="s">
        <v>2859</v>
      </c>
      <c r="B1670" s="3">
        <v>42467</v>
      </c>
      <c r="C1670" s="3">
        <v>42468</v>
      </c>
      <c r="D1670" s="2" t="s">
        <v>55</v>
      </c>
      <c r="E1670" s="2" t="s">
        <v>2860</v>
      </c>
      <c r="F1670" s="2" t="s">
        <v>2861</v>
      </c>
      <c r="G1670" s="2" t="s">
        <v>38</v>
      </c>
      <c r="H1670" s="2" t="s">
        <v>25</v>
      </c>
      <c r="I1670" s="2" t="s">
        <v>861</v>
      </c>
      <c r="J1670" s="2" t="s">
        <v>403</v>
      </c>
      <c r="K1670" s="2" t="s">
        <v>147</v>
      </c>
      <c r="L1670" s="2" t="s">
        <v>933</v>
      </c>
      <c r="M1670" s="2" t="s">
        <v>30</v>
      </c>
      <c r="N1670" s="2" t="s">
        <v>162</v>
      </c>
      <c r="O1670" s="2" t="s">
        <v>934</v>
      </c>
      <c r="P1670" s="4">
        <v>4300</v>
      </c>
      <c r="Q1670" s="4">
        <v>2</v>
      </c>
      <c r="R1670" s="4">
        <v>-389.29259999999999</v>
      </c>
      <c r="S1670" s="2" t="s">
        <v>33</v>
      </c>
      <c r="T1670" s="2" t="s">
        <v>108</v>
      </c>
    </row>
    <row r="1671" spans="1:20" x14ac:dyDescent="0.25">
      <c r="A1671" s="2" t="s">
        <v>2862</v>
      </c>
      <c r="B1671" s="3">
        <v>42954</v>
      </c>
      <c r="C1671" s="3">
        <v>42957</v>
      </c>
      <c r="D1671" s="2" t="s">
        <v>55</v>
      </c>
      <c r="E1671" s="2" t="s">
        <v>326</v>
      </c>
      <c r="F1671" s="2" t="s">
        <v>327</v>
      </c>
      <c r="G1671" s="2" t="s">
        <v>38</v>
      </c>
      <c r="H1671" s="2" t="s">
        <v>25</v>
      </c>
      <c r="I1671" s="2" t="s">
        <v>539</v>
      </c>
      <c r="J1671" s="2" t="s">
        <v>91</v>
      </c>
      <c r="K1671" s="2" t="s">
        <v>61</v>
      </c>
      <c r="L1671" s="2" t="s">
        <v>186</v>
      </c>
      <c r="M1671" s="2" t="s">
        <v>30</v>
      </c>
      <c r="N1671" s="2" t="s">
        <v>31</v>
      </c>
      <c r="O1671" s="2" t="s">
        <v>187</v>
      </c>
      <c r="P1671" s="4">
        <v>35.698900000000002</v>
      </c>
      <c r="Q1671" s="4">
        <v>2</v>
      </c>
      <c r="R1671" s="4">
        <v>-15.9649</v>
      </c>
      <c r="S1671" s="2" t="s">
        <v>92</v>
      </c>
      <c r="T1671" s="2" t="s">
        <v>34</v>
      </c>
    </row>
    <row r="1672" spans="1:20" x14ac:dyDescent="0.25">
      <c r="A1672" s="2" t="s">
        <v>2863</v>
      </c>
      <c r="B1672" s="3">
        <v>42971</v>
      </c>
      <c r="C1672" s="3">
        <v>42972</v>
      </c>
      <c r="D1672" s="2" t="s">
        <v>48</v>
      </c>
      <c r="E1672" s="2" t="s">
        <v>1149</v>
      </c>
      <c r="F1672" s="2" t="s">
        <v>1150</v>
      </c>
      <c r="G1672" s="2" t="s">
        <v>58</v>
      </c>
      <c r="H1672" s="2" t="s">
        <v>25</v>
      </c>
      <c r="I1672" s="2" t="s">
        <v>910</v>
      </c>
      <c r="J1672" s="2" t="s">
        <v>260</v>
      </c>
      <c r="K1672" s="2" t="s">
        <v>147</v>
      </c>
      <c r="L1672" s="2" t="s">
        <v>316</v>
      </c>
      <c r="M1672" s="2" t="s">
        <v>30</v>
      </c>
      <c r="N1672" s="2" t="s">
        <v>42</v>
      </c>
      <c r="O1672" s="2" t="s">
        <v>317</v>
      </c>
      <c r="P1672" s="4">
        <v>68.339799999999997</v>
      </c>
      <c r="Q1672" s="4">
        <v>1</v>
      </c>
      <c r="R1672" s="4">
        <v>22.2897</v>
      </c>
      <c r="S1672" s="2" t="s">
        <v>33</v>
      </c>
      <c r="T1672" s="2" t="s">
        <v>34</v>
      </c>
    </row>
    <row r="1673" spans="1:20" x14ac:dyDescent="0.25">
      <c r="A1673" s="2" t="s">
        <v>2863</v>
      </c>
      <c r="B1673" s="3">
        <v>42971</v>
      </c>
      <c r="C1673" s="3">
        <v>42972</v>
      </c>
      <c r="D1673" s="2" t="s">
        <v>48</v>
      </c>
      <c r="E1673" s="2" t="s">
        <v>1149</v>
      </c>
      <c r="F1673" s="2" t="s">
        <v>1150</v>
      </c>
      <c r="G1673" s="2" t="s">
        <v>58</v>
      </c>
      <c r="H1673" s="2" t="s">
        <v>25</v>
      </c>
      <c r="I1673" s="2" t="s">
        <v>910</v>
      </c>
      <c r="J1673" s="2" t="s">
        <v>260</v>
      </c>
      <c r="K1673" s="2" t="s">
        <v>147</v>
      </c>
      <c r="L1673" s="2" t="s">
        <v>29</v>
      </c>
      <c r="M1673" s="2" t="s">
        <v>30</v>
      </c>
      <c r="N1673" s="2" t="s">
        <v>31</v>
      </c>
      <c r="O1673" s="2" t="s">
        <v>32</v>
      </c>
      <c r="P1673" s="4">
        <v>91.138499999999993</v>
      </c>
      <c r="Q1673" s="4">
        <v>4</v>
      </c>
      <c r="R1673" s="4">
        <v>-26.024899999999999</v>
      </c>
      <c r="S1673" s="2" t="s">
        <v>33</v>
      </c>
      <c r="T1673" s="2" t="s">
        <v>34</v>
      </c>
    </row>
    <row r="1674" spans="1:20" x14ac:dyDescent="0.25">
      <c r="A1674" s="2" t="s">
        <v>2864</v>
      </c>
      <c r="B1674" s="3">
        <v>42889</v>
      </c>
      <c r="C1674" s="3">
        <v>42891</v>
      </c>
      <c r="D1674" s="2" t="s">
        <v>55</v>
      </c>
      <c r="E1674" s="2" t="s">
        <v>375</v>
      </c>
      <c r="F1674" s="2" t="s">
        <v>376</v>
      </c>
      <c r="G1674" s="2" t="s">
        <v>58</v>
      </c>
      <c r="H1674" s="2" t="s">
        <v>25</v>
      </c>
      <c r="I1674" s="2" t="s">
        <v>1128</v>
      </c>
      <c r="J1674" s="2" t="s">
        <v>667</v>
      </c>
      <c r="K1674" s="2" t="s">
        <v>28</v>
      </c>
      <c r="L1674" s="2" t="s">
        <v>453</v>
      </c>
      <c r="M1674" s="2" t="s">
        <v>30</v>
      </c>
      <c r="N1674" s="2" t="s">
        <v>42</v>
      </c>
      <c r="O1674" s="2" t="s">
        <v>454</v>
      </c>
      <c r="P1674" s="4">
        <v>300.05770000000001</v>
      </c>
      <c r="Q1674" s="4">
        <v>1</v>
      </c>
      <c r="R1674" s="4">
        <v>-5.4848999999999997</v>
      </c>
      <c r="S1674" s="2" t="s">
        <v>53</v>
      </c>
      <c r="T1674" s="2" t="s">
        <v>133</v>
      </c>
    </row>
    <row r="1675" spans="1:20" x14ac:dyDescent="0.25">
      <c r="A1675" s="2" t="s">
        <v>2865</v>
      </c>
      <c r="B1675" s="3">
        <v>42423</v>
      </c>
      <c r="C1675" s="3">
        <v>42429</v>
      </c>
      <c r="D1675" s="2" t="s">
        <v>55</v>
      </c>
      <c r="E1675" s="2" t="s">
        <v>957</v>
      </c>
      <c r="F1675" s="2" t="s">
        <v>958</v>
      </c>
      <c r="G1675" s="2" t="s">
        <v>58</v>
      </c>
      <c r="H1675" s="2" t="s">
        <v>25</v>
      </c>
      <c r="I1675" s="2" t="s">
        <v>485</v>
      </c>
      <c r="J1675" s="2" t="s">
        <v>251</v>
      </c>
      <c r="K1675" s="2" t="s">
        <v>147</v>
      </c>
      <c r="L1675" s="2" t="s">
        <v>323</v>
      </c>
      <c r="M1675" s="2" t="s">
        <v>30</v>
      </c>
      <c r="N1675" s="2" t="s">
        <v>31</v>
      </c>
      <c r="O1675" s="2" t="s">
        <v>324</v>
      </c>
      <c r="P1675" s="4">
        <v>31.358499999999999</v>
      </c>
      <c r="Q1675" s="4">
        <v>4</v>
      </c>
      <c r="R1675" s="4">
        <v>-1.9216</v>
      </c>
      <c r="S1675" s="2" t="s">
        <v>65</v>
      </c>
      <c r="T1675" s="2" t="s">
        <v>101</v>
      </c>
    </row>
    <row r="1676" spans="1:20" x14ac:dyDescent="0.25">
      <c r="A1676" s="2" t="s">
        <v>2866</v>
      </c>
      <c r="B1676" s="3">
        <v>42029</v>
      </c>
      <c r="C1676" s="3">
        <v>42032</v>
      </c>
      <c r="D1676" s="2" t="s">
        <v>21</v>
      </c>
      <c r="E1676" s="2" t="s">
        <v>231</v>
      </c>
      <c r="F1676" s="2" t="s">
        <v>232</v>
      </c>
      <c r="G1676" s="2" t="s">
        <v>58</v>
      </c>
      <c r="H1676" s="2" t="s">
        <v>25</v>
      </c>
      <c r="I1676" s="2" t="s">
        <v>910</v>
      </c>
      <c r="J1676" s="2" t="s">
        <v>260</v>
      </c>
      <c r="K1676" s="2" t="s">
        <v>147</v>
      </c>
      <c r="L1676" s="2" t="s">
        <v>83</v>
      </c>
      <c r="M1676" s="2" t="s">
        <v>30</v>
      </c>
      <c r="N1676" s="2" t="s">
        <v>42</v>
      </c>
      <c r="O1676" s="2" t="s">
        <v>84</v>
      </c>
      <c r="P1676" s="4">
        <v>319.77499999999998</v>
      </c>
      <c r="Q1676" s="4">
        <v>6</v>
      </c>
      <c r="R1676" s="4">
        <v>28.428799999999999</v>
      </c>
      <c r="S1676" s="2" t="s">
        <v>92</v>
      </c>
      <c r="T1676" s="2" t="s">
        <v>115</v>
      </c>
    </row>
    <row r="1677" spans="1:20" x14ac:dyDescent="0.25">
      <c r="A1677" s="2" t="s">
        <v>2867</v>
      </c>
      <c r="B1677" s="3">
        <v>42682</v>
      </c>
      <c r="C1677" s="3">
        <v>42682</v>
      </c>
      <c r="D1677" s="2" t="s">
        <v>21</v>
      </c>
      <c r="E1677" s="2" t="s">
        <v>1084</v>
      </c>
      <c r="F1677" s="2" t="s">
        <v>1085</v>
      </c>
      <c r="G1677" s="2" t="s">
        <v>24</v>
      </c>
      <c r="H1677" s="2" t="s">
        <v>25</v>
      </c>
      <c r="I1677" s="2" t="s">
        <v>343</v>
      </c>
      <c r="J1677" s="2" t="s">
        <v>153</v>
      </c>
      <c r="K1677" s="2" t="s">
        <v>147</v>
      </c>
      <c r="L1677" s="2" t="s">
        <v>45</v>
      </c>
      <c r="M1677" s="2" t="s">
        <v>30</v>
      </c>
      <c r="N1677" s="2" t="s">
        <v>31</v>
      </c>
      <c r="O1677" s="2" t="s">
        <v>46</v>
      </c>
      <c r="P1677" s="4">
        <v>83.890500000000003</v>
      </c>
      <c r="Q1677" s="4">
        <v>3</v>
      </c>
      <c r="R1677" s="4">
        <v>-21.7379</v>
      </c>
      <c r="S1677" s="2" t="s">
        <v>121</v>
      </c>
      <c r="T1677" s="2" t="s">
        <v>93</v>
      </c>
    </row>
    <row r="1678" spans="1:20" x14ac:dyDescent="0.25">
      <c r="A1678" s="2" t="s">
        <v>2868</v>
      </c>
      <c r="B1678" s="3">
        <v>42869</v>
      </c>
      <c r="C1678" s="3">
        <v>42870</v>
      </c>
      <c r="D1678" s="2" t="s">
        <v>55</v>
      </c>
      <c r="E1678" s="2" t="s">
        <v>758</v>
      </c>
      <c r="F1678" s="2" t="s">
        <v>759</v>
      </c>
      <c r="G1678" s="2" t="s">
        <v>58</v>
      </c>
      <c r="H1678" s="2" t="s">
        <v>25</v>
      </c>
      <c r="I1678" s="2" t="s">
        <v>495</v>
      </c>
      <c r="J1678" s="2" t="s">
        <v>496</v>
      </c>
      <c r="K1678" s="2" t="s">
        <v>147</v>
      </c>
      <c r="L1678" s="2" t="s">
        <v>344</v>
      </c>
      <c r="M1678" s="2" t="s">
        <v>30</v>
      </c>
      <c r="N1678" s="2" t="s">
        <v>42</v>
      </c>
      <c r="O1678" s="2" t="s">
        <v>345</v>
      </c>
      <c r="P1678" s="4">
        <v>238.6062</v>
      </c>
      <c r="Q1678" s="4">
        <v>3</v>
      </c>
      <c r="R1678" s="4">
        <v>-62.290999999999997</v>
      </c>
      <c r="S1678" s="2" t="s">
        <v>33</v>
      </c>
      <c r="T1678" s="2" t="s">
        <v>122</v>
      </c>
    </row>
    <row r="1679" spans="1:20" x14ac:dyDescent="0.25">
      <c r="A1679" s="2" t="s">
        <v>2869</v>
      </c>
      <c r="B1679" s="3">
        <v>42325</v>
      </c>
      <c r="C1679" s="3">
        <v>42327</v>
      </c>
      <c r="D1679" s="2" t="s">
        <v>21</v>
      </c>
      <c r="E1679" s="2" t="s">
        <v>1001</v>
      </c>
      <c r="F1679" s="2" t="s">
        <v>1002</v>
      </c>
      <c r="G1679" s="2" t="s">
        <v>24</v>
      </c>
      <c r="H1679" s="2" t="s">
        <v>25</v>
      </c>
      <c r="I1679" s="2" t="s">
        <v>191</v>
      </c>
      <c r="J1679" s="2" t="s">
        <v>192</v>
      </c>
      <c r="K1679" s="2" t="s">
        <v>82</v>
      </c>
      <c r="L1679" s="2" t="s">
        <v>252</v>
      </c>
      <c r="M1679" s="2" t="s">
        <v>30</v>
      </c>
      <c r="N1679" s="2" t="s">
        <v>31</v>
      </c>
      <c r="O1679" s="2" t="s">
        <v>253</v>
      </c>
      <c r="P1679" s="4">
        <v>84.571299999999994</v>
      </c>
      <c r="Q1679" s="4">
        <v>8</v>
      </c>
      <c r="R1679" s="4">
        <v>11.0877</v>
      </c>
      <c r="S1679" s="2" t="s">
        <v>53</v>
      </c>
      <c r="T1679" s="2" t="s">
        <v>93</v>
      </c>
    </row>
    <row r="1680" spans="1:20" x14ac:dyDescent="0.25">
      <c r="A1680" s="2" t="s">
        <v>2870</v>
      </c>
      <c r="B1680" s="3">
        <v>42298</v>
      </c>
      <c r="C1680" s="3">
        <v>42299</v>
      </c>
      <c r="D1680" s="2" t="s">
        <v>48</v>
      </c>
      <c r="E1680" s="2" t="s">
        <v>347</v>
      </c>
      <c r="F1680" s="2" t="s">
        <v>348</v>
      </c>
      <c r="G1680" s="2" t="s">
        <v>58</v>
      </c>
      <c r="H1680" s="2" t="s">
        <v>25</v>
      </c>
      <c r="I1680" s="2" t="s">
        <v>26</v>
      </c>
      <c r="J1680" s="2" t="s">
        <v>27</v>
      </c>
      <c r="K1680" s="2" t="s">
        <v>28</v>
      </c>
      <c r="L1680" s="2" t="s">
        <v>174</v>
      </c>
      <c r="M1680" s="2" t="s">
        <v>30</v>
      </c>
      <c r="N1680" s="2" t="s">
        <v>31</v>
      </c>
      <c r="O1680" s="2" t="s">
        <v>175</v>
      </c>
      <c r="P1680" s="4">
        <v>6.1104000000000003</v>
      </c>
      <c r="Q1680" s="4">
        <v>3</v>
      </c>
      <c r="R1680" s="4">
        <v>-0.91120000000000001</v>
      </c>
      <c r="S1680" s="2" t="s">
        <v>33</v>
      </c>
      <c r="T1680" s="2" t="s">
        <v>224</v>
      </c>
    </row>
    <row r="1681" spans="1:20" x14ac:dyDescent="0.25">
      <c r="A1681" s="2" t="s">
        <v>2871</v>
      </c>
      <c r="B1681" s="3">
        <v>42394</v>
      </c>
      <c r="C1681" s="3">
        <v>42398</v>
      </c>
      <c r="D1681" s="2" t="s">
        <v>55</v>
      </c>
      <c r="E1681" s="2" t="s">
        <v>2338</v>
      </c>
      <c r="F1681" s="2" t="s">
        <v>2339</v>
      </c>
      <c r="G1681" s="2" t="s">
        <v>58</v>
      </c>
      <c r="H1681" s="2" t="s">
        <v>25</v>
      </c>
      <c r="I1681" s="2" t="s">
        <v>184</v>
      </c>
      <c r="J1681" s="2" t="s">
        <v>185</v>
      </c>
      <c r="K1681" s="2" t="s">
        <v>147</v>
      </c>
      <c r="L1681" s="2" t="s">
        <v>618</v>
      </c>
      <c r="M1681" s="2" t="s">
        <v>30</v>
      </c>
      <c r="N1681" s="2" t="s">
        <v>63</v>
      </c>
      <c r="O1681" s="2" t="s">
        <v>619</v>
      </c>
      <c r="P1681" s="4">
        <v>1693.0273</v>
      </c>
      <c r="Q1681" s="4">
        <v>5</v>
      </c>
      <c r="R1681" s="4">
        <v>-551.50379999999996</v>
      </c>
      <c r="S1681" s="2" t="s">
        <v>75</v>
      </c>
      <c r="T1681" s="2" t="s">
        <v>115</v>
      </c>
    </row>
    <row r="1682" spans="1:20" x14ac:dyDescent="0.25">
      <c r="A1682" s="2" t="s">
        <v>2872</v>
      </c>
      <c r="B1682" s="3">
        <v>41926</v>
      </c>
      <c r="C1682" s="3">
        <v>41927</v>
      </c>
      <c r="D1682" s="2" t="s">
        <v>55</v>
      </c>
      <c r="E1682" s="2" t="s">
        <v>1514</v>
      </c>
      <c r="F1682" s="2" t="s">
        <v>1515</v>
      </c>
      <c r="G1682" s="2" t="s">
        <v>38</v>
      </c>
      <c r="H1682" s="2" t="s">
        <v>25</v>
      </c>
      <c r="I1682" s="2" t="s">
        <v>321</v>
      </c>
      <c r="J1682" s="2" t="s">
        <v>322</v>
      </c>
      <c r="K1682" s="2" t="s">
        <v>28</v>
      </c>
      <c r="L1682" s="2" t="s">
        <v>161</v>
      </c>
      <c r="M1682" s="2" t="s">
        <v>30</v>
      </c>
      <c r="N1682" s="2" t="s">
        <v>162</v>
      </c>
      <c r="O1682" s="2" t="s">
        <v>163</v>
      </c>
      <c r="P1682" s="4">
        <v>516.77189999999996</v>
      </c>
      <c r="Q1682" s="4">
        <v>1</v>
      </c>
      <c r="R1682" s="4">
        <v>-198.87549999999999</v>
      </c>
      <c r="S1682" s="2" t="s">
        <v>33</v>
      </c>
      <c r="T1682" s="2" t="s">
        <v>224</v>
      </c>
    </row>
    <row r="1683" spans="1:20" x14ac:dyDescent="0.25">
      <c r="A1683" s="2" t="s">
        <v>2873</v>
      </c>
      <c r="B1683" s="3">
        <v>42611</v>
      </c>
      <c r="C1683" s="3">
        <v>42615</v>
      </c>
      <c r="D1683" s="2" t="s">
        <v>55</v>
      </c>
      <c r="E1683" s="2" t="s">
        <v>2874</v>
      </c>
      <c r="F1683" s="2" t="s">
        <v>2875</v>
      </c>
      <c r="G1683" s="2" t="s">
        <v>24</v>
      </c>
      <c r="H1683" s="2" t="s">
        <v>25</v>
      </c>
      <c r="I1683" s="2" t="s">
        <v>910</v>
      </c>
      <c r="J1683" s="2" t="s">
        <v>260</v>
      </c>
      <c r="K1683" s="2" t="s">
        <v>147</v>
      </c>
      <c r="L1683" s="2" t="s">
        <v>228</v>
      </c>
      <c r="M1683" s="2" t="s">
        <v>30</v>
      </c>
      <c r="N1683" s="2" t="s">
        <v>42</v>
      </c>
      <c r="O1683" s="2" t="s">
        <v>229</v>
      </c>
      <c r="P1683" s="4">
        <v>476.6302</v>
      </c>
      <c r="Q1683" s="4">
        <v>1</v>
      </c>
      <c r="R1683" s="4">
        <v>157.38980000000001</v>
      </c>
      <c r="S1683" s="2" t="s">
        <v>75</v>
      </c>
      <c r="T1683" s="2" t="s">
        <v>34</v>
      </c>
    </row>
    <row r="1684" spans="1:20" x14ac:dyDescent="0.25">
      <c r="A1684" s="2" t="s">
        <v>2876</v>
      </c>
      <c r="B1684" s="3">
        <v>42569</v>
      </c>
      <c r="C1684" s="3">
        <v>42569</v>
      </c>
      <c r="D1684" s="2" t="s">
        <v>48</v>
      </c>
      <c r="E1684" s="2" t="s">
        <v>1628</v>
      </c>
      <c r="F1684" s="2" t="s">
        <v>1629</v>
      </c>
      <c r="G1684" s="2" t="s">
        <v>24</v>
      </c>
      <c r="H1684" s="2" t="s">
        <v>25</v>
      </c>
      <c r="I1684" s="2" t="s">
        <v>243</v>
      </c>
      <c r="J1684" s="2" t="s">
        <v>244</v>
      </c>
      <c r="K1684" s="2" t="s">
        <v>61</v>
      </c>
      <c r="L1684" s="2" t="s">
        <v>252</v>
      </c>
      <c r="M1684" s="2" t="s">
        <v>30</v>
      </c>
      <c r="N1684" s="2" t="s">
        <v>31</v>
      </c>
      <c r="O1684" s="2" t="s">
        <v>253</v>
      </c>
      <c r="P1684" s="4">
        <v>34.805100000000003</v>
      </c>
      <c r="Q1684" s="4">
        <v>4</v>
      </c>
      <c r="R1684" s="4">
        <v>8.6975999999999996</v>
      </c>
      <c r="S1684" s="2" t="s">
        <v>121</v>
      </c>
      <c r="T1684" s="2" t="s">
        <v>86</v>
      </c>
    </row>
    <row r="1685" spans="1:20" x14ac:dyDescent="0.25">
      <c r="A1685" s="2" t="s">
        <v>2877</v>
      </c>
      <c r="B1685" s="3">
        <v>42596</v>
      </c>
      <c r="C1685" s="3">
        <v>42598</v>
      </c>
      <c r="D1685" s="2" t="s">
        <v>55</v>
      </c>
      <c r="E1685" s="2" t="s">
        <v>954</v>
      </c>
      <c r="F1685" s="2" t="s">
        <v>955</v>
      </c>
      <c r="G1685" s="2" t="s">
        <v>58</v>
      </c>
      <c r="H1685" s="2" t="s">
        <v>25</v>
      </c>
      <c r="I1685" s="2" t="s">
        <v>278</v>
      </c>
      <c r="J1685" s="2" t="s">
        <v>279</v>
      </c>
      <c r="K1685" s="2" t="s">
        <v>28</v>
      </c>
      <c r="L1685" s="2" t="s">
        <v>193</v>
      </c>
      <c r="M1685" s="2" t="s">
        <v>30</v>
      </c>
      <c r="N1685" s="2" t="s">
        <v>42</v>
      </c>
      <c r="O1685" s="2" t="s">
        <v>194</v>
      </c>
      <c r="P1685" s="4">
        <v>397.27879999999999</v>
      </c>
      <c r="Q1685" s="4">
        <v>7</v>
      </c>
      <c r="R1685" s="4">
        <v>-78.569599999999994</v>
      </c>
      <c r="S1685" s="2" t="s">
        <v>53</v>
      </c>
      <c r="T1685" s="2" t="s">
        <v>34</v>
      </c>
    </row>
    <row r="1686" spans="1:20" x14ac:dyDescent="0.25">
      <c r="A1686" s="2" t="s">
        <v>2878</v>
      </c>
      <c r="B1686" s="3">
        <v>42127</v>
      </c>
      <c r="C1686" s="3">
        <v>42134</v>
      </c>
      <c r="D1686" s="2" t="s">
        <v>55</v>
      </c>
      <c r="E1686" s="2" t="s">
        <v>2879</v>
      </c>
      <c r="F1686" s="2" t="s">
        <v>2880</v>
      </c>
      <c r="G1686" s="2" t="s">
        <v>58</v>
      </c>
      <c r="H1686" s="2" t="s">
        <v>25</v>
      </c>
      <c r="I1686" s="2" t="s">
        <v>1055</v>
      </c>
      <c r="J1686" s="2" t="s">
        <v>106</v>
      </c>
      <c r="K1686" s="2" t="s">
        <v>61</v>
      </c>
      <c r="L1686" s="2" t="s">
        <v>131</v>
      </c>
      <c r="M1686" s="2" t="s">
        <v>30</v>
      </c>
      <c r="N1686" s="2" t="s">
        <v>31</v>
      </c>
      <c r="O1686" s="2" t="s">
        <v>132</v>
      </c>
      <c r="P1686" s="4">
        <v>84.6477</v>
      </c>
      <c r="Q1686" s="4">
        <v>3</v>
      </c>
      <c r="R1686" s="4">
        <v>-4.5321999999999996</v>
      </c>
      <c r="S1686" s="2" t="s">
        <v>107</v>
      </c>
      <c r="T1686" s="2" t="s">
        <v>122</v>
      </c>
    </row>
    <row r="1687" spans="1:20" x14ac:dyDescent="0.25">
      <c r="A1687" s="2" t="s">
        <v>2881</v>
      </c>
      <c r="B1687" s="3">
        <v>42268</v>
      </c>
      <c r="C1687" s="3">
        <v>42274</v>
      </c>
      <c r="D1687" s="2" t="s">
        <v>55</v>
      </c>
      <c r="E1687" s="2" t="s">
        <v>2882</v>
      </c>
      <c r="F1687" s="2" t="s">
        <v>2883</v>
      </c>
      <c r="G1687" s="2" t="s">
        <v>58</v>
      </c>
      <c r="H1687" s="2" t="s">
        <v>25</v>
      </c>
      <c r="I1687" s="2" t="s">
        <v>458</v>
      </c>
      <c r="J1687" s="2" t="s">
        <v>27</v>
      </c>
      <c r="K1687" s="2" t="s">
        <v>28</v>
      </c>
      <c r="L1687" s="2" t="s">
        <v>415</v>
      </c>
      <c r="M1687" s="2" t="s">
        <v>30</v>
      </c>
      <c r="N1687" s="2" t="s">
        <v>63</v>
      </c>
      <c r="O1687" s="2" t="s">
        <v>416</v>
      </c>
      <c r="P1687" s="4">
        <v>218.49379999999999</v>
      </c>
      <c r="Q1687" s="4">
        <v>5</v>
      </c>
      <c r="R1687" s="4">
        <v>88.346599999999995</v>
      </c>
      <c r="S1687" s="2" t="s">
        <v>65</v>
      </c>
      <c r="T1687" s="2" t="s">
        <v>148</v>
      </c>
    </row>
    <row r="1688" spans="1:20" x14ac:dyDescent="0.25">
      <c r="A1688" s="2" t="s">
        <v>2884</v>
      </c>
      <c r="B1688" s="3">
        <v>42523</v>
      </c>
      <c r="C1688" s="3">
        <v>42523</v>
      </c>
      <c r="D1688" s="2" t="s">
        <v>21</v>
      </c>
      <c r="E1688" s="2" t="s">
        <v>1205</v>
      </c>
      <c r="F1688" s="2" t="s">
        <v>1206</v>
      </c>
      <c r="G1688" s="2" t="s">
        <v>24</v>
      </c>
      <c r="H1688" s="2" t="s">
        <v>25</v>
      </c>
      <c r="I1688" s="2" t="s">
        <v>662</v>
      </c>
      <c r="J1688" s="2" t="s">
        <v>310</v>
      </c>
      <c r="K1688" s="2" t="s">
        <v>28</v>
      </c>
      <c r="L1688" s="2" t="s">
        <v>677</v>
      </c>
      <c r="M1688" s="2" t="s">
        <v>30</v>
      </c>
      <c r="N1688" s="2" t="s">
        <v>162</v>
      </c>
      <c r="O1688" s="2" t="s">
        <v>678</v>
      </c>
      <c r="P1688" s="4">
        <v>697.72569999999996</v>
      </c>
      <c r="Q1688" s="4">
        <v>3</v>
      </c>
      <c r="R1688" s="4">
        <v>-5.9720000000000004</v>
      </c>
      <c r="S1688" s="2" t="s">
        <v>121</v>
      </c>
      <c r="T1688" s="2" t="s">
        <v>133</v>
      </c>
    </row>
    <row r="1689" spans="1:20" x14ac:dyDescent="0.25">
      <c r="A1689" s="2" t="s">
        <v>2885</v>
      </c>
      <c r="B1689" s="3">
        <v>42588</v>
      </c>
      <c r="C1689" s="3">
        <v>42590</v>
      </c>
      <c r="D1689" s="2" t="s">
        <v>48</v>
      </c>
      <c r="E1689" s="2" t="s">
        <v>1794</v>
      </c>
      <c r="F1689" s="2" t="s">
        <v>1795</v>
      </c>
      <c r="G1689" s="2" t="s">
        <v>38</v>
      </c>
      <c r="H1689" s="2" t="s">
        <v>25</v>
      </c>
      <c r="I1689" s="2" t="s">
        <v>1697</v>
      </c>
      <c r="J1689" s="2" t="s">
        <v>52</v>
      </c>
      <c r="K1689" s="2" t="s">
        <v>28</v>
      </c>
      <c r="L1689" s="2" t="s">
        <v>612</v>
      </c>
      <c r="M1689" s="2" t="s">
        <v>30</v>
      </c>
      <c r="N1689" s="2" t="s">
        <v>162</v>
      </c>
      <c r="O1689" s="2" t="s">
        <v>613</v>
      </c>
      <c r="P1689" s="4">
        <v>125.51779999999999</v>
      </c>
      <c r="Q1689" s="4">
        <v>4</v>
      </c>
      <c r="R1689" s="4">
        <v>-47.520299999999999</v>
      </c>
      <c r="S1689" s="2" t="s">
        <v>53</v>
      </c>
      <c r="T1689" s="2" t="s">
        <v>34</v>
      </c>
    </row>
    <row r="1690" spans="1:20" x14ac:dyDescent="0.25">
      <c r="A1690" s="2" t="s">
        <v>2886</v>
      </c>
      <c r="B1690" s="3">
        <v>42738</v>
      </c>
      <c r="C1690" s="3">
        <v>42743</v>
      </c>
      <c r="D1690" s="2" t="s">
        <v>55</v>
      </c>
      <c r="E1690" s="2" t="s">
        <v>1860</v>
      </c>
      <c r="F1690" s="2" t="s">
        <v>1861</v>
      </c>
      <c r="G1690" s="2" t="s">
        <v>38</v>
      </c>
      <c r="H1690" s="2" t="s">
        <v>25</v>
      </c>
      <c r="I1690" s="2" t="s">
        <v>26</v>
      </c>
      <c r="J1690" s="2" t="s">
        <v>91</v>
      </c>
      <c r="K1690" s="2" t="s">
        <v>61</v>
      </c>
      <c r="L1690" s="2" t="s">
        <v>254</v>
      </c>
      <c r="M1690" s="2" t="s">
        <v>30</v>
      </c>
      <c r="N1690" s="2" t="s">
        <v>162</v>
      </c>
      <c r="O1690" s="2" t="s">
        <v>255</v>
      </c>
      <c r="P1690" s="4">
        <v>1391.4948999999999</v>
      </c>
      <c r="Q1690" s="4">
        <v>2</v>
      </c>
      <c r="R1690" s="4">
        <v>-221.9093</v>
      </c>
      <c r="S1690" s="2" t="s">
        <v>85</v>
      </c>
      <c r="T1690" s="2" t="s">
        <v>115</v>
      </c>
    </row>
    <row r="1691" spans="1:20" x14ac:dyDescent="0.25">
      <c r="A1691" s="2" t="s">
        <v>2887</v>
      </c>
      <c r="B1691" s="3">
        <v>43046</v>
      </c>
      <c r="C1691" s="3">
        <v>43048</v>
      </c>
      <c r="D1691" s="2" t="s">
        <v>48</v>
      </c>
      <c r="E1691" s="2" t="s">
        <v>2888</v>
      </c>
      <c r="F1691" s="2" t="s">
        <v>2889</v>
      </c>
      <c r="G1691" s="2" t="s">
        <v>38</v>
      </c>
      <c r="H1691" s="2" t="s">
        <v>25</v>
      </c>
      <c r="I1691" s="2" t="s">
        <v>26</v>
      </c>
      <c r="J1691" s="2" t="s">
        <v>27</v>
      </c>
      <c r="K1691" s="2" t="s">
        <v>28</v>
      </c>
      <c r="L1691" s="2" t="s">
        <v>186</v>
      </c>
      <c r="M1691" s="2" t="s">
        <v>30</v>
      </c>
      <c r="N1691" s="2" t="s">
        <v>31</v>
      </c>
      <c r="O1691" s="2" t="s">
        <v>187</v>
      </c>
      <c r="P1691" s="4">
        <v>16.968599999999999</v>
      </c>
      <c r="Q1691" s="4">
        <v>1</v>
      </c>
      <c r="R1691" s="4">
        <v>0.58479999999999999</v>
      </c>
      <c r="S1691" s="2" t="s">
        <v>53</v>
      </c>
      <c r="T1691" s="2" t="s">
        <v>93</v>
      </c>
    </row>
    <row r="1692" spans="1:20" x14ac:dyDescent="0.25">
      <c r="A1692" s="2" t="s">
        <v>2890</v>
      </c>
      <c r="B1692" s="3">
        <v>42476</v>
      </c>
      <c r="C1692" s="3">
        <v>42480</v>
      </c>
      <c r="D1692" s="2" t="s">
        <v>21</v>
      </c>
      <c r="E1692" s="2" t="s">
        <v>1043</v>
      </c>
      <c r="F1692" s="2" t="s">
        <v>1044</v>
      </c>
      <c r="G1692" s="2" t="s">
        <v>58</v>
      </c>
      <c r="H1692" s="2" t="s">
        <v>25</v>
      </c>
      <c r="I1692" s="2" t="s">
        <v>233</v>
      </c>
      <c r="J1692" s="2" t="s">
        <v>234</v>
      </c>
      <c r="K1692" s="2" t="s">
        <v>82</v>
      </c>
      <c r="L1692" s="2" t="s">
        <v>45</v>
      </c>
      <c r="M1692" s="2" t="s">
        <v>30</v>
      </c>
      <c r="N1692" s="2" t="s">
        <v>31</v>
      </c>
      <c r="O1692" s="2" t="s">
        <v>46</v>
      </c>
      <c r="P1692" s="4">
        <v>60.4985</v>
      </c>
      <c r="Q1692" s="4">
        <v>3</v>
      </c>
      <c r="R1692" s="4">
        <v>17.9802</v>
      </c>
      <c r="S1692" s="2" t="s">
        <v>75</v>
      </c>
      <c r="T1692" s="2" t="s">
        <v>108</v>
      </c>
    </row>
    <row r="1693" spans="1:20" x14ac:dyDescent="0.25">
      <c r="A1693" s="2" t="s">
        <v>2891</v>
      </c>
      <c r="B1693" s="3">
        <v>43034</v>
      </c>
      <c r="C1693" s="3">
        <v>43040</v>
      </c>
      <c r="D1693" s="2" t="s">
        <v>55</v>
      </c>
      <c r="E1693" s="2" t="s">
        <v>347</v>
      </c>
      <c r="F1693" s="2" t="s">
        <v>348</v>
      </c>
      <c r="G1693" s="2" t="s">
        <v>58</v>
      </c>
      <c r="H1693" s="2" t="s">
        <v>25</v>
      </c>
      <c r="I1693" s="2" t="s">
        <v>727</v>
      </c>
      <c r="J1693" s="2" t="s">
        <v>728</v>
      </c>
      <c r="K1693" s="2" t="s">
        <v>147</v>
      </c>
      <c r="L1693" s="2" t="s">
        <v>174</v>
      </c>
      <c r="M1693" s="2" t="s">
        <v>30</v>
      </c>
      <c r="N1693" s="2" t="s">
        <v>31</v>
      </c>
      <c r="O1693" s="2" t="s">
        <v>175</v>
      </c>
      <c r="P1693" s="4">
        <v>30.021899999999999</v>
      </c>
      <c r="Q1693" s="4">
        <v>3</v>
      </c>
      <c r="R1693" s="4">
        <v>17.004200000000001</v>
      </c>
      <c r="S1693" s="2" t="s">
        <v>65</v>
      </c>
      <c r="T1693" s="2" t="s">
        <v>224</v>
      </c>
    </row>
    <row r="1694" spans="1:20" x14ac:dyDescent="0.25">
      <c r="A1694" s="2" t="s">
        <v>2892</v>
      </c>
      <c r="B1694" s="3">
        <v>42387</v>
      </c>
      <c r="C1694" s="3">
        <v>42392</v>
      </c>
      <c r="D1694" s="2" t="s">
        <v>55</v>
      </c>
      <c r="E1694" s="2" t="s">
        <v>2893</v>
      </c>
      <c r="F1694" s="2" t="s">
        <v>2894</v>
      </c>
      <c r="G1694" s="2" t="s">
        <v>38</v>
      </c>
      <c r="H1694" s="2" t="s">
        <v>25</v>
      </c>
      <c r="I1694" s="2" t="s">
        <v>1797</v>
      </c>
      <c r="J1694" s="2" t="s">
        <v>180</v>
      </c>
      <c r="K1694" s="2" t="s">
        <v>147</v>
      </c>
      <c r="L1694" s="2" t="s">
        <v>193</v>
      </c>
      <c r="M1694" s="2" t="s">
        <v>30</v>
      </c>
      <c r="N1694" s="2" t="s">
        <v>42</v>
      </c>
      <c r="O1694" s="2" t="s">
        <v>194</v>
      </c>
      <c r="P1694" s="4">
        <v>113.8373</v>
      </c>
      <c r="Q1694" s="4">
        <v>5</v>
      </c>
      <c r="R1694" s="4">
        <v>-4.2938000000000001</v>
      </c>
      <c r="S1694" s="2" t="s">
        <v>85</v>
      </c>
      <c r="T1694" s="2" t="s">
        <v>115</v>
      </c>
    </row>
    <row r="1695" spans="1:20" x14ac:dyDescent="0.25">
      <c r="A1695" s="2" t="s">
        <v>2895</v>
      </c>
      <c r="B1695" s="3">
        <v>43030</v>
      </c>
      <c r="C1695" s="3">
        <v>43032</v>
      </c>
      <c r="D1695" s="2" t="s">
        <v>55</v>
      </c>
      <c r="E1695" s="2" t="s">
        <v>1234</v>
      </c>
      <c r="F1695" s="2" t="s">
        <v>1235</v>
      </c>
      <c r="G1695" s="2" t="s">
        <v>38</v>
      </c>
      <c r="H1695" s="2" t="s">
        <v>25</v>
      </c>
      <c r="I1695" s="2" t="s">
        <v>706</v>
      </c>
      <c r="J1695" s="2" t="s">
        <v>127</v>
      </c>
      <c r="K1695" s="2" t="s">
        <v>82</v>
      </c>
      <c r="L1695" s="2" t="s">
        <v>677</v>
      </c>
      <c r="M1695" s="2" t="s">
        <v>30</v>
      </c>
      <c r="N1695" s="2" t="s">
        <v>162</v>
      </c>
      <c r="O1695" s="2" t="s">
        <v>678</v>
      </c>
      <c r="P1695" s="4">
        <v>292.00970000000001</v>
      </c>
      <c r="Q1695" s="4">
        <v>3</v>
      </c>
      <c r="R1695" s="4">
        <v>47.932000000000002</v>
      </c>
      <c r="S1695" s="2" t="s">
        <v>53</v>
      </c>
      <c r="T1695" s="2" t="s">
        <v>224</v>
      </c>
    </row>
    <row r="1696" spans="1:20" x14ac:dyDescent="0.25">
      <c r="A1696" s="2" t="s">
        <v>2896</v>
      </c>
      <c r="B1696" s="3">
        <v>41788</v>
      </c>
      <c r="C1696" s="3">
        <v>41792</v>
      </c>
      <c r="D1696" s="2" t="s">
        <v>55</v>
      </c>
      <c r="E1696" s="2" t="s">
        <v>1808</v>
      </c>
      <c r="F1696" s="2" t="s">
        <v>1809</v>
      </c>
      <c r="G1696" s="2" t="s">
        <v>38</v>
      </c>
      <c r="H1696" s="2" t="s">
        <v>25</v>
      </c>
      <c r="I1696" s="2" t="s">
        <v>1114</v>
      </c>
      <c r="J1696" s="2" t="s">
        <v>138</v>
      </c>
      <c r="K1696" s="2" t="s">
        <v>82</v>
      </c>
      <c r="L1696" s="2" t="s">
        <v>113</v>
      </c>
      <c r="M1696" s="2" t="s">
        <v>30</v>
      </c>
      <c r="N1696" s="2" t="s">
        <v>31</v>
      </c>
      <c r="O1696" s="2" t="s">
        <v>114</v>
      </c>
      <c r="P1696" s="4">
        <v>38.560699999999997</v>
      </c>
      <c r="Q1696" s="4">
        <v>5</v>
      </c>
      <c r="R1696" s="4">
        <v>-0.53720000000000001</v>
      </c>
      <c r="S1696" s="2" t="s">
        <v>75</v>
      </c>
      <c r="T1696" s="2" t="s">
        <v>122</v>
      </c>
    </row>
    <row r="1697" spans="1:20" x14ac:dyDescent="0.25">
      <c r="A1697" s="2" t="s">
        <v>2897</v>
      </c>
      <c r="B1697" s="3">
        <v>42231</v>
      </c>
      <c r="C1697" s="3">
        <v>42231</v>
      </c>
      <c r="D1697" s="2" t="s">
        <v>142</v>
      </c>
      <c r="E1697" s="2" t="s">
        <v>2203</v>
      </c>
      <c r="F1697" s="2" t="s">
        <v>2204</v>
      </c>
      <c r="G1697" s="2" t="s">
        <v>58</v>
      </c>
      <c r="H1697" s="2" t="s">
        <v>25</v>
      </c>
      <c r="I1697" s="2" t="s">
        <v>462</v>
      </c>
      <c r="J1697" s="2" t="s">
        <v>351</v>
      </c>
      <c r="K1697" s="2" t="s">
        <v>147</v>
      </c>
      <c r="L1697" s="2" t="s">
        <v>453</v>
      </c>
      <c r="M1697" s="2" t="s">
        <v>30</v>
      </c>
      <c r="N1697" s="2" t="s">
        <v>42</v>
      </c>
      <c r="O1697" s="2" t="s">
        <v>454</v>
      </c>
      <c r="P1697" s="4">
        <v>128.0813</v>
      </c>
      <c r="Q1697" s="4">
        <v>6</v>
      </c>
      <c r="R1697" s="4">
        <v>-30.4162</v>
      </c>
      <c r="S1697" s="2" t="s">
        <v>121</v>
      </c>
      <c r="T1697" s="2" t="s">
        <v>34</v>
      </c>
    </row>
    <row r="1698" spans="1:20" x14ac:dyDescent="0.25">
      <c r="A1698" s="2" t="s">
        <v>2898</v>
      </c>
      <c r="B1698" s="3">
        <v>42527</v>
      </c>
      <c r="C1698" s="3">
        <v>42528</v>
      </c>
      <c r="D1698" s="2" t="s">
        <v>55</v>
      </c>
      <c r="E1698" s="2" t="s">
        <v>1112</v>
      </c>
      <c r="F1698" s="2" t="s">
        <v>1113</v>
      </c>
      <c r="G1698" s="2" t="s">
        <v>24</v>
      </c>
      <c r="H1698" s="2" t="s">
        <v>25</v>
      </c>
      <c r="I1698" s="2" t="s">
        <v>576</v>
      </c>
      <c r="J1698" s="2" t="s">
        <v>470</v>
      </c>
      <c r="K1698" s="2" t="s">
        <v>28</v>
      </c>
      <c r="L1698" s="2" t="s">
        <v>139</v>
      </c>
      <c r="M1698" s="2" t="s">
        <v>30</v>
      </c>
      <c r="N1698" s="2" t="s">
        <v>42</v>
      </c>
      <c r="O1698" s="2" t="s">
        <v>140</v>
      </c>
      <c r="P1698" s="4">
        <v>204.12739999999999</v>
      </c>
      <c r="Q1698" s="4">
        <v>3</v>
      </c>
      <c r="R1698" s="4">
        <v>52.755600000000001</v>
      </c>
      <c r="S1698" s="2" t="s">
        <v>33</v>
      </c>
      <c r="T1698" s="2" t="s">
        <v>133</v>
      </c>
    </row>
    <row r="1699" spans="1:20" x14ac:dyDescent="0.25">
      <c r="A1699" s="2" t="s">
        <v>2899</v>
      </c>
      <c r="B1699" s="3">
        <v>42922</v>
      </c>
      <c r="C1699" s="3">
        <v>42922</v>
      </c>
      <c r="D1699" s="2" t="s">
        <v>48</v>
      </c>
      <c r="E1699" s="2" t="s">
        <v>842</v>
      </c>
      <c r="F1699" s="2" t="s">
        <v>843</v>
      </c>
      <c r="G1699" s="2" t="s">
        <v>38</v>
      </c>
      <c r="H1699" s="2" t="s">
        <v>25</v>
      </c>
      <c r="I1699" s="2" t="s">
        <v>706</v>
      </c>
      <c r="J1699" s="2" t="s">
        <v>127</v>
      </c>
      <c r="K1699" s="2" t="s">
        <v>82</v>
      </c>
      <c r="L1699" s="2" t="s">
        <v>372</v>
      </c>
      <c r="M1699" s="2" t="s">
        <v>30</v>
      </c>
      <c r="N1699" s="2" t="s">
        <v>162</v>
      </c>
      <c r="O1699" s="2" t="s">
        <v>373</v>
      </c>
      <c r="P1699" s="4">
        <v>420.88459999999998</v>
      </c>
      <c r="Q1699" s="4">
        <v>7</v>
      </c>
      <c r="R1699" s="4">
        <v>-198.12350000000001</v>
      </c>
      <c r="S1699" s="2" t="s">
        <v>121</v>
      </c>
      <c r="T1699" s="2" t="s">
        <v>86</v>
      </c>
    </row>
    <row r="1700" spans="1:20" x14ac:dyDescent="0.25">
      <c r="A1700" s="2" t="s">
        <v>2899</v>
      </c>
      <c r="B1700" s="3">
        <v>42922</v>
      </c>
      <c r="C1700" s="3">
        <v>42922</v>
      </c>
      <c r="D1700" s="2" t="s">
        <v>48</v>
      </c>
      <c r="E1700" s="2" t="s">
        <v>842</v>
      </c>
      <c r="F1700" s="2" t="s">
        <v>843</v>
      </c>
      <c r="G1700" s="2" t="s">
        <v>38</v>
      </c>
      <c r="H1700" s="2" t="s">
        <v>25</v>
      </c>
      <c r="I1700" s="2" t="s">
        <v>706</v>
      </c>
      <c r="J1700" s="2" t="s">
        <v>127</v>
      </c>
      <c r="K1700" s="2" t="s">
        <v>82</v>
      </c>
      <c r="L1700" s="2" t="s">
        <v>820</v>
      </c>
      <c r="M1700" s="2" t="s">
        <v>30</v>
      </c>
      <c r="N1700" s="2" t="s">
        <v>162</v>
      </c>
      <c r="O1700" s="2" t="s">
        <v>821</v>
      </c>
      <c r="P1700" s="4">
        <v>238.17070000000001</v>
      </c>
      <c r="Q1700" s="4">
        <v>2</v>
      </c>
      <c r="R1700" s="4">
        <v>-188.2028</v>
      </c>
      <c r="S1700" s="2" t="s">
        <v>121</v>
      </c>
      <c r="T1700" s="2" t="s">
        <v>86</v>
      </c>
    </row>
    <row r="1701" spans="1:20" x14ac:dyDescent="0.25">
      <c r="A1701" s="2" t="s">
        <v>2900</v>
      </c>
      <c r="B1701" s="3">
        <v>42984</v>
      </c>
      <c r="C1701" s="3">
        <v>42988</v>
      </c>
      <c r="D1701" s="2" t="s">
        <v>21</v>
      </c>
      <c r="E1701" s="2" t="s">
        <v>2240</v>
      </c>
      <c r="F1701" s="2" t="s">
        <v>2241</v>
      </c>
      <c r="G1701" s="2" t="s">
        <v>24</v>
      </c>
      <c r="H1701" s="2" t="s">
        <v>25</v>
      </c>
      <c r="I1701" s="2" t="s">
        <v>288</v>
      </c>
      <c r="J1701" s="2" t="s">
        <v>289</v>
      </c>
      <c r="K1701" s="2" t="s">
        <v>82</v>
      </c>
      <c r="L1701" s="2" t="s">
        <v>66</v>
      </c>
      <c r="M1701" s="2" t="s">
        <v>30</v>
      </c>
      <c r="N1701" s="2" t="s">
        <v>31</v>
      </c>
      <c r="O1701" s="2" t="s">
        <v>67</v>
      </c>
      <c r="P1701" s="4">
        <v>155.99629999999999</v>
      </c>
      <c r="Q1701" s="4">
        <v>12</v>
      </c>
      <c r="R1701" s="4">
        <v>36.110199999999999</v>
      </c>
      <c r="S1701" s="2" t="s">
        <v>75</v>
      </c>
      <c r="T1701" s="2" t="s">
        <v>148</v>
      </c>
    </row>
    <row r="1702" spans="1:20" x14ac:dyDescent="0.25">
      <c r="A1702" s="2" t="s">
        <v>2901</v>
      </c>
      <c r="B1702" s="3">
        <v>42653</v>
      </c>
      <c r="C1702" s="3">
        <v>42654</v>
      </c>
      <c r="D1702" s="2" t="s">
        <v>21</v>
      </c>
      <c r="E1702" s="2" t="s">
        <v>708</v>
      </c>
      <c r="F1702" s="2" t="s">
        <v>709</v>
      </c>
      <c r="G1702" s="2" t="s">
        <v>38</v>
      </c>
      <c r="H1702" s="2" t="s">
        <v>25</v>
      </c>
      <c r="I1702" s="2" t="s">
        <v>639</v>
      </c>
      <c r="J1702" s="2" t="s">
        <v>192</v>
      </c>
      <c r="K1702" s="2" t="s">
        <v>82</v>
      </c>
      <c r="L1702" s="2" t="s">
        <v>453</v>
      </c>
      <c r="M1702" s="2" t="s">
        <v>30</v>
      </c>
      <c r="N1702" s="2" t="s">
        <v>42</v>
      </c>
      <c r="O1702" s="2" t="s">
        <v>454</v>
      </c>
      <c r="P1702" s="4">
        <v>896.11389999999994</v>
      </c>
      <c r="Q1702" s="4">
        <v>2</v>
      </c>
      <c r="R1702" s="4">
        <v>3.8010000000000002</v>
      </c>
      <c r="S1702" s="2" t="s">
        <v>33</v>
      </c>
      <c r="T1702" s="2" t="s">
        <v>224</v>
      </c>
    </row>
    <row r="1703" spans="1:20" x14ac:dyDescent="0.25">
      <c r="A1703" s="2" t="s">
        <v>2901</v>
      </c>
      <c r="B1703" s="3">
        <v>42653</v>
      </c>
      <c r="C1703" s="3">
        <v>42654</v>
      </c>
      <c r="D1703" s="2" t="s">
        <v>21</v>
      </c>
      <c r="E1703" s="2" t="s">
        <v>708</v>
      </c>
      <c r="F1703" s="2" t="s">
        <v>709</v>
      </c>
      <c r="G1703" s="2" t="s">
        <v>38</v>
      </c>
      <c r="H1703" s="2" t="s">
        <v>25</v>
      </c>
      <c r="I1703" s="2" t="s">
        <v>639</v>
      </c>
      <c r="J1703" s="2" t="s">
        <v>192</v>
      </c>
      <c r="K1703" s="2" t="s">
        <v>82</v>
      </c>
      <c r="L1703" s="2" t="s">
        <v>66</v>
      </c>
      <c r="M1703" s="2" t="s">
        <v>30</v>
      </c>
      <c r="N1703" s="2" t="s">
        <v>31</v>
      </c>
      <c r="O1703" s="2" t="s">
        <v>67</v>
      </c>
      <c r="P1703" s="4">
        <v>119.7012</v>
      </c>
      <c r="Q1703" s="4">
        <v>1</v>
      </c>
      <c r="R1703" s="4">
        <v>44.0762</v>
      </c>
      <c r="S1703" s="2" t="s">
        <v>33</v>
      </c>
      <c r="T1703" s="2" t="s">
        <v>224</v>
      </c>
    </row>
    <row r="1704" spans="1:20" x14ac:dyDescent="0.25">
      <c r="A1704" s="2" t="s">
        <v>2902</v>
      </c>
      <c r="B1704" s="3">
        <v>41718</v>
      </c>
      <c r="C1704" s="3">
        <v>41719</v>
      </c>
      <c r="D1704" s="2" t="s">
        <v>21</v>
      </c>
      <c r="E1704" s="2" t="s">
        <v>409</v>
      </c>
      <c r="F1704" s="2" t="s">
        <v>410</v>
      </c>
      <c r="G1704" s="2" t="s">
        <v>38</v>
      </c>
      <c r="H1704" s="2" t="s">
        <v>25</v>
      </c>
      <c r="I1704" s="2" t="s">
        <v>338</v>
      </c>
      <c r="J1704" s="2" t="s">
        <v>339</v>
      </c>
      <c r="K1704" s="2" t="s">
        <v>82</v>
      </c>
      <c r="L1704" s="2" t="s">
        <v>174</v>
      </c>
      <c r="M1704" s="2" t="s">
        <v>30</v>
      </c>
      <c r="N1704" s="2" t="s">
        <v>31</v>
      </c>
      <c r="O1704" s="2" t="s">
        <v>175</v>
      </c>
      <c r="P1704" s="4">
        <v>113.2409</v>
      </c>
      <c r="Q1704" s="4">
        <v>10</v>
      </c>
      <c r="R1704" s="4">
        <v>63.887300000000003</v>
      </c>
      <c r="S1704" s="2" t="s">
        <v>33</v>
      </c>
      <c r="T1704" s="2" t="s">
        <v>44</v>
      </c>
    </row>
    <row r="1705" spans="1:20" x14ac:dyDescent="0.25">
      <c r="A1705" s="2" t="s">
        <v>2903</v>
      </c>
      <c r="B1705" s="3">
        <v>42998</v>
      </c>
      <c r="C1705" s="3">
        <v>42998</v>
      </c>
      <c r="D1705" s="2" t="s">
        <v>55</v>
      </c>
      <c r="E1705" s="2" t="s">
        <v>2216</v>
      </c>
      <c r="F1705" s="2" t="s">
        <v>2217</v>
      </c>
      <c r="G1705" s="2" t="s">
        <v>58</v>
      </c>
      <c r="H1705" s="2" t="s">
        <v>25</v>
      </c>
      <c r="I1705" s="2" t="s">
        <v>360</v>
      </c>
      <c r="J1705" s="2" t="s">
        <v>160</v>
      </c>
      <c r="K1705" s="2" t="s">
        <v>61</v>
      </c>
      <c r="L1705" s="2" t="s">
        <v>453</v>
      </c>
      <c r="M1705" s="2" t="s">
        <v>30</v>
      </c>
      <c r="N1705" s="2" t="s">
        <v>42</v>
      </c>
      <c r="O1705" s="2" t="s">
        <v>454</v>
      </c>
      <c r="P1705" s="4">
        <v>304.76</v>
      </c>
      <c r="Q1705" s="4">
        <v>2</v>
      </c>
      <c r="R1705" s="4">
        <v>40.425800000000002</v>
      </c>
      <c r="S1705" s="2" t="s">
        <v>121</v>
      </c>
      <c r="T1705" s="2" t="s">
        <v>148</v>
      </c>
    </row>
    <row r="1706" spans="1:20" x14ac:dyDescent="0.25">
      <c r="A1706" s="2" t="s">
        <v>2904</v>
      </c>
      <c r="B1706" s="3">
        <v>42000</v>
      </c>
      <c r="C1706" s="3">
        <v>42006</v>
      </c>
      <c r="D1706" s="2" t="s">
        <v>55</v>
      </c>
      <c r="E1706" s="2" t="s">
        <v>1815</v>
      </c>
      <c r="F1706" s="2" t="s">
        <v>1816</v>
      </c>
      <c r="G1706" s="2" t="s">
        <v>58</v>
      </c>
      <c r="H1706" s="2" t="s">
        <v>25</v>
      </c>
      <c r="I1706" s="2" t="s">
        <v>805</v>
      </c>
      <c r="J1706" s="2" t="s">
        <v>806</v>
      </c>
      <c r="K1706" s="2" t="s">
        <v>28</v>
      </c>
      <c r="L1706" s="2" t="s">
        <v>344</v>
      </c>
      <c r="M1706" s="2" t="s">
        <v>30</v>
      </c>
      <c r="N1706" s="2" t="s">
        <v>42</v>
      </c>
      <c r="O1706" s="2" t="s">
        <v>345</v>
      </c>
      <c r="P1706" s="4">
        <v>837.62180000000001</v>
      </c>
      <c r="Q1706" s="4">
        <v>5</v>
      </c>
      <c r="R1706" s="4">
        <v>174.7199</v>
      </c>
      <c r="S1706" s="2" t="s">
        <v>65</v>
      </c>
      <c r="T1706" s="2" t="s">
        <v>76</v>
      </c>
    </row>
    <row r="1707" spans="1:20" x14ac:dyDescent="0.25">
      <c r="A1707" s="2" t="s">
        <v>2905</v>
      </c>
      <c r="B1707" s="3">
        <v>42242</v>
      </c>
      <c r="C1707" s="3">
        <v>42244</v>
      </c>
      <c r="D1707" s="2" t="s">
        <v>21</v>
      </c>
      <c r="E1707" s="2" t="s">
        <v>2906</v>
      </c>
      <c r="F1707" s="2" t="s">
        <v>2907</v>
      </c>
      <c r="G1707" s="2" t="s">
        <v>58</v>
      </c>
      <c r="H1707" s="2" t="s">
        <v>25</v>
      </c>
      <c r="I1707" s="2" t="s">
        <v>649</v>
      </c>
      <c r="J1707" s="2" t="s">
        <v>279</v>
      </c>
      <c r="K1707" s="2" t="s">
        <v>28</v>
      </c>
      <c r="L1707" s="2" t="s">
        <v>207</v>
      </c>
      <c r="M1707" s="2" t="s">
        <v>30</v>
      </c>
      <c r="N1707" s="2" t="s">
        <v>31</v>
      </c>
      <c r="O1707" s="2" t="s">
        <v>208</v>
      </c>
      <c r="P1707" s="4">
        <v>22.007200000000001</v>
      </c>
      <c r="Q1707" s="4">
        <v>1</v>
      </c>
      <c r="R1707" s="4">
        <v>-2.9599000000000002</v>
      </c>
      <c r="S1707" s="2" t="s">
        <v>53</v>
      </c>
      <c r="T1707" s="2" t="s">
        <v>34</v>
      </c>
    </row>
    <row r="1708" spans="1:20" x14ac:dyDescent="0.25">
      <c r="A1708" s="2" t="s">
        <v>2908</v>
      </c>
      <c r="B1708" s="3">
        <v>42038</v>
      </c>
      <c r="C1708" s="3">
        <v>42043</v>
      </c>
      <c r="D1708" s="2" t="s">
        <v>55</v>
      </c>
      <c r="E1708" s="2" t="s">
        <v>1364</v>
      </c>
      <c r="F1708" s="2" t="s">
        <v>1365</v>
      </c>
      <c r="G1708" s="2" t="s">
        <v>58</v>
      </c>
      <c r="H1708" s="2" t="s">
        <v>25</v>
      </c>
      <c r="I1708" s="2" t="s">
        <v>59</v>
      </c>
      <c r="J1708" s="2" t="s">
        <v>60</v>
      </c>
      <c r="K1708" s="2" t="s">
        <v>61</v>
      </c>
      <c r="L1708" s="2" t="s">
        <v>323</v>
      </c>
      <c r="M1708" s="2" t="s">
        <v>30</v>
      </c>
      <c r="N1708" s="2" t="s">
        <v>31</v>
      </c>
      <c r="O1708" s="2" t="s">
        <v>324</v>
      </c>
      <c r="P1708" s="4">
        <v>84.563000000000002</v>
      </c>
      <c r="Q1708" s="4">
        <v>1</v>
      </c>
      <c r="R1708" s="4">
        <v>-20.177399999999999</v>
      </c>
      <c r="S1708" s="2" t="s">
        <v>85</v>
      </c>
      <c r="T1708" s="2" t="s">
        <v>101</v>
      </c>
    </row>
    <row r="1709" spans="1:20" x14ac:dyDescent="0.25">
      <c r="A1709" s="2" t="s">
        <v>2909</v>
      </c>
      <c r="B1709" s="3">
        <v>42343</v>
      </c>
      <c r="C1709" s="3">
        <v>42343</v>
      </c>
      <c r="D1709" s="2" t="s">
        <v>48</v>
      </c>
      <c r="E1709" s="2" t="s">
        <v>1139</v>
      </c>
      <c r="F1709" s="2" t="s">
        <v>1140</v>
      </c>
      <c r="G1709" s="2" t="s">
        <v>24</v>
      </c>
      <c r="H1709" s="2" t="s">
        <v>25</v>
      </c>
      <c r="I1709" s="2" t="s">
        <v>666</v>
      </c>
      <c r="J1709" s="2" t="s">
        <v>667</v>
      </c>
      <c r="K1709" s="2" t="s">
        <v>28</v>
      </c>
      <c r="L1709" s="2" t="s">
        <v>235</v>
      </c>
      <c r="M1709" s="2" t="s">
        <v>30</v>
      </c>
      <c r="N1709" s="2" t="s">
        <v>31</v>
      </c>
      <c r="O1709" s="2" t="s">
        <v>236</v>
      </c>
      <c r="P1709" s="4">
        <v>374.43920000000003</v>
      </c>
      <c r="Q1709" s="4">
        <v>2</v>
      </c>
      <c r="R1709" s="4">
        <v>120.9605</v>
      </c>
      <c r="S1709" s="2" t="s">
        <v>121</v>
      </c>
      <c r="T1709" s="2" t="s">
        <v>76</v>
      </c>
    </row>
    <row r="1710" spans="1:20" x14ac:dyDescent="0.25">
      <c r="A1710" s="2" t="s">
        <v>2910</v>
      </c>
      <c r="B1710" s="3">
        <v>42397</v>
      </c>
      <c r="C1710" s="3">
        <v>42397</v>
      </c>
      <c r="D1710" s="2" t="s">
        <v>55</v>
      </c>
      <c r="E1710" s="2" t="s">
        <v>2911</v>
      </c>
      <c r="F1710" s="2" t="s">
        <v>2912</v>
      </c>
      <c r="G1710" s="2" t="s">
        <v>24</v>
      </c>
      <c r="H1710" s="2" t="s">
        <v>25</v>
      </c>
      <c r="I1710" s="2" t="s">
        <v>861</v>
      </c>
      <c r="J1710" s="2" t="s">
        <v>403</v>
      </c>
      <c r="K1710" s="2" t="s">
        <v>147</v>
      </c>
      <c r="L1710" s="2" t="s">
        <v>169</v>
      </c>
      <c r="M1710" s="2" t="s">
        <v>30</v>
      </c>
      <c r="N1710" s="2" t="s">
        <v>162</v>
      </c>
      <c r="O1710" s="2" t="s">
        <v>170</v>
      </c>
      <c r="P1710" s="4">
        <v>1300.6773000000001</v>
      </c>
      <c r="Q1710" s="4">
        <v>4</v>
      </c>
      <c r="R1710" s="4">
        <v>139.40989999999999</v>
      </c>
      <c r="S1710" s="2" t="s">
        <v>121</v>
      </c>
      <c r="T1710" s="2" t="s">
        <v>115</v>
      </c>
    </row>
    <row r="1711" spans="1:20" x14ac:dyDescent="0.25">
      <c r="A1711" s="2" t="s">
        <v>2910</v>
      </c>
      <c r="B1711" s="3">
        <v>42397</v>
      </c>
      <c r="C1711" s="3">
        <v>42397</v>
      </c>
      <c r="D1711" s="2" t="s">
        <v>55</v>
      </c>
      <c r="E1711" s="2" t="s">
        <v>2911</v>
      </c>
      <c r="F1711" s="2" t="s">
        <v>2912</v>
      </c>
      <c r="G1711" s="2" t="s">
        <v>24</v>
      </c>
      <c r="H1711" s="2" t="s">
        <v>25</v>
      </c>
      <c r="I1711" s="2" t="s">
        <v>861</v>
      </c>
      <c r="J1711" s="2" t="s">
        <v>403</v>
      </c>
      <c r="K1711" s="2" t="s">
        <v>147</v>
      </c>
      <c r="L1711" s="2" t="s">
        <v>113</v>
      </c>
      <c r="M1711" s="2" t="s">
        <v>30</v>
      </c>
      <c r="N1711" s="2" t="s">
        <v>31</v>
      </c>
      <c r="O1711" s="2" t="s">
        <v>114</v>
      </c>
      <c r="P1711" s="4">
        <v>24.170500000000001</v>
      </c>
      <c r="Q1711" s="4">
        <v>6</v>
      </c>
      <c r="R1711" s="4">
        <v>-8.0210000000000008</v>
      </c>
      <c r="S1711" s="2" t="s">
        <v>121</v>
      </c>
      <c r="T1711" s="2" t="s">
        <v>115</v>
      </c>
    </row>
    <row r="1712" spans="1:20" x14ac:dyDescent="0.25">
      <c r="A1712" s="2" t="s">
        <v>2910</v>
      </c>
      <c r="B1712" s="3">
        <v>42397</v>
      </c>
      <c r="C1712" s="3">
        <v>42397</v>
      </c>
      <c r="D1712" s="2" t="s">
        <v>55</v>
      </c>
      <c r="E1712" s="2" t="s">
        <v>2911</v>
      </c>
      <c r="F1712" s="2" t="s">
        <v>2912</v>
      </c>
      <c r="G1712" s="2" t="s">
        <v>24</v>
      </c>
      <c r="H1712" s="2" t="s">
        <v>25</v>
      </c>
      <c r="I1712" s="2" t="s">
        <v>861</v>
      </c>
      <c r="J1712" s="2" t="s">
        <v>403</v>
      </c>
      <c r="K1712" s="2" t="s">
        <v>147</v>
      </c>
      <c r="L1712" s="2" t="s">
        <v>344</v>
      </c>
      <c r="M1712" s="2" t="s">
        <v>30</v>
      </c>
      <c r="N1712" s="2" t="s">
        <v>42</v>
      </c>
      <c r="O1712" s="2" t="s">
        <v>345</v>
      </c>
      <c r="P1712" s="4">
        <v>193.4007</v>
      </c>
      <c r="Q1712" s="4">
        <v>3</v>
      </c>
      <c r="R1712" s="4">
        <v>46.474400000000003</v>
      </c>
      <c r="S1712" s="2" t="s">
        <v>121</v>
      </c>
      <c r="T1712" s="2" t="s">
        <v>115</v>
      </c>
    </row>
    <row r="1713" spans="1:20" x14ac:dyDescent="0.25">
      <c r="A1713" s="2" t="s">
        <v>2913</v>
      </c>
      <c r="B1713" s="3">
        <v>42296</v>
      </c>
      <c r="C1713" s="3">
        <v>42297</v>
      </c>
      <c r="D1713" s="2" t="s">
        <v>55</v>
      </c>
      <c r="E1713" s="2" t="s">
        <v>1756</v>
      </c>
      <c r="F1713" s="2" t="s">
        <v>1757</v>
      </c>
      <c r="G1713" s="2" t="s">
        <v>58</v>
      </c>
      <c r="H1713" s="2" t="s">
        <v>25</v>
      </c>
      <c r="I1713" s="2" t="s">
        <v>917</v>
      </c>
      <c r="J1713" s="2" t="s">
        <v>120</v>
      </c>
      <c r="K1713" s="2" t="s">
        <v>61</v>
      </c>
      <c r="L1713" s="2" t="s">
        <v>29</v>
      </c>
      <c r="M1713" s="2" t="s">
        <v>30</v>
      </c>
      <c r="N1713" s="2" t="s">
        <v>31</v>
      </c>
      <c r="O1713" s="2" t="s">
        <v>32</v>
      </c>
      <c r="P1713" s="4">
        <v>860.45540000000005</v>
      </c>
      <c r="Q1713" s="4">
        <v>3</v>
      </c>
      <c r="R1713" s="4">
        <v>561.1277</v>
      </c>
      <c r="S1713" s="2" t="s">
        <v>33</v>
      </c>
      <c r="T1713" s="2" t="s">
        <v>224</v>
      </c>
    </row>
    <row r="1714" spans="1:20" x14ac:dyDescent="0.25">
      <c r="A1714" s="2" t="s">
        <v>2913</v>
      </c>
      <c r="B1714" s="3">
        <v>42296</v>
      </c>
      <c r="C1714" s="3">
        <v>42297</v>
      </c>
      <c r="D1714" s="2" t="s">
        <v>55</v>
      </c>
      <c r="E1714" s="2" t="s">
        <v>1756</v>
      </c>
      <c r="F1714" s="2" t="s">
        <v>1757</v>
      </c>
      <c r="G1714" s="2" t="s">
        <v>58</v>
      </c>
      <c r="H1714" s="2" t="s">
        <v>25</v>
      </c>
      <c r="I1714" s="2" t="s">
        <v>917</v>
      </c>
      <c r="J1714" s="2" t="s">
        <v>120</v>
      </c>
      <c r="K1714" s="2" t="s">
        <v>61</v>
      </c>
      <c r="L1714" s="2" t="s">
        <v>415</v>
      </c>
      <c r="M1714" s="2" t="s">
        <v>30</v>
      </c>
      <c r="N1714" s="2" t="s">
        <v>63</v>
      </c>
      <c r="O1714" s="2" t="s">
        <v>416</v>
      </c>
      <c r="P1714" s="4">
        <v>221.93180000000001</v>
      </c>
      <c r="Q1714" s="4">
        <v>3</v>
      </c>
      <c r="R1714" s="4">
        <v>56.940600000000003</v>
      </c>
      <c r="S1714" s="2" t="s">
        <v>33</v>
      </c>
      <c r="T1714" s="2" t="s">
        <v>224</v>
      </c>
    </row>
    <row r="1715" spans="1:20" x14ac:dyDescent="0.25">
      <c r="A1715" s="2" t="s">
        <v>2914</v>
      </c>
      <c r="B1715" s="3">
        <v>42625</v>
      </c>
      <c r="C1715" s="3">
        <v>42625</v>
      </c>
      <c r="D1715" s="2" t="s">
        <v>55</v>
      </c>
      <c r="E1715" s="2" t="s">
        <v>286</v>
      </c>
      <c r="F1715" s="2" t="s">
        <v>287</v>
      </c>
      <c r="G1715" s="2" t="s">
        <v>58</v>
      </c>
      <c r="H1715" s="2" t="s">
        <v>25</v>
      </c>
      <c r="I1715" s="2" t="s">
        <v>1375</v>
      </c>
      <c r="J1715" s="2" t="s">
        <v>72</v>
      </c>
      <c r="K1715" s="2" t="s">
        <v>61</v>
      </c>
      <c r="L1715" s="2" t="s">
        <v>193</v>
      </c>
      <c r="M1715" s="2" t="s">
        <v>30</v>
      </c>
      <c r="N1715" s="2" t="s">
        <v>42</v>
      </c>
      <c r="O1715" s="2" t="s">
        <v>194</v>
      </c>
      <c r="P1715" s="4">
        <v>83.9679</v>
      </c>
      <c r="Q1715" s="4">
        <v>3</v>
      </c>
      <c r="R1715" s="4">
        <v>33.263599999999997</v>
      </c>
      <c r="S1715" s="2" t="s">
        <v>121</v>
      </c>
      <c r="T1715" s="2" t="s">
        <v>148</v>
      </c>
    </row>
    <row r="1716" spans="1:20" x14ac:dyDescent="0.25">
      <c r="A1716" s="2" t="s">
        <v>2915</v>
      </c>
      <c r="B1716" s="3">
        <v>42269</v>
      </c>
      <c r="C1716" s="3">
        <v>42272</v>
      </c>
      <c r="D1716" s="2" t="s">
        <v>55</v>
      </c>
      <c r="E1716" s="2" t="s">
        <v>762</v>
      </c>
      <c r="F1716" s="2" t="s">
        <v>763</v>
      </c>
      <c r="G1716" s="2" t="s">
        <v>58</v>
      </c>
      <c r="H1716" s="2" t="s">
        <v>25</v>
      </c>
      <c r="I1716" s="2" t="s">
        <v>350</v>
      </c>
      <c r="J1716" s="2" t="s">
        <v>351</v>
      </c>
      <c r="K1716" s="2" t="s">
        <v>147</v>
      </c>
      <c r="L1716" s="2" t="s">
        <v>228</v>
      </c>
      <c r="M1716" s="2" t="s">
        <v>30</v>
      </c>
      <c r="N1716" s="2" t="s">
        <v>42</v>
      </c>
      <c r="O1716" s="2" t="s">
        <v>229</v>
      </c>
      <c r="P1716" s="4">
        <v>376.40379999999999</v>
      </c>
      <c r="Q1716" s="4">
        <v>2</v>
      </c>
      <c r="R1716" s="4">
        <v>-15.153600000000001</v>
      </c>
      <c r="S1716" s="2" t="s">
        <v>92</v>
      </c>
      <c r="T1716" s="2" t="s">
        <v>148</v>
      </c>
    </row>
    <row r="1717" spans="1:20" x14ac:dyDescent="0.25">
      <c r="A1717" s="2" t="s">
        <v>2916</v>
      </c>
      <c r="B1717" s="3">
        <v>42499</v>
      </c>
      <c r="C1717" s="3">
        <v>42503</v>
      </c>
      <c r="D1717" s="2" t="s">
        <v>55</v>
      </c>
      <c r="E1717" s="2" t="s">
        <v>1901</v>
      </c>
      <c r="F1717" s="2" t="s">
        <v>1902</v>
      </c>
      <c r="G1717" s="2" t="s">
        <v>58</v>
      </c>
      <c r="H1717" s="2" t="s">
        <v>25</v>
      </c>
      <c r="I1717" s="2" t="s">
        <v>449</v>
      </c>
      <c r="J1717" s="2" t="s">
        <v>98</v>
      </c>
      <c r="K1717" s="2" t="s">
        <v>82</v>
      </c>
      <c r="L1717" s="2" t="s">
        <v>99</v>
      </c>
      <c r="M1717" s="2" t="s">
        <v>30</v>
      </c>
      <c r="N1717" s="2" t="s">
        <v>42</v>
      </c>
      <c r="O1717" s="2" t="s">
        <v>100</v>
      </c>
      <c r="P1717" s="4">
        <v>439.80709999999999</v>
      </c>
      <c r="Q1717" s="4">
        <v>4</v>
      </c>
      <c r="R1717" s="4">
        <v>-42.855499999999999</v>
      </c>
      <c r="S1717" s="2" t="s">
        <v>75</v>
      </c>
      <c r="T1717" s="2" t="s">
        <v>122</v>
      </c>
    </row>
    <row r="1718" spans="1:20" x14ac:dyDescent="0.25">
      <c r="A1718" s="2" t="s">
        <v>2916</v>
      </c>
      <c r="B1718" s="3">
        <v>42499</v>
      </c>
      <c r="C1718" s="3">
        <v>42503</v>
      </c>
      <c r="D1718" s="2" t="s">
        <v>55</v>
      </c>
      <c r="E1718" s="2" t="s">
        <v>1901</v>
      </c>
      <c r="F1718" s="2" t="s">
        <v>1902</v>
      </c>
      <c r="G1718" s="2" t="s">
        <v>58</v>
      </c>
      <c r="H1718" s="2" t="s">
        <v>25</v>
      </c>
      <c r="I1718" s="2" t="s">
        <v>449</v>
      </c>
      <c r="J1718" s="2" t="s">
        <v>98</v>
      </c>
      <c r="K1718" s="2" t="s">
        <v>82</v>
      </c>
      <c r="L1718" s="2" t="s">
        <v>131</v>
      </c>
      <c r="M1718" s="2" t="s">
        <v>30</v>
      </c>
      <c r="N1718" s="2" t="s">
        <v>31</v>
      </c>
      <c r="O1718" s="2" t="s">
        <v>132</v>
      </c>
      <c r="P1718" s="4">
        <v>285.35230000000001</v>
      </c>
      <c r="Q1718" s="4">
        <v>6</v>
      </c>
      <c r="R1718" s="4">
        <v>81.934200000000004</v>
      </c>
      <c r="S1718" s="2" t="s">
        <v>75</v>
      </c>
      <c r="T1718" s="2" t="s">
        <v>122</v>
      </c>
    </row>
    <row r="1719" spans="1:20" x14ac:dyDescent="0.25">
      <c r="A1719" s="2" t="s">
        <v>2916</v>
      </c>
      <c r="B1719" s="3">
        <v>42499</v>
      </c>
      <c r="C1719" s="3">
        <v>42503</v>
      </c>
      <c r="D1719" s="2" t="s">
        <v>55</v>
      </c>
      <c r="E1719" s="2" t="s">
        <v>1901</v>
      </c>
      <c r="F1719" s="2" t="s">
        <v>1902</v>
      </c>
      <c r="G1719" s="2" t="s">
        <v>58</v>
      </c>
      <c r="H1719" s="2" t="s">
        <v>25</v>
      </c>
      <c r="I1719" s="2" t="s">
        <v>449</v>
      </c>
      <c r="J1719" s="2" t="s">
        <v>98</v>
      </c>
      <c r="K1719" s="2" t="s">
        <v>82</v>
      </c>
      <c r="L1719" s="2" t="s">
        <v>252</v>
      </c>
      <c r="M1719" s="2" t="s">
        <v>30</v>
      </c>
      <c r="N1719" s="2" t="s">
        <v>31</v>
      </c>
      <c r="O1719" s="2" t="s">
        <v>253</v>
      </c>
      <c r="P1719" s="4">
        <v>95.770600000000002</v>
      </c>
      <c r="Q1719" s="4">
        <v>5</v>
      </c>
      <c r="R1719" s="4">
        <v>-15.5448</v>
      </c>
      <c r="S1719" s="2" t="s">
        <v>75</v>
      </c>
      <c r="T1719" s="2" t="s">
        <v>122</v>
      </c>
    </row>
    <row r="1720" spans="1:20" x14ac:dyDescent="0.25">
      <c r="A1720" s="2" t="s">
        <v>2917</v>
      </c>
      <c r="B1720" s="3">
        <v>41712</v>
      </c>
      <c r="C1720" s="3">
        <v>41712</v>
      </c>
      <c r="D1720" s="2" t="s">
        <v>55</v>
      </c>
      <c r="E1720" s="2" t="s">
        <v>1322</v>
      </c>
      <c r="F1720" s="2" t="s">
        <v>1323</v>
      </c>
      <c r="G1720" s="2" t="s">
        <v>58</v>
      </c>
      <c r="H1720" s="2" t="s">
        <v>25</v>
      </c>
      <c r="I1720" s="2" t="s">
        <v>355</v>
      </c>
      <c r="J1720" s="2" t="s">
        <v>356</v>
      </c>
      <c r="K1720" s="2" t="s">
        <v>147</v>
      </c>
      <c r="L1720" s="2" t="s">
        <v>66</v>
      </c>
      <c r="M1720" s="2" t="s">
        <v>30</v>
      </c>
      <c r="N1720" s="2" t="s">
        <v>31</v>
      </c>
      <c r="O1720" s="2" t="s">
        <v>67</v>
      </c>
      <c r="P1720" s="4">
        <v>29.463799999999999</v>
      </c>
      <c r="Q1720" s="4">
        <v>2</v>
      </c>
      <c r="R1720" s="4">
        <v>-24.582899999999999</v>
      </c>
      <c r="S1720" s="2" t="s">
        <v>121</v>
      </c>
      <c r="T1720" s="2" t="s">
        <v>44</v>
      </c>
    </row>
    <row r="1721" spans="1:20" x14ac:dyDescent="0.25">
      <c r="A1721" s="2" t="s">
        <v>2918</v>
      </c>
      <c r="B1721" s="3">
        <v>41653</v>
      </c>
      <c r="C1721" s="3">
        <v>41654</v>
      </c>
      <c r="D1721" s="2" t="s">
        <v>48</v>
      </c>
      <c r="E1721" s="2" t="s">
        <v>717</v>
      </c>
      <c r="F1721" s="2" t="s">
        <v>718</v>
      </c>
      <c r="G1721" s="2" t="s">
        <v>58</v>
      </c>
      <c r="H1721" s="2" t="s">
        <v>25</v>
      </c>
      <c r="I1721" s="2" t="s">
        <v>1055</v>
      </c>
      <c r="J1721" s="2" t="s">
        <v>106</v>
      </c>
      <c r="K1721" s="2" t="s">
        <v>61</v>
      </c>
      <c r="L1721" s="2" t="s">
        <v>45</v>
      </c>
      <c r="M1721" s="2" t="s">
        <v>30</v>
      </c>
      <c r="N1721" s="2" t="s">
        <v>31</v>
      </c>
      <c r="O1721" s="2" t="s">
        <v>46</v>
      </c>
      <c r="P1721" s="4">
        <v>194.9862</v>
      </c>
      <c r="Q1721" s="4">
        <v>1</v>
      </c>
      <c r="R1721" s="4">
        <v>119.3223</v>
      </c>
      <c r="S1721" s="2" t="s">
        <v>33</v>
      </c>
      <c r="T1721" s="2" t="s">
        <v>115</v>
      </c>
    </row>
    <row r="1722" spans="1:20" x14ac:dyDescent="0.25">
      <c r="A1722" s="2" t="s">
        <v>2919</v>
      </c>
      <c r="B1722" s="3">
        <v>42492</v>
      </c>
      <c r="C1722" s="3">
        <v>42496</v>
      </c>
      <c r="D1722" s="2" t="s">
        <v>55</v>
      </c>
      <c r="E1722" s="2" t="s">
        <v>2020</v>
      </c>
      <c r="F1722" s="2" t="s">
        <v>2021</v>
      </c>
      <c r="G1722" s="2" t="s">
        <v>24</v>
      </c>
      <c r="H1722" s="2" t="s">
        <v>25</v>
      </c>
      <c r="I1722" s="2" t="s">
        <v>378</v>
      </c>
      <c r="J1722" s="2" t="s">
        <v>98</v>
      </c>
      <c r="K1722" s="2" t="s">
        <v>82</v>
      </c>
      <c r="L1722" s="2" t="s">
        <v>154</v>
      </c>
      <c r="M1722" s="2" t="s">
        <v>30</v>
      </c>
      <c r="N1722" s="2" t="s">
        <v>42</v>
      </c>
      <c r="O1722" s="2" t="s">
        <v>155</v>
      </c>
      <c r="P1722" s="4">
        <v>516.68280000000004</v>
      </c>
      <c r="Q1722" s="4">
        <v>4</v>
      </c>
      <c r="R1722" s="4">
        <v>-111.851</v>
      </c>
      <c r="S1722" s="2" t="s">
        <v>75</v>
      </c>
      <c r="T1722" s="2" t="s">
        <v>122</v>
      </c>
    </row>
    <row r="1723" spans="1:20" x14ac:dyDescent="0.25">
      <c r="A1723" s="2" t="s">
        <v>2919</v>
      </c>
      <c r="B1723" s="3">
        <v>42492</v>
      </c>
      <c r="C1723" s="3">
        <v>42496</v>
      </c>
      <c r="D1723" s="2" t="s">
        <v>55</v>
      </c>
      <c r="E1723" s="2" t="s">
        <v>2020</v>
      </c>
      <c r="F1723" s="2" t="s">
        <v>2021</v>
      </c>
      <c r="G1723" s="2" t="s">
        <v>24</v>
      </c>
      <c r="H1723" s="2" t="s">
        <v>25</v>
      </c>
      <c r="I1723" s="2" t="s">
        <v>378</v>
      </c>
      <c r="J1723" s="2" t="s">
        <v>98</v>
      </c>
      <c r="K1723" s="2" t="s">
        <v>82</v>
      </c>
      <c r="L1723" s="2" t="s">
        <v>245</v>
      </c>
      <c r="M1723" s="2" t="s">
        <v>30</v>
      </c>
      <c r="N1723" s="2" t="s">
        <v>42</v>
      </c>
      <c r="O1723" s="2" t="s">
        <v>246</v>
      </c>
      <c r="P1723" s="4">
        <v>365.47140000000002</v>
      </c>
      <c r="Q1723" s="4">
        <v>2</v>
      </c>
      <c r="R1723" s="4">
        <v>94.150800000000004</v>
      </c>
      <c r="S1723" s="2" t="s">
        <v>75</v>
      </c>
      <c r="T1723" s="2" t="s">
        <v>122</v>
      </c>
    </row>
    <row r="1724" spans="1:20" x14ac:dyDescent="0.25">
      <c r="A1724" s="2" t="s">
        <v>2920</v>
      </c>
      <c r="B1724" s="3">
        <v>43010</v>
      </c>
      <c r="C1724" s="3">
        <v>43014</v>
      </c>
      <c r="D1724" s="2" t="s">
        <v>21</v>
      </c>
      <c r="E1724" s="2" t="s">
        <v>248</v>
      </c>
      <c r="F1724" s="2" t="s">
        <v>249</v>
      </c>
      <c r="G1724" s="2" t="s">
        <v>38</v>
      </c>
      <c r="H1724" s="2" t="s">
        <v>25</v>
      </c>
      <c r="I1724" s="2" t="s">
        <v>223</v>
      </c>
      <c r="J1724" s="2" t="s">
        <v>81</v>
      </c>
      <c r="K1724" s="2" t="s">
        <v>82</v>
      </c>
      <c r="L1724" s="2" t="s">
        <v>169</v>
      </c>
      <c r="M1724" s="2" t="s">
        <v>30</v>
      </c>
      <c r="N1724" s="2" t="s">
        <v>162</v>
      </c>
      <c r="O1724" s="2" t="s">
        <v>170</v>
      </c>
      <c r="P1724" s="4">
        <v>431.51690000000002</v>
      </c>
      <c r="Q1724" s="4">
        <v>6</v>
      </c>
      <c r="R1724" s="4">
        <v>141.57859999999999</v>
      </c>
      <c r="S1724" s="2" t="s">
        <v>75</v>
      </c>
      <c r="T1724" s="2" t="s">
        <v>224</v>
      </c>
    </row>
    <row r="1725" spans="1:20" x14ac:dyDescent="0.25">
      <c r="A1725" s="2" t="s">
        <v>2921</v>
      </c>
      <c r="B1725" s="3">
        <v>42898</v>
      </c>
      <c r="C1725" s="3">
        <v>42898</v>
      </c>
      <c r="D1725" s="2" t="s">
        <v>55</v>
      </c>
      <c r="E1725" s="2" t="s">
        <v>697</v>
      </c>
      <c r="F1725" s="2" t="s">
        <v>698</v>
      </c>
      <c r="G1725" s="2" t="s">
        <v>24</v>
      </c>
      <c r="H1725" s="2" t="s">
        <v>25</v>
      </c>
      <c r="I1725" s="2" t="s">
        <v>80</v>
      </c>
      <c r="J1725" s="2" t="s">
        <v>81</v>
      </c>
      <c r="K1725" s="2" t="s">
        <v>82</v>
      </c>
      <c r="L1725" s="2" t="s">
        <v>328</v>
      </c>
      <c r="M1725" s="2" t="s">
        <v>30</v>
      </c>
      <c r="N1725" s="2" t="s">
        <v>63</v>
      </c>
      <c r="O1725" s="2" t="s">
        <v>329</v>
      </c>
      <c r="P1725" s="4">
        <v>499.22</v>
      </c>
      <c r="Q1725" s="4">
        <v>7</v>
      </c>
      <c r="R1725" s="4">
        <v>-69.041899999999998</v>
      </c>
      <c r="S1725" s="2" t="s">
        <v>121</v>
      </c>
      <c r="T1725" s="2" t="s">
        <v>133</v>
      </c>
    </row>
    <row r="1726" spans="1:20" x14ac:dyDescent="0.25">
      <c r="A1726" s="2" t="s">
        <v>2921</v>
      </c>
      <c r="B1726" s="3">
        <v>42898</v>
      </c>
      <c r="C1726" s="3">
        <v>42898</v>
      </c>
      <c r="D1726" s="2" t="s">
        <v>55</v>
      </c>
      <c r="E1726" s="2" t="s">
        <v>697</v>
      </c>
      <c r="F1726" s="2" t="s">
        <v>698</v>
      </c>
      <c r="G1726" s="2" t="s">
        <v>24</v>
      </c>
      <c r="H1726" s="2" t="s">
        <v>25</v>
      </c>
      <c r="I1726" s="2" t="s">
        <v>80</v>
      </c>
      <c r="J1726" s="2" t="s">
        <v>81</v>
      </c>
      <c r="K1726" s="2" t="s">
        <v>82</v>
      </c>
      <c r="L1726" s="2" t="s">
        <v>228</v>
      </c>
      <c r="M1726" s="2" t="s">
        <v>30</v>
      </c>
      <c r="N1726" s="2" t="s">
        <v>42</v>
      </c>
      <c r="O1726" s="2" t="s">
        <v>229</v>
      </c>
      <c r="P1726" s="4">
        <v>363.33460000000002</v>
      </c>
      <c r="Q1726" s="4">
        <v>5</v>
      </c>
      <c r="R1726" s="4">
        <v>86.561499999999995</v>
      </c>
      <c r="S1726" s="2" t="s">
        <v>121</v>
      </c>
      <c r="T1726" s="2" t="s">
        <v>133</v>
      </c>
    </row>
    <row r="1727" spans="1:20" x14ac:dyDescent="0.25">
      <c r="A1727" s="2" t="s">
        <v>2922</v>
      </c>
      <c r="B1727" s="3">
        <v>42840</v>
      </c>
      <c r="C1727" s="3">
        <v>42841</v>
      </c>
      <c r="D1727" s="2" t="s">
        <v>48</v>
      </c>
      <c r="E1727" s="2" t="s">
        <v>660</v>
      </c>
      <c r="F1727" s="2" t="s">
        <v>661</v>
      </c>
      <c r="G1727" s="2" t="s">
        <v>24</v>
      </c>
      <c r="H1727" s="2" t="s">
        <v>25</v>
      </c>
      <c r="I1727" s="2" t="s">
        <v>278</v>
      </c>
      <c r="J1727" s="2" t="s">
        <v>279</v>
      </c>
      <c r="K1727" s="2" t="s">
        <v>28</v>
      </c>
      <c r="L1727" s="2" t="s">
        <v>62</v>
      </c>
      <c r="M1727" s="2" t="s">
        <v>30</v>
      </c>
      <c r="N1727" s="2" t="s">
        <v>63</v>
      </c>
      <c r="O1727" s="2" t="s">
        <v>64</v>
      </c>
      <c r="P1727" s="4">
        <v>517.26199999999994</v>
      </c>
      <c r="Q1727" s="4">
        <v>1</v>
      </c>
      <c r="R1727" s="4">
        <v>20.958200000000001</v>
      </c>
      <c r="S1727" s="2" t="s">
        <v>33</v>
      </c>
      <c r="T1727" s="2" t="s">
        <v>108</v>
      </c>
    </row>
    <row r="1728" spans="1:20" x14ac:dyDescent="0.25">
      <c r="A1728" s="2" t="s">
        <v>2923</v>
      </c>
      <c r="B1728" s="3">
        <v>42624</v>
      </c>
      <c r="C1728" s="3">
        <v>42625</v>
      </c>
      <c r="D1728" s="2" t="s">
        <v>55</v>
      </c>
      <c r="E1728" s="2" t="s">
        <v>2924</v>
      </c>
      <c r="F1728" s="2" t="s">
        <v>2925</v>
      </c>
      <c r="G1728" s="2" t="s">
        <v>58</v>
      </c>
      <c r="H1728" s="2" t="s">
        <v>25</v>
      </c>
      <c r="I1728" s="2" t="s">
        <v>382</v>
      </c>
      <c r="J1728" s="2" t="s">
        <v>192</v>
      </c>
      <c r="K1728" s="2" t="s">
        <v>82</v>
      </c>
      <c r="L1728" s="2" t="s">
        <v>453</v>
      </c>
      <c r="M1728" s="2" t="s">
        <v>30</v>
      </c>
      <c r="N1728" s="2" t="s">
        <v>42</v>
      </c>
      <c r="O1728" s="2" t="s">
        <v>454</v>
      </c>
      <c r="P1728" s="4">
        <v>2300.0663</v>
      </c>
      <c r="Q1728" s="4">
        <v>2</v>
      </c>
      <c r="R1728" s="4">
        <v>-671.58900000000006</v>
      </c>
      <c r="S1728" s="2" t="s">
        <v>33</v>
      </c>
      <c r="T1728" s="2" t="s">
        <v>148</v>
      </c>
    </row>
    <row r="1729" spans="1:20" x14ac:dyDescent="0.25">
      <c r="A1729" s="2" t="s">
        <v>2926</v>
      </c>
      <c r="B1729" s="3">
        <v>42714</v>
      </c>
      <c r="C1729" s="3">
        <v>42714</v>
      </c>
      <c r="D1729" s="2" t="s">
        <v>142</v>
      </c>
      <c r="E1729" s="2" t="s">
        <v>489</v>
      </c>
      <c r="F1729" s="2" t="s">
        <v>490</v>
      </c>
      <c r="G1729" s="2" t="s">
        <v>38</v>
      </c>
      <c r="H1729" s="2" t="s">
        <v>25</v>
      </c>
      <c r="I1729" s="2" t="s">
        <v>1319</v>
      </c>
      <c r="J1729" s="2" t="s">
        <v>632</v>
      </c>
      <c r="K1729" s="2" t="s">
        <v>82</v>
      </c>
      <c r="L1729" s="2" t="s">
        <v>45</v>
      </c>
      <c r="M1729" s="2" t="s">
        <v>30</v>
      </c>
      <c r="N1729" s="2" t="s">
        <v>31</v>
      </c>
      <c r="O1729" s="2" t="s">
        <v>46</v>
      </c>
      <c r="P1729" s="4">
        <v>66.501300000000001</v>
      </c>
      <c r="Q1729" s="4">
        <v>1</v>
      </c>
      <c r="R1729" s="4">
        <v>-9.8003</v>
      </c>
      <c r="S1729" s="2" t="s">
        <v>121</v>
      </c>
      <c r="T1729" s="2" t="s">
        <v>76</v>
      </c>
    </row>
    <row r="1730" spans="1:20" x14ac:dyDescent="0.25">
      <c r="A1730" s="2" t="s">
        <v>2927</v>
      </c>
      <c r="B1730" s="3">
        <v>42559</v>
      </c>
      <c r="C1730" s="3">
        <v>42561</v>
      </c>
      <c r="D1730" s="2" t="s">
        <v>55</v>
      </c>
      <c r="E1730" s="2" t="s">
        <v>787</v>
      </c>
      <c r="F1730" s="2" t="s">
        <v>788</v>
      </c>
      <c r="G1730" s="2" t="s">
        <v>38</v>
      </c>
      <c r="H1730" s="2" t="s">
        <v>25</v>
      </c>
      <c r="I1730" s="2" t="s">
        <v>474</v>
      </c>
      <c r="J1730" s="2" t="s">
        <v>475</v>
      </c>
      <c r="K1730" s="2" t="s">
        <v>28</v>
      </c>
      <c r="L1730" s="2" t="s">
        <v>73</v>
      </c>
      <c r="M1730" s="2" t="s">
        <v>30</v>
      </c>
      <c r="N1730" s="2" t="s">
        <v>42</v>
      </c>
      <c r="O1730" s="2" t="s">
        <v>74</v>
      </c>
      <c r="P1730" s="4">
        <v>289.61110000000002</v>
      </c>
      <c r="Q1730" s="4">
        <v>4</v>
      </c>
      <c r="R1730" s="4">
        <v>105.36879999999999</v>
      </c>
      <c r="S1730" s="2" t="s">
        <v>53</v>
      </c>
      <c r="T1730" s="2" t="s">
        <v>86</v>
      </c>
    </row>
    <row r="1731" spans="1:20" x14ac:dyDescent="0.25">
      <c r="A1731" s="2" t="s">
        <v>2927</v>
      </c>
      <c r="B1731" s="3">
        <v>42559</v>
      </c>
      <c r="C1731" s="3">
        <v>42561</v>
      </c>
      <c r="D1731" s="2" t="s">
        <v>55</v>
      </c>
      <c r="E1731" s="2" t="s">
        <v>787</v>
      </c>
      <c r="F1731" s="2" t="s">
        <v>788</v>
      </c>
      <c r="G1731" s="2" t="s">
        <v>38</v>
      </c>
      <c r="H1731" s="2" t="s">
        <v>25</v>
      </c>
      <c r="I1731" s="2" t="s">
        <v>474</v>
      </c>
      <c r="J1731" s="2" t="s">
        <v>475</v>
      </c>
      <c r="K1731" s="2" t="s">
        <v>28</v>
      </c>
      <c r="L1731" s="2" t="s">
        <v>677</v>
      </c>
      <c r="M1731" s="2" t="s">
        <v>30</v>
      </c>
      <c r="N1731" s="2" t="s">
        <v>162</v>
      </c>
      <c r="O1731" s="2" t="s">
        <v>678</v>
      </c>
      <c r="P1731" s="4">
        <v>47.825699999999998</v>
      </c>
      <c r="Q1731" s="4">
        <v>3</v>
      </c>
      <c r="R1731" s="4">
        <v>21.009599999999999</v>
      </c>
      <c r="S1731" s="2" t="s">
        <v>53</v>
      </c>
      <c r="T1731" s="2" t="s">
        <v>86</v>
      </c>
    </row>
    <row r="1732" spans="1:20" x14ac:dyDescent="0.25">
      <c r="A1732" s="2" t="s">
        <v>2928</v>
      </c>
      <c r="B1732" s="3">
        <v>43089</v>
      </c>
      <c r="C1732" s="3">
        <v>43089</v>
      </c>
      <c r="D1732" s="2" t="s">
        <v>21</v>
      </c>
      <c r="E1732" s="2" t="s">
        <v>1761</v>
      </c>
      <c r="F1732" s="2" t="s">
        <v>1762</v>
      </c>
      <c r="G1732" s="2" t="s">
        <v>58</v>
      </c>
      <c r="H1732" s="2" t="s">
        <v>25</v>
      </c>
      <c r="I1732" s="2" t="s">
        <v>152</v>
      </c>
      <c r="J1732" s="2" t="s">
        <v>153</v>
      </c>
      <c r="K1732" s="2" t="s">
        <v>147</v>
      </c>
      <c r="L1732" s="2" t="s">
        <v>174</v>
      </c>
      <c r="M1732" s="2" t="s">
        <v>30</v>
      </c>
      <c r="N1732" s="2" t="s">
        <v>31</v>
      </c>
      <c r="O1732" s="2" t="s">
        <v>175</v>
      </c>
      <c r="P1732" s="4">
        <v>19.728100000000001</v>
      </c>
      <c r="Q1732" s="4">
        <v>4</v>
      </c>
      <c r="R1732" s="4">
        <v>-9.2382000000000009</v>
      </c>
      <c r="S1732" s="2" t="s">
        <v>121</v>
      </c>
      <c r="T1732" s="2" t="s">
        <v>76</v>
      </c>
    </row>
    <row r="1733" spans="1:20" x14ac:dyDescent="0.25">
      <c r="A1733" s="2" t="s">
        <v>2929</v>
      </c>
      <c r="B1733" s="3">
        <v>42412</v>
      </c>
      <c r="C1733" s="3">
        <v>42419</v>
      </c>
      <c r="D1733" s="2" t="s">
        <v>55</v>
      </c>
      <c r="E1733" s="2" t="s">
        <v>291</v>
      </c>
      <c r="F1733" s="2" t="s">
        <v>292</v>
      </c>
      <c r="G1733" s="2" t="s">
        <v>38</v>
      </c>
      <c r="H1733" s="2" t="s">
        <v>25</v>
      </c>
      <c r="I1733" s="2" t="s">
        <v>288</v>
      </c>
      <c r="J1733" s="2" t="s">
        <v>289</v>
      </c>
      <c r="K1733" s="2" t="s">
        <v>82</v>
      </c>
      <c r="L1733" s="2" t="s">
        <v>200</v>
      </c>
      <c r="M1733" s="2" t="s">
        <v>30</v>
      </c>
      <c r="N1733" s="2" t="s">
        <v>162</v>
      </c>
      <c r="O1733" s="2" t="s">
        <v>201</v>
      </c>
      <c r="P1733" s="4">
        <v>173.88730000000001</v>
      </c>
      <c r="Q1733" s="4">
        <v>4</v>
      </c>
      <c r="R1733" s="4">
        <v>76.721599999999995</v>
      </c>
      <c r="S1733" s="2" t="s">
        <v>107</v>
      </c>
      <c r="T1733" s="2" t="s">
        <v>101</v>
      </c>
    </row>
    <row r="1734" spans="1:20" x14ac:dyDescent="0.25">
      <c r="A1734" s="2" t="s">
        <v>2930</v>
      </c>
      <c r="B1734" s="3">
        <v>42467</v>
      </c>
      <c r="C1734" s="3">
        <v>42471</v>
      </c>
      <c r="D1734" s="2" t="s">
        <v>55</v>
      </c>
      <c r="E1734" s="2" t="s">
        <v>1891</v>
      </c>
      <c r="F1734" s="2" t="s">
        <v>1892</v>
      </c>
      <c r="G1734" s="2" t="s">
        <v>58</v>
      </c>
      <c r="H1734" s="2" t="s">
        <v>25</v>
      </c>
      <c r="I1734" s="2" t="s">
        <v>773</v>
      </c>
      <c r="J1734" s="2" t="s">
        <v>322</v>
      </c>
      <c r="K1734" s="2" t="s">
        <v>28</v>
      </c>
      <c r="L1734" s="2" t="s">
        <v>99</v>
      </c>
      <c r="M1734" s="2" t="s">
        <v>30</v>
      </c>
      <c r="N1734" s="2" t="s">
        <v>42</v>
      </c>
      <c r="O1734" s="2" t="s">
        <v>100</v>
      </c>
      <c r="P1734" s="4">
        <v>240.8279</v>
      </c>
      <c r="Q1734" s="4">
        <v>2</v>
      </c>
      <c r="R1734" s="4">
        <v>53.429299999999998</v>
      </c>
      <c r="S1734" s="2" t="s">
        <v>75</v>
      </c>
      <c r="T1734" s="2" t="s">
        <v>108</v>
      </c>
    </row>
    <row r="1735" spans="1:20" x14ac:dyDescent="0.25">
      <c r="A1735" s="2" t="s">
        <v>2931</v>
      </c>
      <c r="B1735" s="3">
        <v>42184</v>
      </c>
      <c r="C1735" s="3">
        <v>42188</v>
      </c>
      <c r="D1735" s="2" t="s">
        <v>21</v>
      </c>
      <c r="E1735" s="2" t="s">
        <v>2574</v>
      </c>
      <c r="F1735" s="2" t="s">
        <v>2575</v>
      </c>
      <c r="G1735" s="2" t="s">
        <v>58</v>
      </c>
      <c r="H1735" s="2" t="s">
        <v>25</v>
      </c>
      <c r="I1735" s="2" t="s">
        <v>462</v>
      </c>
      <c r="J1735" s="2" t="s">
        <v>351</v>
      </c>
      <c r="K1735" s="2" t="s">
        <v>147</v>
      </c>
      <c r="L1735" s="2" t="s">
        <v>218</v>
      </c>
      <c r="M1735" s="2" t="s">
        <v>30</v>
      </c>
      <c r="N1735" s="2" t="s">
        <v>31</v>
      </c>
      <c r="O1735" s="2" t="s">
        <v>219</v>
      </c>
      <c r="P1735" s="4">
        <v>2.7183000000000002</v>
      </c>
      <c r="Q1735" s="4">
        <v>4</v>
      </c>
      <c r="R1735" s="4">
        <v>-0.42549999999999999</v>
      </c>
      <c r="S1735" s="2" t="s">
        <v>75</v>
      </c>
      <c r="T1735" s="2" t="s">
        <v>133</v>
      </c>
    </row>
    <row r="1736" spans="1:20" x14ac:dyDescent="0.25">
      <c r="A1736" s="2" t="s">
        <v>2932</v>
      </c>
      <c r="B1736" s="3">
        <v>42568</v>
      </c>
      <c r="C1736" s="3">
        <v>42570</v>
      </c>
      <c r="D1736" s="2" t="s">
        <v>55</v>
      </c>
      <c r="E1736" s="2" t="s">
        <v>196</v>
      </c>
      <c r="F1736" s="2" t="s">
        <v>197</v>
      </c>
      <c r="G1736" s="2" t="s">
        <v>38</v>
      </c>
      <c r="H1736" s="2" t="s">
        <v>25</v>
      </c>
      <c r="I1736" s="2" t="s">
        <v>847</v>
      </c>
      <c r="J1736" s="2" t="s">
        <v>728</v>
      </c>
      <c r="K1736" s="2" t="s">
        <v>147</v>
      </c>
      <c r="L1736" s="2" t="s">
        <v>235</v>
      </c>
      <c r="M1736" s="2" t="s">
        <v>30</v>
      </c>
      <c r="N1736" s="2" t="s">
        <v>31</v>
      </c>
      <c r="O1736" s="2" t="s">
        <v>236</v>
      </c>
      <c r="P1736" s="4">
        <v>48.791200000000003</v>
      </c>
      <c r="Q1736" s="4">
        <v>5</v>
      </c>
      <c r="R1736" s="4">
        <v>-17.957699999999999</v>
      </c>
      <c r="S1736" s="2" t="s">
        <v>53</v>
      </c>
      <c r="T1736" s="2" t="s">
        <v>86</v>
      </c>
    </row>
    <row r="1737" spans="1:20" x14ac:dyDescent="0.25">
      <c r="A1737" s="2" t="s">
        <v>2933</v>
      </c>
      <c r="B1737" s="3">
        <v>42600</v>
      </c>
      <c r="C1737" s="3">
        <v>42601</v>
      </c>
      <c r="D1737" s="2" t="s">
        <v>21</v>
      </c>
      <c r="E1737" s="2" t="s">
        <v>1468</v>
      </c>
      <c r="F1737" s="2" t="s">
        <v>1469</v>
      </c>
      <c r="G1737" s="2" t="s">
        <v>58</v>
      </c>
      <c r="H1737" s="2" t="s">
        <v>25</v>
      </c>
      <c r="I1737" s="2" t="s">
        <v>760</v>
      </c>
      <c r="J1737" s="2" t="s">
        <v>112</v>
      </c>
      <c r="K1737" s="2" t="s">
        <v>28</v>
      </c>
      <c r="L1737" s="2" t="s">
        <v>323</v>
      </c>
      <c r="M1737" s="2" t="s">
        <v>30</v>
      </c>
      <c r="N1737" s="2" t="s">
        <v>31</v>
      </c>
      <c r="O1737" s="2" t="s">
        <v>324</v>
      </c>
      <c r="P1737" s="4">
        <v>21.856999999999999</v>
      </c>
      <c r="Q1737" s="4">
        <v>4</v>
      </c>
      <c r="R1737" s="4">
        <v>9.1233000000000004</v>
      </c>
      <c r="S1737" s="2" t="s">
        <v>33</v>
      </c>
      <c r="T1737" s="2" t="s">
        <v>34</v>
      </c>
    </row>
    <row r="1738" spans="1:20" x14ac:dyDescent="0.25">
      <c r="A1738" s="2" t="s">
        <v>2933</v>
      </c>
      <c r="B1738" s="3">
        <v>42600</v>
      </c>
      <c r="C1738" s="3">
        <v>42601</v>
      </c>
      <c r="D1738" s="2" t="s">
        <v>21</v>
      </c>
      <c r="E1738" s="2" t="s">
        <v>1468</v>
      </c>
      <c r="F1738" s="2" t="s">
        <v>1469</v>
      </c>
      <c r="G1738" s="2" t="s">
        <v>58</v>
      </c>
      <c r="H1738" s="2" t="s">
        <v>25</v>
      </c>
      <c r="I1738" s="2" t="s">
        <v>760</v>
      </c>
      <c r="J1738" s="2" t="s">
        <v>112</v>
      </c>
      <c r="K1738" s="2" t="s">
        <v>28</v>
      </c>
      <c r="L1738" s="2" t="s">
        <v>174</v>
      </c>
      <c r="M1738" s="2" t="s">
        <v>30</v>
      </c>
      <c r="N1738" s="2" t="s">
        <v>31</v>
      </c>
      <c r="O1738" s="2" t="s">
        <v>175</v>
      </c>
      <c r="P1738" s="4">
        <v>111.2496</v>
      </c>
      <c r="Q1738" s="4">
        <v>5</v>
      </c>
      <c r="R1738" s="4">
        <v>70.7119</v>
      </c>
      <c r="S1738" s="2" t="s">
        <v>33</v>
      </c>
      <c r="T1738" s="2" t="s">
        <v>34</v>
      </c>
    </row>
    <row r="1739" spans="1:20" x14ac:dyDescent="0.25">
      <c r="A1739" s="2" t="s">
        <v>2934</v>
      </c>
      <c r="B1739" s="3">
        <v>42307</v>
      </c>
      <c r="C1739" s="3">
        <v>42307</v>
      </c>
      <c r="D1739" s="2" t="s">
        <v>48</v>
      </c>
      <c r="E1739" s="2" t="s">
        <v>1557</v>
      </c>
      <c r="F1739" s="2" t="s">
        <v>1558</v>
      </c>
      <c r="G1739" s="2" t="s">
        <v>58</v>
      </c>
      <c r="H1739" s="2" t="s">
        <v>25</v>
      </c>
      <c r="I1739" s="2" t="s">
        <v>977</v>
      </c>
      <c r="J1739" s="2" t="s">
        <v>475</v>
      </c>
      <c r="K1739" s="2" t="s">
        <v>28</v>
      </c>
      <c r="L1739" s="2" t="s">
        <v>235</v>
      </c>
      <c r="M1739" s="2" t="s">
        <v>30</v>
      </c>
      <c r="N1739" s="2" t="s">
        <v>31</v>
      </c>
      <c r="O1739" s="2" t="s">
        <v>236</v>
      </c>
      <c r="P1739" s="4">
        <v>121.5754</v>
      </c>
      <c r="Q1739" s="4">
        <v>3</v>
      </c>
      <c r="R1739" s="4">
        <v>-64.081900000000005</v>
      </c>
      <c r="S1739" s="2" t="s">
        <v>121</v>
      </c>
      <c r="T1739" s="2" t="s">
        <v>224</v>
      </c>
    </row>
    <row r="1740" spans="1:20" x14ac:dyDescent="0.25">
      <c r="A1740" s="2" t="s">
        <v>2935</v>
      </c>
      <c r="B1740" s="3">
        <v>42838</v>
      </c>
      <c r="C1740" s="3">
        <v>42843</v>
      </c>
      <c r="D1740" s="2" t="s">
        <v>55</v>
      </c>
      <c r="E1740" s="2" t="s">
        <v>967</v>
      </c>
      <c r="F1740" s="2" t="s">
        <v>968</v>
      </c>
      <c r="G1740" s="2" t="s">
        <v>58</v>
      </c>
      <c r="H1740" s="2" t="s">
        <v>25</v>
      </c>
      <c r="I1740" s="2" t="s">
        <v>97</v>
      </c>
      <c r="J1740" s="2" t="s">
        <v>112</v>
      </c>
      <c r="K1740" s="2" t="s">
        <v>28</v>
      </c>
      <c r="L1740" s="2" t="s">
        <v>344</v>
      </c>
      <c r="M1740" s="2" t="s">
        <v>30</v>
      </c>
      <c r="N1740" s="2" t="s">
        <v>42</v>
      </c>
      <c r="O1740" s="2" t="s">
        <v>345</v>
      </c>
      <c r="P1740" s="4">
        <v>1839.3843999999999</v>
      </c>
      <c r="Q1740" s="4">
        <v>3</v>
      </c>
      <c r="R1740" s="4">
        <v>-656.78099999999995</v>
      </c>
      <c r="S1740" s="2" t="s">
        <v>85</v>
      </c>
      <c r="T1740" s="2" t="s">
        <v>108</v>
      </c>
    </row>
    <row r="1741" spans="1:20" x14ac:dyDescent="0.25">
      <c r="A1741" s="2" t="s">
        <v>2936</v>
      </c>
      <c r="B1741" s="3">
        <v>42746</v>
      </c>
      <c r="C1741" s="3">
        <v>42753</v>
      </c>
      <c r="D1741" s="2" t="s">
        <v>55</v>
      </c>
      <c r="E1741" s="2" t="s">
        <v>2004</v>
      </c>
      <c r="F1741" s="2" t="s">
        <v>2005</v>
      </c>
      <c r="G1741" s="2" t="s">
        <v>38</v>
      </c>
      <c r="H1741" s="2" t="s">
        <v>25</v>
      </c>
      <c r="I1741" s="2" t="s">
        <v>386</v>
      </c>
      <c r="J1741" s="2" t="s">
        <v>387</v>
      </c>
      <c r="K1741" s="2" t="s">
        <v>61</v>
      </c>
      <c r="L1741" s="2" t="s">
        <v>207</v>
      </c>
      <c r="M1741" s="2" t="s">
        <v>30</v>
      </c>
      <c r="N1741" s="2" t="s">
        <v>31</v>
      </c>
      <c r="O1741" s="2" t="s">
        <v>208</v>
      </c>
      <c r="P1741" s="4">
        <v>78.000600000000006</v>
      </c>
      <c r="Q1741" s="4">
        <v>3</v>
      </c>
      <c r="R1741" s="4">
        <v>-14.435600000000001</v>
      </c>
      <c r="S1741" s="2" t="s">
        <v>107</v>
      </c>
      <c r="T1741" s="2" t="s">
        <v>115</v>
      </c>
    </row>
    <row r="1742" spans="1:20" x14ac:dyDescent="0.25">
      <c r="A1742" s="2" t="s">
        <v>2937</v>
      </c>
      <c r="B1742" s="3">
        <v>41970</v>
      </c>
      <c r="C1742" s="3">
        <v>41974</v>
      </c>
      <c r="D1742" s="2" t="s">
        <v>55</v>
      </c>
      <c r="E1742" s="2" t="s">
        <v>2938</v>
      </c>
      <c r="F1742" s="2" t="s">
        <v>2939</v>
      </c>
      <c r="G1742" s="2" t="s">
        <v>58</v>
      </c>
      <c r="H1742" s="2" t="s">
        <v>25</v>
      </c>
      <c r="I1742" s="2" t="s">
        <v>274</v>
      </c>
      <c r="J1742" s="2" t="s">
        <v>146</v>
      </c>
      <c r="K1742" s="2" t="s">
        <v>147</v>
      </c>
      <c r="L1742" s="2" t="s">
        <v>66</v>
      </c>
      <c r="M1742" s="2" t="s">
        <v>30</v>
      </c>
      <c r="N1742" s="2" t="s">
        <v>31</v>
      </c>
      <c r="O1742" s="2" t="s">
        <v>67</v>
      </c>
      <c r="P1742" s="4">
        <v>44.5398</v>
      </c>
      <c r="Q1742" s="4">
        <v>7</v>
      </c>
      <c r="R1742" s="4">
        <v>11.812099999999999</v>
      </c>
      <c r="S1742" s="2" t="s">
        <v>75</v>
      </c>
      <c r="T1742" s="2" t="s">
        <v>93</v>
      </c>
    </row>
    <row r="1743" spans="1:20" x14ac:dyDescent="0.25">
      <c r="A1743" s="2" t="s">
        <v>2940</v>
      </c>
      <c r="B1743" s="3">
        <v>42891</v>
      </c>
      <c r="C1743" s="3">
        <v>42898</v>
      </c>
      <c r="D1743" s="2" t="s">
        <v>55</v>
      </c>
      <c r="E1743" s="2" t="s">
        <v>1350</v>
      </c>
      <c r="F1743" s="2" t="s">
        <v>1351</v>
      </c>
      <c r="G1743" s="2" t="s">
        <v>24</v>
      </c>
      <c r="H1743" s="2" t="s">
        <v>25</v>
      </c>
      <c r="I1743" s="2" t="s">
        <v>501</v>
      </c>
      <c r="J1743" s="2" t="s">
        <v>234</v>
      </c>
      <c r="K1743" s="2" t="s">
        <v>82</v>
      </c>
      <c r="L1743" s="2" t="s">
        <v>1476</v>
      </c>
      <c r="M1743" s="2" t="s">
        <v>30</v>
      </c>
      <c r="N1743" s="2" t="s">
        <v>63</v>
      </c>
      <c r="O1743" s="2" t="s">
        <v>1477</v>
      </c>
      <c r="P1743" s="4">
        <v>67.230699999999999</v>
      </c>
      <c r="Q1743" s="4">
        <v>4</v>
      </c>
      <c r="R1743" s="4">
        <v>-17.208400000000001</v>
      </c>
      <c r="S1743" s="2" t="s">
        <v>107</v>
      </c>
      <c r="T1743" s="2" t="s">
        <v>133</v>
      </c>
    </row>
    <row r="1744" spans="1:20" x14ac:dyDescent="0.25">
      <c r="A1744" s="2" t="s">
        <v>2941</v>
      </c>
      <c r="B1744" s="3">
        <v>43005</v>
      </c>
      <c r="C1744" s="3">
        <v>43007</v>
      </c>
      <c r="D1744" s="2" t="s">
        <v>21</v>
      </c>
      <c r="E1744" s="2" t="s">
        <v>1413</v>
      </c>
      <c r="F1744" s="2" t="s">
        <v>1414</v>
      </c>
      <c r="G1744" s="2" t="s">
        <v>24</v>
      </c>
      <c r="H1744" s="2" t="s">
        <v>25</v>
      </c>
      <c r="I1744" s="2" t="s">
        <v>398</v>
      </c>
      <c r="J1744" s="2" t="s">
        <v>251</v>
      </c>
      <c r="K1744" s="2" t="s">
        <v>147</v>
      </c>
      <c r="L1744" s="2" t="s">
        <v>113</v>
      </c>
      <c r="M1744" s="2" t="s">
        <v>30</v>
      </c>
      <c r="N1744" s="2" t="s">
        <v>31</v>
      </c>
      <c r="O1744" s="2" t="s">
        <v>114</v>
      </c>
      <c r="P1744" s="4">
        <v>35.352600000000002</v>
      </c>
      <c r="Q1744" s="4">
        <v>3</v>
      </c>
      <c r="R1744" s="4">
        <v>1.4238999999999999</v>
      </c>
      <c r="S1744" s="2" t="s">
        <v>53</v>
      </c>
      <c r="T1744" s="2" t="s">
        <v>148</v>
      </c>
    </row>
    <row r="1745" spans="1:20" x14ac:dyDescent="0.25">
      <c r="A1745" s="2" t="s">
        <v>2942</v>
      </c>
      <c r="B1745" s="3">
        <v>42137</v>
      </c>
      <c r="C1745" s="3">
        <v>42137</v>
      </c>
      <c r="D1745" s="2" t="s">
        <v>55</v>
      </c>
      <c r="E1745" s="2" t="s">
        <v>226</v>
      </c>
      <c r="F1745" s="2" t="s">
        <v>227</v>
      </c>
      <c r="G1745" s="2" t="s">
        <v>58</v>
      </c>
      <c r="H1745" s="2" t="s">
        <v>25</v>
      </c>
      <c r="I1745" s="2" t="s">
        <v>343</v>
      </c>
      <c r="J1745" s="2" t="s">
        <v>153</v>
      </c>
      <c r="K1745" s="2" t="s">
        <v>147</v>
      </c>
      <c r="L1745" s="2" t="s">
        <v>41</v>
      </c>
      <c r="M1745" s="2" t="s">
        <v>30</v>
      </c>
      <c r="N1745" s="2" t="s">
        <v>42</v>
      </c>
      <c r="O1745" s="2" t="s">
        <v>43</v>
      </c>
      <c r="P1745" s="4">
        <v>263.86750000000001</v>
      </c>
      <c r="Q1745" s="4">
        <v>3</v>
      </c>
      <c r="R1745" s="4">
        <v>-91.1661</v>
      </c>
      <c r="S1745" s="2" t="s">
        <v>121</v>
      </c>
      <c r="T1745" s="2" t="s">
        <v>122</v>
      </c>
    </row>
    <row r="1746" spans="1:20" x14ac:dyDescent="0.25">
      <c r="A1746" s="2" t="s">
        <v>2943</v>
      </c>
      <c r="B1746" s="3">
        <v>42183</v>
      </c>
      <c r="C1746" s="3">
        <v>42190</v>
      </c>
      <c r="D1746" s="2" t="s">
        <v>55</v>
      </c>
      <c r="E1746" s="2" t="s">
        <v>1976</v>
      </c>
      <c r="F1746" s="2" t="s">
        <v>1977</v>
      </c>
      <c r="G1746" s="2" t="s">
        <v>24</v>
      </c>
      <c r="H1746" s="2" t="s">
        <v>25</v>
      </c>
      <c r="I1746" s="2" t="s">
        <v>382</v>
      </c>
      <c r="J1746" s="2" t="s">
        <v>192</v>
      </c>
      <c r="K1746" s="2" t="s">
        <v>82</v>
      </c>
      <c r="L1746" s="2" t="s">
        <v>154</v>
      </c>
      <c r="M1746" s="2" t="s">
        <v>30</v>
      </c>
      <c r="N1746" s="2" t="s">
        <v>42</v>
      </c>
      <c r="O1746" s="2" t="s">
        <v>155</v>
      </c>
      <c r="P1746" s="4">
        <v>223.61349999999999</v>
      </c>
      <c r="Q1746" s="4">
        <v>4</v>
      </c>
      <c r="R1746" s="4">
        <v>-50.501199999999997</v>
      </c>
      <c r="S1746" s="2" t="s">
        <v>107</v>
      </c>
      <c r="T1746" s="2" t="s">
        <v>133</v>
      </c>
    </row>
    <row r="1747" spans="1:20" x14ac:dyDescent="0.25">
      <c r="A1747" s="2" t="s">
        <v>2944</v>
      </c>
      <c r="B1747" s="3">
        <v>43083</v>
      </c>
      <c r="C1747" s="3">
        <v>43083</v>
      </c>
      <c r="D1747" s="2" t="s">
        <v>48</v>
      </c>
      <c r="E1747" s="2" t="s">
        <v>1794</v>
      </c>
      <c r="F1747" s="2" t="s">
        <v>1795</v>
      </c>
      <c r="G1747" s="2" t="s">
        <v>38</v>
      </c>
      <c r="H1747" s="2" t="s">
        <v>25</v>
      </c>
      <c r="I1747" s="2" t="s">
        <v>760</v>
      </c>
      <c r="J1747" s="2" t="s">
        <v>112</v>
      </c>
      <c r="K1747" s="2" t="s">
        <v>28</v>
      </c>
      <c r="L1747" s="2" t="s">
        <v>83</v>
      </c>
      <c r="M1747" s="2" t="s">
        <v>30</v>
      </c>
      <c r="N1747" s="2" t="s">
        <v>42</v>
      </c>
      <c r="O1747" s="2" t="s">
        <v>84</v>
      </c>
      <c r="P1747" s="4">
        <v>593.03989999999999</v>
      </c>
      <c r="Q1747" s="4">
        <v>2</v>
      </c>
      <c r="R1747" s="4">
        <v>153.5455</v>
      </c>
      <c r="S1747" s="2" t="s">
        <v>121</v>
      </c>
      <c r="T1747" s="2" t="s">
        <v>76</v>
      </c>
    </row>
    <row r="1748" spans="1:20" x14ac:dyDescent="0.25">
      <c r="A1748" s="2" t="s">
        <v>2945</v>
      </c>
      <c r="B1748" s="3">
        <v>42123</v>
      </c>
      <c r="C1748" s="3">
        <v>42125</v>
      </c>
      <c r="D1748" s="2" t="s">
        <v>55</v>
      </c>
      <c r="E1748" s="2" t="s">
        <v>1821</v>
      </c>
      <c r="F1748" s="2" t="s">
        <v>1822</v>
      </c>
      <c r="G1748" s="2" t="s">
        <v>58</v>
      </c>
      <c r="H1748" s="2" t="s">
        <v>25</v>
      </c>
      <c r="I1748" s="2" t="s">
        <v>59</v>
      </c>
      <c r="J1748" s="2" t="s">
        <v>60</v>
      </c>
      <c r="K1748" s="2" t="s">
        <v>61</v>
      </c>
      <c r="L1748" s="2" t="s">
        <v>29</v>
      </c>
      <c r="M1748" s="2" t="s">
        <v>30</v>
      </c>
      <c r="N1748" s="2" t="s">
        <v>31</v>
      </c>
      <c r="O1748" s="2" t="s">
        <v>32</v>
      </c>
      <c r="P1748" s="4">
        <v>172.57320000000001</v>
      </c>
      <c r="Q1748" s="4">
        <v>4</v>
      </c>
      <c r="R1748" s="4">
        <v>-10.964399999999999</v>
      </c>
      <c r="S1748" s="2" t="s">
        <v>53</v>
      </c>
      <c r="T1748" s="2" t="s">
        <v>108</v>
      </c>
    </row>
    <row r="1749" spans="1:20" x14ac:dyDescent="0.25">
      <c r="A1749" s="2" t="s">
        <v>2945</v>
      </c>
      <c r="B1749" s="3">
        <v>42123</v>
      </c>
      <c r="C1749" s="3">
        <v>42125</v>
      </c>
      <c r="D1749" s="2" t="s">
        <v>55</v>
      </c>
      <c r="E1749" s="2" t="s">
        <v>1821</v>
      </c>
      <c r="F1749" s="2" t="s">
        <v>1822</v>
      </c>
      <c r="G1749" s="2" t="s">
        <v>58</v>
      </c>
      <c r="H1749" s="2" t="s">
        <v>25</v>
      </c>
      <c r="I1749" s="2" t="s">
        <v>59</v>
      </c>
      <c r="J1749" s="2" t="s">
        <v>60</v>
      </c>
      <c r="K1749" s="2" t="s">
        <v>61</v>
      </c>
      <c r="L1749" s="2" t="s">
        <v>252</v>
      </c>
      <c r="M1749" s="2" t="s">
        <v>30</v>
      </c>
      <c r="N1749" s="2" t="s">
        <v>31</v>
      </c>
      <c r="O1749" s="2" t="s">
        <v>253</v>
      </c>
      <c r="P1749" s="4">
        <v>12.837400000000001</v>
      </c>
      <c r="Q1749" s="4">
        <v>7</v>
      </c>
      <c r="R1749" s="4">
        <v>2.7134999999999998</v>
      </c>
      <c r="S1749" s="2" t="s">
        <v>53</v>
      </c>
      <c r="T1749" s="2" t="s">
        <v>108</v>
      </c>
    </row>
    <row r="1750" spans="1:20" x14ac:dyDescent="0.25">
      <c r="A1750" s="2" t="s">
        <v>2945</v>
      </c>
      <c r="B1750" s="3">
        <v>42123</v>
      </c>
      <c r="C1750" s="3">
        <v>42125</v>
      </c>
      <c r="D1750" s="2" t="s">
        <v>55</v>
      </c>
      <c r="E1750" s="2" t="s">
        <v>1821</v>
      </c>
      <c r="F1750" s="2" t="s">
        <v>1822</v>
      </c>
      <c r="G1750" s="2" t="s">
        <v>58</v>
      </c>
      <c r="H1750" s="2" t="s">
        <v>25</v>
      </c>
      <c r="I1750" s="2" t="s">
        <v>59</v>
      </c>
      <c r="J1750" s="2" t="s">
        <v>60</v>
      </c>
      <c r="K1750" s="2" t="s">
        <v>61</v>
      </c>
      <c r="L1750" s="2" t="s">
        <v>890</v>
      </c>
      <c r="M1750" s="2" t="s">
        <v>30</v>
      </c>
      <c r="N1750" s="2" t="s">
        <v>63</v>
      </c>
      <c r="O1750" s="2" t="s">
        <v>891</v>
      </c>
      <c r="P1750" s="4">
        <v>287.12049999999999</v>
      </c>
      <c r="Q1750" s="4">
        <v>3</v>
      </c>
      <c r="R1750" s="4">
        <v>35.9191</v>
      </c>
      <c r="S1750" s="2" t="s">
        <v>53</v>
      </c>
      <c r="T1750" s="2" t="s">
        <v>108</v>
      </c>
    </row>
    <row r="1751" spans="1:20" x14ac:dyDescent="0.25">
      <c r="A1751" s="2" t="s">
        <v>2946</v>
      </c>
      <c r="B1751" s="3">
        <v>42956</v>
      </c>
      <c r="C1751" s="3">
        <v>42960</v>
      </c>
      <c r="D1751" s="2" t="s">
        <v>55</v>
      </c>
      <c r="E1751" s="2" t="s">
        <v>319</v>
      </c>
      <c r="F1751" s="2" t="s">
        <v>320</v>
      </c>
      <c r="G1751" s="2" t="s">
        <v>38</v>
      </c>
      <c r="H1751" s="2" t="s">
        <v>25</v>
      </c>
      <c r="I1751" s="2" t="s">
        <v>495</v>
      </c>
      <c r="J1751" s="2" t="s">
        <v>496</v>
      </c>
      <c r="K1751" s="2" t="s">
        <v>147</v>
      </c>
      <c r="L1751" s="2" t="s">
        <v>207</v>
      </c>
      <c r="M1751" s="2" t="s">
        <v>30</v>
      </c>
      <c r="N1751" s="2" t="s">
        <v>31</v>
      </c>
      <c r="O1751" s="2" t="s">
        <v>208</v>
      </c>
      <c r="P1751" s="4">
        <v>135.2801</v>
      </c>
      <c r="Q1751" s="4">
        <v>1</v>
      </c>
      <c r="R1751" s="4">
        <v>1.0599000000000001</v>
      </c>
      <c r="S1751" s="2" t="s">
        <v>75</v>
      </c>
      <c r="T1751" s="2" t="s">
        <v>34</v>
      </c>
    </row>
    <row r="1752" spans="1:20" x14ac:dyDescent="0.25">
      <c r="A1752" s="2" t="s">
        <v>2947</v>
      </c>
      <c r="B1752" s="3">
        <v>41756</v>
      </c>
      <c r="C1752" s="3">
        <v>41759</v>
      </c>
      <c r="D1752" s="2" t="s">
        <v>21</v>
      </c>
      <c r="E1752" s="2" t="s">
        <v>2362</v>
      </c>
      <c r="F1752" s="2" t="s">
        <v>2363</v>
      </c>
      <c r="G1752" s="2" t="s">
        <v>38</v>
      </c>
      <c r="H1752" s="2" t="s">
        <v>25</v>
      </c>
      <c r="I1752" s="2" t="s">
        <v>371</v>
      </c>
      <c r="J1752" s="2" t="s">
        <v>127</v>
      </c>
      <c r="K1752" s="2" t="s">
        <v>82</v>
      </c>
      <c r="L1752" s="2" t="s">
        <v>323</v>
      </c>
      <c r="M1752" s="2" t="s">
        <v>30</v>
      </c>
      <c r="N1752" s="2" t="s">
        <v>31</v>
      </c>
      <c r="O1752" s="2" t="s">
        <v>324</v>
      </c>
      <c r="P1752" s="4">
        <v>7.7278000000000002</v>
      </c>
      <c r="Q1752" s="4">
        <v>3</v>
      </c>
      <c r="R1752" s="4">
        <v>0.87970000000000004</v>
      </c>
      <c r="S1752" s="2" t="s">
        <v>92</v>
      </c>
      <c r="T1752" s="2" t="s">
        <v>108</v>
      </c>
    </row>
    <row r="1753" spans="1:20" x14ac:dyDescent="0.25">
      <c r="A1753" s="2" t="s">
        <v>2948</v>
      </c>
      <c r="B1753" s="3">
        <v>42454</v>
      </c>
      <c r="C1753" s="3">
        <v>42461</v>
      </c>
      <c r="D1753" s="2" t="s">
        <v>55</v>
      </c>
      <c r="E1753" s="2" t="s">
        <v>990</v>
      </c>
      <c r="F1753" s="2" t="s">
        <v>991</v>
      </c>
      <c r="G1753" s="2" t="s">
        <v>58</v>
      </c>
      <c r="H1753" s="2" t="s">
        <v>25</v>
      </c>
      <c r="I1753" s="2" t="s">
        <v>1697</v>
      </c>
      <c r="J1753" s="2" t="s">
        <v>52</v>
      </c>
      <c r="K1753" s="2" t="s">
        <v>28</v>
      </c>
      <c r="L1753" s="2" t="s">
        <v>323</v>
      </c>
      <c r="M1753" s="2" t="s">
        <v>30</v>
      </c>
      <c r="N1753" s="2" t="s">
        <v>31</v>
      </c>
      <c r="O1753" s="2" t="s">
        <v>324</v>
      </c>
      <c r="P1753" s="4">
        <v>67.984200000000001</v>
      </c>
      <c r="Q1753" s="4">
        <v>2</v>
      </c>
      <c r="R1753" s="4">
        <v>12.585900000000001</v>
      </c>
      <c r="S1753" s="2" t="s">
        <v>107</v>
      </c>
      <c r="T1753" s="2" t="s">
        <v>44</v>
      </c>
    </row>
    <row r="1754" spans="1:20" x14ac:dyDescent="0.25">
      <c r="A1754" s="2" t="s">
        <v>2949</v>
      </c>
      <c r="B1754" s="3">
        <v>41749</v>
      </c>
      <c r="C1754" s="3">
        <v>41750</v>
      </c>
      <c r="D1754" s="2" t="s">
        <v>55</v>
      </c>
      <c r="E1754" s="2" t="s">
        <v>1876</v>
      </c>
      <c r="F1754" s="2" t="s">
        <v>1877</v>
      </c>
      <c r="G1754" s="2" t="s">
        <v>38</v>
      </c>
      <c r="H1754" s="2" t="s">
        <v>25</v>
      </c>
      <c r="I1754" s="2" t="s">
        <v>1212</v>
      </c>
      <c r="J1754" s="2" t="s">
        <v>496</v>
      </c>
      <c r="K1754" s="2" t="s">
        <v>147</v>
      </c>
      <c r="L1754" s="2" t="s">
        <v>73</v>
      </c>
      <c r="M1754" s="2" t="s">
        <v>30</v>
      </c>
      <c r="N1754" s="2" t="s">
        <v>42</v>
      </c>
      <c r="O1754" s="2" t="s">
        <v>74</v>
      </c>
      <c r="P1754" s="4">
        <v>344.38029999999998</v>
      </c>
      <c r="Q1754" s="4">
        <v>3</v>
      </c>
      <c r="R1754" s="4">
        <v>56.627099999999999</v>
      </c>
      <c r="S1754" s="2" t="s">
        <v>33</v>
      </c>
      <c r="T1754" s="2" t="s">
        <v>108</v>
      </c>
    </row>
    <row r="1755" spans="1:20" x14ac:dyDescent="0.25">
      <c r="A1755" s="2" t="s">
        <v>2950</v>
      </c>
      <c r="B1755" s="3">
        <v>42904</v>
      </c>
      <c r="C1755" s="3">
        <v>42905</v>
      </c>
      <c r="D1755" s="2" t="s">
        <v>48</v>
      </c>
      <c r="E1755" s="2" t="s">
        <v>904</v>
      </c>
      <c r="F1755" s="2" t="s">
        <v>905</v>
      </c>
      <c r="G1755" s="2" t="s">
        <v>58</v>
      </c>
      <c r="H1755" s="2" t="s">
        <v>25</v>
      </c>
      <c r="I1755" s="2" t="s">
        <v>159</v>
      </c>
      <c r="J1755" s="2" t="s">
        <v>160</v>
      </c>
      <c r="K1755" s="2" t="s">
        <v>61</v>
      </c>
      <c r="L1755" s="2" t="s">
        <v>344</v>
      </c>
      <c r="M1755" s="2" t="s">
        <v>30</v>
      </c>
      <c r="N1755" s="2" t="s">
        <v>42</v>
      </c>
      <c r="O1755" s="2" t="s">
        <v>345</v>
      </c>
      <c r="P1755" s="4">
        <v>379.90980000000002</v>
      </c>
      <c r="Q1755" s="4">
        <v>2</v>
      </c>
      <c r="R1755" s="4">
        <v>79.682199999999995</v>
      </c>
      <c r="S1755" s="2" t="s">
        <v>33</v>
      </c>
      <c r="T1755" s="2" t="s">
        <v>133</v>
      </c>
    </row>
    <row r="1756" spans="1:20" x14ac:dyDescent="0.25">
      <c r="A1756" s="2" t="s">
        <v>2950</v>
      </c>
      <c r="B1756" s="3">
        <v>42904</v>
      </c>
      <c r="C1756" s="3">
        <v>42905</v>
      </c>
      <c r="D1756" s="2" t="s">
        <v>48</v>
      </c>
      <c r="E1756" s="2" t="s">
        <v>904</v>
      </c>
      <c r="F1756" s="2" t="s">
        <v>905</v>
      </c>
      <c r="G1756" s="2" t="s">
        <v>58</v>
      </c>
      <c r="H1756" s="2" t="s">
        <v>25</v>
      </c>
      <c r="I1756" s="2" t="s">
        <v>159</v>
      </c>
      <c r="J1756" s="2" t="s">
        <v>160</v>
      </c>
      <c r="K1756" s="2" t="s">
        <v>61</v>
      </c>
      <c r="L1756" s="2" t="s">
        <v>207</v>
      </c>
      <c r="M1756" s="2" t="s">
        <v>30</v>
      </c>
      <c r="N1756" s="2" t="s">
        <v>31</v>
      </c>
      <c r="O1756" s="2" t="s">
        <v>208</v>
      </c>
      <c r="P1756" s="4">
        <v>30.3475</v>
      </c>
      <c r="Q1756" s="4">
        <v>3</v>
      </c>
      <c r="R1756" s="4">
        <v>-5.8101000000000003</v>
      </c>
      <c r="S1756" s="2" t="s">
        <v>33</v>
      </c>
      <c r="T1756" s="2" t="s">
        <v>133</v>
      </c>
    </row>
    <row r="1757" spans="1:20" x14ac:dyDescent="0.25">
      <c r="A1757" s="2" t="s">
        <v>2951</v>
      </c>
      <c r="B1757" s="3">
        <v>41715</v>
      </c>
      <c r="C1757" s="3">
        <v>41717</v>
      </c>
      <c r="D1757" s="2" t="s">
        <v>55</v>
      </c>
      <c r="E1757" s="2" t="s">
        <v>231</v>
      </c>
      <c r="F1757" s="2" t="s">
        <v>232</v>
      </c>
      <c r="G1757" s="2" t="s">
        <v>58</v>
      </c>
      <c r="H1757" s="2" t="s">
        <v>25</v>
      </c>
      <c r="I1757" s="2" t="s">
        <v>80</v>
      </c>
      <c r="J1757" s="2" t="s">
        <v>81</v>
      </c>
      <c r="K1757" s="2" t="s">
        <v>82</v>
      </c>
      <c r="L1757" s="2" t="s">
        <v>131</v>
      </c>
      <c r="M1757" s="2" t="s">
        <v>30</v>
      </c>
      <c r="N1757" s="2" t="s">
        <v>31</v>
      </c>
      <c r="O1757" s="2" t="s">
        <v>132</v>
      </c>
      <c r="P1757" s="4">
        <v>53.047899999999998</v>
      </c>
      <c r="Q1757" s="4">
        <v>3</v>
      </c>
      <c r="R1757" s="4">
        <v>-4.0777000000000001</v>
      </c>
      <c r="S1757" s="2" t="s">
        <v>53</v>
      </c>
      <c r="T1757" s="2" t="s">
        <v>44</v>
      </c>
    </row>
    <row r="1758" spans="1:20" x14ac:dyDescent="0.25">
      <c r="A1758" s="2" t="s">
        <v>2952</v>
      </c>
      <c r="B1758" s="3">
        <v>42706</v>
      </c>
      <c r="C1758" s="3">
        <v>42706</v>
      </c>
      <c r="D1758" s="2" t="s">
        <v>55</v>
      </c>
      <c r="E1758" s="2" t="s">
        <v>1142</v>
      </c>
      <c r="F1758" s="2" t="s">
        <v>1143</v>
      </c>
      <c r="G1758" s="2" t="s">
        <v>38</v>
      </c>
      <c r="H1758" s="2" t="s">
        <v>25</v>
      </c>
      <c r="I1758" s="2" t="s">
        <v>434</v>
      </c>
      <c r="J1758" s="2" t="s">
        <v>435</v>
      </c>
      <c r="K1758" s="2" t="s">
        <v>61</v>
      </c>
      <c r="L1758" s="2" t="s">
        <v>235</v>
      </c>
      <c r="M1758" s="2" t="s">
        <v>30</v>
      </c>
      <c r="N1758" s="2" t="s">
        <v>31</v>
      </c>
      <c r="O1758" s="2" t="s">
        <v>236</v>
      </c>
      <c r="P1758" s="4">
        <v>7.3312999999999997</v>
      </c>
      <c r="Q1758" s="4">
        <v>2</v>
      </c>
      <c r="R1758" s="4">
        <v>-1.0844</v>
      </c>
      <c r="S1758" s="2" t="s">
        <v>121</v>
      </c>
      <c r="T1758" s="2" t="s">
        <v>76</v>
      </c>
    </row>
    <row r="1759" spans="1:20" x14ac:dyDescent="0.25">
      <c r="A1759" s="2" t="s">
        <v>2953</v>
      </c>
      <c r="B1759" s="3">
        <v>42714</v>
      </c>
      <c r="C1759" s="3">
        <v>42720</v>
      </c>
      <c r="D1759" s="2" t="s">
        <v>55</v>
      </c>
      <c r="E1759" s="2" t="s">
        <v>600</v>
      </c>
      <c r="F1759" s="2" t="s">
        <v>601</v>
      </c>
      <c r="G1759" s="2" t="s">
        <v>24</v>
      </c>
      <c r="H1759" s="2" t="s">
        <v>25</v>
      </c>
      <c r="I1759" s="2" t="s">
        <v>1184</v>
      </c>
      <c r="J1759" s="2" t="s">
        <v>435</v>
      </c>
      <c r="K1759" s="2" t="s">
        <v>61</v>
      </c>
      <c r="L1759" s="2" t="s">
        <v>29</v>
      </c>
      <c r="M1759" s="2" t="s">
        <v>30</v>
      </c>
      <c r="N1759" s="2" t="s">
        <v>31</v>
      </c>
      <c r="O1759" s="2" t="s">
        <v>32</v>
      </c>
      <c r="P1759" s="4">
        <v>87.851799999999997</v>
      </c>
      <c r="Q1759" s="4">
        <v>2</v>
      </c>
      <c r="R1759" s="4">
        <v>32.889400000000002</v>
      </c>
      <c r="S1759" s="2" t="s">
        <v>65</v>
      </c>
      <c r="T1759" s="2" t="s">
        <v>76</v>
      </c>
    </row>
    <row r="1760" spans="1:20" x14ac:dyDescent="0.25">
      <c r="A1760" s="2" t="s">
        <v>2954</v>
      </c>
      <c r="B1760" s="3">
        <v>42036</v>
      </c>
      <c r="C1760" s="3">
        <v>42037</v>
      </c>
      <c r="D1760" s="2" t="s">
        <v>21</v>
      </c>
      <c r="E1760" s="2" t="s">
        <v>2230</v>
      </c>
      <c r="F1760" s="2" t="s">
        <v>2231</v>
      </c>
      <c r="G1760" s="2" t="s">
        <v>38</v>
      </c>
      <c r="H1760" s="2" t="s">
        <v>25</v>
      </c>
      <c r="I1760" s="2" t="s">
        <v>355</v>
      </c>
      <c r="J1760" s="2" t="s">
        <v>356</v>
      </c>
      <c r="K1760" s="2" t="s">
        <v>147</v>
      </c>
      <c r="L1760" s="2" t="s">
        <v>186</v>
      </c>
      <c r="M1760" s="2" t="s">
        <v>30</v>
      </c>
      <c r="N1760" s="2" t="s">
        <v>31</v>
      </c>
      <c r="O1760" s="2" t="s">
        <v>187</v>
      </c>
      <c r="P1760" s="4">
        <v>63.503900000000002</v>
      </c>
      <c r="Q1760" s="4">
        <v>2</v>
      </c>
      <c r="R1760" s="4">
        <v>-2.1800999999999999</v>
      </c>
      <c r="S1760" s="2" t="s">
        <v>33</v>
      </c>
      <c r="T1760" s="2" t="s">
        <v>101</v>
      </c>
    </row>
    <row r="1761" spans="1:20" x14ac:dyDescent="0.25">
      <c r="A1761" s="2" t="s">
        <v>2955</v>
      </c>
      <c r="B1761" s="3">
        <v>41902</v>
      </c>
      <c r="C1761" s="3">
        <v>41905</v>
      </c>
      <c r="D1761" s="2" t="s">
        <v>55</v>
      </c>
      <c r="E1761" s="2" t="s">
        <v>687</v>
      </c>
      <c r="F1761" s="2" t="s">
        <v>688</v>
      </c>
      <c r="G1761" s="2" t="s">
        <v>38</v>
      </c>
      <c r="H1761" s="2" t="s">
        <v>25</v>
      </c>
      <c r="I1761" s="2" t="s">
        <v>662</v>
      </c>
      <c r="J1761" s="2" t="s">
        <v>310</v>
      </c>
      <c r="K1761" s="2" t="s">
        <v>28</v>
      </c>
      <c r="L1761" s="2" t="s">
        <v>245</v>
      </c>
      <c r="M1761" s="2" t="s">
        <v>30</v>
      </c>
      <c r="N1761" s="2" t="s">
        <v>42</v>
      </c>
      <c r="O1761" s="2" t="s">
        <v>246</v>
      </c>
      <c r="P1761" s="4">
        <v>865.98429999999996</v>
      </c>
      <c r="Q1761" s="4">
        <v>6</v>
      </c>
      <c r="R1761" s="4">
        <v>51.292400000000001</v>
      </c>
      <c r="S1761" s="2" t="s">
        <v>92</v>
      </c>
      <c r="T1761" s="2" t="s">
        <v>148</v>
      </c>
    </row>
    <row r="1762" spans="1:20" x14ac:dyDescent="0.25">
      <c r="A1762" s="2" t="s">
        <v>2956</v>
      </c>
      <c r="B1762" s="3">
        <v>42745</v>
      </c>
      <c r="C1762" s="3">
        <v>42746</v>
      </c>
      <c r="D1762" s="2" t="s">
        <v>55</v>
      </c>
      <c r="E1762" s="2" t="s">
        <v>426</v>
      </c>
      <c r="F1762" s="2" t="s">
        <v>427</v>
      </c>
      <c r="G1762" s="2" t="s">
        <v>58</v>
      </c>
      <c r="H1762" s="2" t="s">
        <v>25</v>
      </c>
      <c r="I1762" s="2" t="s">
        <v>97</v>
      </c>
      <c r="J1762" s="2" t="s">
        <v>112</v>
      </c>
      <c r="K1762" s="2" t="s">
        <v>28</v>
      </c>
      <c r="L1762" s="2" t="s">
        <v>174</v>
      </c>
      <c r="M1762" s="2" t="s">
        <v>30</v>
      </c>
      <c r="N1762" s="2" t="s">
        <v>31</v>
      </c>
      <c r="O1762" s="2" t="s">
        <v>175</v>
      </c>
      <c r="P1762" s="4">
        <v>125.96469999999999</v>
      </c>
      <c r="Q1762" s="4">
        <v>3</v>
      </c>
      <c r="R1762" s="4">
        <v>62.698799999999999</v>
      </c>
      <c r="S1762" s="2" t="s">
        <v>33</v>
      </c>
      <c r="T1762" s="2" t="s">
        <v>115</v>
      </c>
    </row>
    <row r="1763" spans="1:20" x14ac:dyDescent="0.25">
      <c r="A1763" s="2" t="s">
        <v>2956</v>
      </c>
      <c r="B1763" s="3">
        <v>42745</v>
      </c>
      <c r="C1763" s="3">
        <v>42746</v>
      </c>
      <c r="D1763" s="2" t="s">
        <v>55</v>
      </c>
      <c r="E1763" s="2" t="s">
        <v>426</v>
      </c>
      <c r="F1763" s="2" t="s">
        <v>427</v>
      </c>
      <c r="G1763" s="2" t="s">
        <v>58</v>
      </c>
      <c r="H1763" s="2" t="s">
        <v>25</v>
      </c>
      <c r="I1763" s="2" t="s">
        <v>97</v>
      </c>
      <c r="J1763" s="2" t="s">
        <v>112</v>
      </c>
      <c r="K1763" s="2" t="s">
        <v>28</v>
      </c>
      <c r="L1763" s="2" t="s">
        <v>139</v>
      </c>
      <c r="M1763" s="2" t="s">
        <v>30</v>
      </c>
      <c r="N1763" s="2" t="s">
        <v>42</v>
      </c>
      <c r="O1763" s="2" t="s">
        <v>140</v>
      </c>
      <c r="P1763" s="4">
        <v>299.2826</v>
      </c>
      <c r="Q1763" s="4">
        <v>1</v>
      </c>
      <c r="R1763" s="4">
        <v>20.5198</v>
      </c>
      <c r="S1763" s="2" t="s">
        <v>33</v>
      </c>
      <c r="T1763" s="2" t="s">
        <v>115</v>
      </c>
    </row>
    <row r="1764" spans="1:20" x14ac:dyDescent="0.25">
      <c r="A1764" s="2" t="s">
        <v>2957</v>
      </c>
      <c r="B1764" s="3">
        <v>41750</v>
      </c>
      <c r="C1764" s="3">
        <v>41754</v>
      </c>
      <c r="D1764" s="2" t="s">
        <v>55</v>
      </c>
      <c r="E1764" s="2" t="s">
        <v>814</v>
      </c>
      <c r="F1764" s="2" t="s">
        <v>815</v>
      </c>
      <c r="G1764" s="2" t="s">
        <v>58</v>
      </c>
      <c r="H1764" s="2" t="s">
        <v>25</v>
      </c>
      <c r="I1764" s="2" t="s">
        <v>662</v>
      </c>
      <c r="J1764" s="2" t="s">
        <v>310</v>
      </c>
      <c r="K1764" s="2" t="s">
        <v>28</v>
      </c>
      <c r="L1764" s="2" t="s">
        <v>174</v>
      </c>
      <c r="M1764" s="2" t="s">
        <v>30</v>
      </c>
      <c r="N1764" s="2" t="s">
        <v>31</v>
      </c>
      <c r="O1764" s="2" t="s">
        <v>175</v>
      </c>
      <c r="P1764" s="4">
        <v>33.750799999999998</v>
      </c>
      <c r="Q1764" s="4">
        <v>5</v>
      </c>
      <c r="R1764" s="4">
        <v>15.6257</v>
      </c>
      <c r="S1764" s="2" t="s">
        <v>75</v>
      </c>
      <c r="T1764" s="2" t="s">
        <v>108</v>
      </c>
    </row>
    <row r="1765" spans="1:20" x14ac:dyDescent="0.25">
      <c r="A1765" s="2" t="s">
        <v>2958</v>
      </c>
      <c r="B1765" s="3">
        <v>42547</v>
      </c>
      <c r="C1765" s="3">
        <v>42551</v>
      </c>
      <c r="D1765" s="2" t="s">
        <v>55</v>
      </c>
      <c r="E1765" s="2" t="s">
        <v>2149</v>
      </c>
      <c r="F1765" s="2" t="s">
        <v>2150</v>
      </c>
      <c r="G1765" s="2" t="s">
        <v>58</v>
      </c>
      <c r="H1765" s="2" t="s">
        <v>25</v>
      </c>
      <c r="I1765" s="2" t="s">
        <v>847</v>
      </c>
      <c r="J1765" s="2" t="s">
        <v>728</v>
      </c>
      <c r="K1765" s="2" t="s">
        <v>147</v>
      </c>
      <c r="L1765" s="2" t="s">
        <v>252</v>
      </c>
      <c r="M1765" s="2" t="s">
        <v>30</v>
      </c>
      <c r="N1765" s="2" t="s">
        <v>31</v>
      </c>
      <c r="O1765" s="2" t="s">
        <v>253</v>
      </c>
      <c r="P1765" s="4">
        <v>253.80779999999999</v>
      </c>
      <c r="Q1765" s="4">
        <v>4</v>
      </c>
      <c r="R1765" s="4">
        <v>-27.196400000000001</v>
      </c>
      <c r="S1765" s="2" t="s">
        <v>75</v>
      </c>
      <c r="T1765" s="2" t="s">
        <v>133</v>
      </c>
    </row>
    <row r="1766" spans="1:20" x14ac:dyDescent="0.25">
      <c r="A1766" s="2" t="s">
        <v>2959</v>
      </c>
      <c r="B1766" s="3">
        <v>42341</v>
      </c>
      <c r="C1766" s="3">
        <v>42345</v>
      </c>
      <c r="D1766" s="2" t="s">
        <v>55</v>
      </c>
      <c r="E1766" s="2" t="s">
        <v>607</v>
      </c>
      <c r="F1766" s="2" t="s">
        <v>608</v>
      </c>
      <c r="G1766" s="2" t="s">
        <v>24</v>
      </c>
      <c r="H1766" s="2" t="s">
        <v>25</v>
      </c>
      <c r="I1766" s="2" t="s">
        <v>26</v>
      </c>
      <c r="J1766" s="2" t="s">
        <v>27</v>
      </c>
      <c r="K1766" s="2" t="s">
        <v>28</v>
      </c>
      <c r="L1766" s="2" t="s">
        <v>839</v>
      </c>
      <c r="M1766" s="2" t="s">
        <v>30</v>
      </c>
      <c r="N1766" s="2" t="s">
        <v>63</v>
      </c>
      <c r="O1766" s="2" t="s">
        <v>840</v>
      </c>
      <c r="P1766" s="4">
        <v>210.52070000000001</v>
      </c>
      <c r="Q1766" s="4">
        <v>3</v>
      </c>
      <c r="R1766" s="4">
        <v>61.113799999999998</v>
      </c>
      <c r="S1766" s="2" t="s">
        <v>75</v>
      </c>
      <c r="T1766" s="2" t="s">
        <v>76</v>
      </c>
    </row>
    <row r="1767" spans="1:20" x14ac:dyDescent="0.25">
      <c r="A1767" s="2" t="s">
        <v>2960</v>
      </c>
      <c r="B1767" s="3">
        <v>42901</v>
      </c>
      <c r="C1767" s="3">
        <v>42902</v>
      </c>
      <c r="D1767" s="2" t="s">
        <v>48</v>
      </c>
      <c r="E1767" s="2" t="s">
        <v>1166</v>
      </c>
      <c r="F1767" s="2" t="s">
        <v>1167</v>
      </c>
      <c r="G1767" s="2" t="s">
        <v>24</v>
      </c>
      <c r="H1767" s="2" t="s">
        <v>25</v>
      </c>
      <c r="I1767" s="2" t="s">
        <v>223</v>
      </c>
      <c r="J1767" s="2" t="s">
        <v>81</v>
      </c>
      <c r="K1767" s="2" t="s">
        <v>82</v>
      </c>
      <c r="L1767" s="2" t="s">
        <v>344</v>
      </c>
      <c r="M1767" s="2" t="s">
        <v>30</v>
      </c>
      <c r="N1767" s="2" t="s">
        <v>42</v>
      </c>
      <c r="O1767" s="2" t="s">
        <v>345</v>
      </c>
      <c r="P1767" s="4">
        <v>1637.7361000000001</v>
      </c>
      <c r="Q1767" s="4">
        <v>5</v>
      </c>
      <c r="R1767" s="4">
        <v>-337.82940000000002</v>
      </c>
      <c r="S1767" s="2" t="s">
        <v>33</v>
      </c>
      <c r="T1767" s="2" t="s">
        <v>133</v>
      </c>
    </row>
    <row r="1768" spans="1:20" x14ac:dyDescent="0.25">
      <c r="A1768" s="2" t="s">
        <v>2961</v>
      </c>
      <c r="B1768" s="3">
        <v>43026</v>
      </c>
      <c r="C1768" s="3">
        <v>43027</v>
      </c>
      <c r="D1768" s="2" t="s">
        <v>55</v>
      </c>
      <c r="E1768" s="2" t="s">
        <v>1237</v>
      </c>
      <c r="F1768" s="2" t="s">
        <v>1238</v>
      </c>
      <c r="G1768" s="2" t="s">
        <v>58</v>
      </c>
      <c r="H1768" s="2" t="s">
        <v>25</v>
      </c>
      <c r="I1768" s="2" t="s">
        <v>760</v>
      </c>
      <c r="J1768" s="2" t="s">
        <v>112</v>
      </c>
      <c r="K1768" s="2" t="s">
        <v>28</v>
      </c>
      <c r="L1768" s="2" t="s">
        <v>66</v>
      </c>
      <c r="M1768" s="2" t="s">
        <v>30</v>
      </c>
      <c r="N1768" s="2" t="s">
        <v>31</v>
      </c>
      <c r="O1768" s="2" t="s">
        <v>67</v>
      </c>
      <c r="P1768" s="4">
        <v>326.00080000000003</v>
      </c>
      <c r="Q1768" s="4">
        <v>7</v>
      </c>
      <c r="R1768" s="4">
        <v>52.506300000000003</v>
      </c>
      <c r="S1768" s="2" t="s">
        <v>33</v>
      </c>
      <c r="T1768" s="2" t="s">
        <v>224</v>
      </c>
    </row>
    <row r="1769" spans="1:20" x14ac:dyDescent="0.25">
      <c r="A1769" s="2" t="s">
        <v>2962</v>
      </c>
      <c r="B1769" s="3">
        <v>42529</v>
      </c>
      <c r="C1769" s="3">
        <v>42532</v>
      </c>
      <c r="D1769" s="2" t="s">
        <v>55</v>
      </c>
      <c r="E1769" s="2" t="s">
        <v>467</v>
      </c>
      <c r="F1769" s="2" t="s">
        <v>468</v>
      </c>
      <c r="G1769" s="2" t="s">
        <v>58</v>
      </c>
      <c r="H1769" s="2" t="s">
        <v>25</v>
      </c>
      <c r="I1769" s="2" t="s">
        <v>527</v>
      </c>
      <c r="J1769" s="2" t="s">
        <v>496</v>
      </c>
      <c r="K1769" s="2" t="s">
        <v>147</v>
      </c>
      <c r="L1769" s="2" t="s">
        <v>45</v>
      </c>
      <c r="M1769" s="2" t="s">
        <v>30</v>
      </c>
      <c r="N1769" s="2" t="s">
        <v>31</v>
      </c>
      <c r="O1769" s="2" t="s">
        <v>46</v>
      </c>
      <c r="P1769" s="4">
        <v>21.369900000000001</v>
      </c>
      <c r="Q1769" s="4">
        <v>3</v>
      </c>
      <c r="R1769" s="4">
        <v>4.6649000000000003</v>
      </c>
      <c r="S1769" s="2" t="s">
        <v>92</v>
      </c>
      <c r="T1769" s="2" t="s">
        <v>133</v>
      </c>
    </row>
    <row r="1770" spans="1:20" x14ac:dyDescent="0.25">
      <c r="A1770" s="2" t="s">
        <v>2963</v>
      </c>
      <c r="B1770" s="3">
        <v>42774</v>
      </c>
      <c r="C1770" s="3">
        <v>42774</v>
      </c>
      <c r="D1770" s="2" t="s">
        <v>55</v>
      </c>
      <c r="E1770" s="2" t="s">
        <v>117</v>
      </c>
      <c r="F1770" s="2" t="s">
        <v>118</v>
      </c>
      <c r="G1770" s="2" t="s">
        <v>58</v>
      </c>
      <c r="H1770" s="2" t="s">
        <v>25</v>
      </c>
      <c r="I1770" s="2" t="s">
        <v>59</v>
      </c>
      <c r="J1770" s="2" t="s">
        <v>60</v>
      </c>
      <c r="K1770" s="2" t="s">
        <v>61</v>
      </c>
      <c r="L1770" s="2" t="s">
        <v>254</v>
      </c>
      <c r="M1770" s="2" t="s">
        <v>30</v>
      </c>
      <c r="N1770" s="2" t="s">
        <v>162</v>
      </c>
      <c r="O1770" s="2" t="s">
        <v>255</v>
      </c>
      <c r="P1770" s="4">
        <v>268.1574</v>
      </c>
      <c r="Q1770" s="4">
        <v>1</v>
      </c>
      <c r="R1770" s="4">
        <v>-167.05789999999999</v>
      </c>
      <c r="S1770" s="2" t="s">
        <v>121</v>
      </c>
      <c r="T1770" s="2" t="s">
        <v>101</v>
      </c>
    </row>
    <row r="1771" spans="1:20" x14ac:dyDescent="0.25">
      <c r="A1771" s="2" t="s">
        <v>2964</v>
      </c>
      <c r="B1771" s="3">
        <v>43012</v>
      </c>
      <c r="C1771" s="3">
        <v>43012</v>
      </c>
      <c r="D1771" s="2" t="s">
        <v>142</v>
      </c>
      <c r="E1771" s="2" t="s">
        <v>2066</v>
      </c>
      <c r="F1771" s="2" t="s">
        <v>2067</v>
      </c>
      <c r="G1771" s="2" t="s">
        <v>58</v>
      </c>
      <c r="H1771" s="2" t="s">
        <v>25</v>
      </c>
      <c r="I1771" s="2" t="s">
        <v>509</v>
      </c>
      <c r="J1771" s="2" t="s">
        <v>356</v>
      </c>
      <c r="K1771" s="2" t="s">
        <v>147</v>
      </c>
      <c r="L1771" s="2" t="s">
        <v>333</v>
      </c>
      <c r="M1771" s="2" t="s">
        <v>30</v>
      </c>
      <c r="N1771" s="2" t="s">
        <v>162</v>
      </c>
      <c r="O1771" s="2" t="s">
        <v>334</v>
      </c>
      <c r="P1771" s="4">
        <v>529.54549999999995</v>
      </c>
      <c r="Q1771" s="4">
        <v>2</v>
      </c>
      <c r="R1771" s="4">
        <v>-114.2111</v>
      </c>
      <c r="S1771" s="2" t="s">
        <v>121</v>
      </c>
      <c r="T1771" s="2" t="s">
        <v>224</v>
      </c>
    </row>
    <row r="1772" spans="1:20" x14ac:dyDescent="0.25">
      <c r="A1772" s="2" t="s">
        <v>2965</v>
      </c>
      <c r="B1772" s="3">
        <v>42681</v>
      </c>
      <c r="C1772" s="3">
        <v>42683</v>
      </c>
      <c r="D1772" s="2" t="s">
        <v>21</v>
      </c>
      <c r="E1772" s="2" t="s">
        <v>2966</v>
      </c>
      <c r="F1772" s="2" t="s">
        <v>2967</v>
      </c>
      <c r="G1772" s="2" t="s">
        <v>58</v>
      </c>
      <c r="H1772" s="2" t="s">
        <v>25</v>
      </c>
      <c r="I1772" s="2" t="s">
        <v>605</v>
      </c>
      <c r="J1772" s="2" t="s">
        <v>424</v>
      </c>
      <c r="K1772" s="2" t="s">
        <v>28</v>
      </c>
      <c r="L1772" s="2" t="s">
        <v>328</v>
      </c>
      <c r="M1772" s="2" t="s">
        <v>30</v>
      </c>
      <c r="N1772" s="2" t="s">
        <v>63</v>
      </c>
      <c r="O1772" s="2" t="s">
        <v>329</v>
      </c>
      <c r="P1772" s="4">
        <v>452.64620000000002</v>
      </c>
      <c r="Q1772" s="4">
        <v>4</v>
      </c>
      <c r="R1772" s="4">
        <v>93.541399999999996</v>
      </c>
      <c r="S1772" s="2" t="s">
        <v>53</v>
      </c>
      <c r="T1772" s="2" t="s">
        <v>93</v>
      </c>
    </row>
    <row r="1773" spans="1:20" x14ac:dyDescent="0.25">
      <c r="A1773" s="2" t="s">
        <v>2968</v>
      </c>
      <c r="B1773" s="3">
        <v>42379</v>
      </c>
      <c r="C1773" s="3">
        <v>42379</v>
      </c>
      <c r="D1773" s="2" t="s">
        <v>21</v>
      </c>
      <c r="E1773" s="2" t="s">
        <v>1886</v>
      </c>
      <c r="F1773" s="2" t="s">
        <v>1887</v>
      </c>
      <c r="G1773" s="2" t="s">
        <v>58</v>
      </c>
      <c r="H1773" s="2" t="s">
        <v>25</v>
      </c>
      <c r="I1773" s="2" t="s">
        <v>682</v>
      </c>
      <c r="J1773" s="2" t="s">
        <v>632</v>
      </c>
      <c r="K1773" s="2" t="s">
        <v>82</v>
      </c>
      <c r="L1773" s="2" t="s">
        <v>283</v>
      </c>
      <c r="M1773" s="2" t="s">
        <v>30</v>
      </c>
      <c r="N1773" s="2" t="s">
        <v>162</v>
      </c>
      <c r="O1773" s="2" t="s">
        <v>284</v>
      </c>
      <c r="P1773" s="4">
        <v>4300</v>
      </c>
      <c r="Q1773" s="4">
        <v>2</v>
      </c>
      <c r="R1773" s="4">
        <v>-544.10599999999999</v>
      </c>
      <c r="S1773" s="2" t="s">
        <v>121</v>
      </c>
      <c r="T1773" s="2" t="s">
        <v>115</v>
      </c>
    </row>
    <row r="1774" spans="1:20" x14ac:dyDescent="0.25">
      <c r="A1774" s="2" t="s">
        <v>2969</v>
      </c>
      <c r="B1774" s="3">
        <v>42728</v>
      </c>
      <c r="C1774" s="3">
        <v>42731</v>
      </c>
      <c r="D1774" s="2" t="s">
        <v>55</v>
      </c>
      <c r="E1774" s="2" t="s">
        <v>904</v>
      </c>
      <c r="F1774" s="2" t="s">
        <v>905</v>
      </c>
      <c r="G1774" s="2" t="s">
        <v>58</v>
      </c>
      <c r="H1774" s="2" t="s">
        <v>25</v>
      </c>
      <c r="I1774" s="2" t="s">
        <v>445</v>
      </c>
      <c r="J1774" s="2" t="s">
        <v>138</v>
      </c>
      <c r="K1774" s="2" t="s">
        <v>82</v>
      </c>
      <c r="L1774" s="2" t="s">
        <v>1476</v>
      </c>
      <c r="M1774" s="2" t="s">
        <v>30</v>
      </c>
      <c r="N1774" s="2" t="s">
        <v>63</v>
      </c>
      <c r="O1774" s="2" t="s">
        <v>1477</v>
      </c>
      <c r="P1774" s="4">
        <v>767.7912</v>
      </c>
      <c r="Q1774" s="4">
        <v>2</v>
      </c>
      <c r="R1774" s="4">
        <v>-393.19819999999999</v>
      </c>
      <c r="S1774" s="2" t="s">
        <v>92</v>
      </c>
      <c r="T1774" s="2" t="s">
        <v>76</v>
      </c>
    </row>
    <row r="1775" spans="1:20" x14ac:dyDescent="0.25">
      <c r="A1775" s="2" t="s">
        <v>2970</v>
      </c>
      <c r="B1775" s="3">
        <v>43014</v>
      </c>
      <c r="C1775" s="3">
        <v>43015</v>
      </c>
      <c r="D1775" s="2" t="s">
        <v>48</v>
      </c>
      <c r="E1775" s="2" t="s">
        <v>1976</v>
      </c>
      <c r="F1775" s="2" t="s">
        <v>1977</v>
      </c>
      <c r="G1775" s="2" t="s">
        <v>58</v>
      </c>
      <c r="H1775" s="2" t="s">
        <v>25</v>
      </c>
      <c r="I1775" s="2" t="s">
        <v>288</v>
      </c>
      <c r="J1775" s="2" t="s">
        <v>289</v>
      </c>
      <c r="K1775" s="2" t="s">
        <v>82</v>
      </c>
      <c r="L1775" s="2" t="s">
        <v>899</v>
      </c>
      <c r="M1775" s="2" t="s">
        <v>30</v>
      </c>
      <c r="N1775" s="2" t="s">
        <v>63</v>
      </c>
      <c r="O1775" s="2" t="s">
        <v>900</v>
      </c>
      <c r="P1775" s="4">
        <v>117.0963</v>
      </c>
      <c r="Q1775" s="4">
        <v>2</v>
      </c>
      <c r="R1775" s="4">
        <v>4.1505000000000001</v>
      </c>
      <c r="S1775" s="2" t="s">
        <v>33</v>
      </c>
      <c r="T1775" s="2" t="s">
        <v>224</v>
      </c>
    </row>
    <row r="1776" spans="1:20" x14ac:dyDescent="0.25">
      <c r="A1776" s="2" t="s">
        <v>2970</v>
      </c>
      <c r="B1776" s="3">
        <v>43014</v>
      </c>
      <c r="C1776" s="3">
        <v>43015</v>
      </c>
      <c r="D1776" s="2" t="s">
        <v>48</v>
      </c>
      <c r="E1776" s="2" t="s">
        <v>1976</v>
      </c>
      <c r="F1776" s="2" t="s">
        <v>1977</v>
      </c>
      <c r="G1776" s="2" t="s">
        <v>58</v>
      </c>
      <c r="H1776" s="2" t="s">
        <v>25</v>
      </c>
      <c r="I1776" s="2" t="s">
        <v>288</v>
      </c>
      <c r="J1776" s="2" t="s">
        <v>289</v>
      </c>
      <c r="K1776" s="2" t="s">
        <v>82</v>
      </c>
      <c r="L1776" s="2" t="s">
        <v>1476</v>
      </c>
      <c r="M1776" s="2" t="s">
        <v>30</v>
      </c>
      <c r="N1776" s="2" t="s">
        <v>63</v>
      </c>
      <c r="O1776" s="2" t="s">
        <v>1477</v>
      </c>
      <c r="P1776" s="4">
        <v>192.16159999999999</v>
      </c>
      <c r="Q1776" s="4">
        <v>2</v>
      </c>
      <c r="R1776" s="4">
        <v>-68.822400000000002</v>
      </c>
      <c r="S1776" s="2" t="s">
        <v>33</v>
      </c>
      <c r="T1776" s="2" t="s">
        <v>224</v>
      </c>
    </row>
    <row r="1777" spans="1:20" x14ac:dyDescent="0.25">
      <c r="A1777" s="2" t="s">
        <v>2971</v>
      </c>
      <c r="B1777" s="3">
        <v>41923</v>
      </c>
      <c r="C1777" s="3">
        <v>41927</v>
      </c>
      <c r="D1777" s="2" t="s">
        <v>55</v>
      </c>
      <c r="E1777" s="2" t="s">
        <v>2972</v>
      </c>
      <c r="F1777" s="2" t="s">
        <v>2973</v>
      </c>
      <c r="G1777" s="2" t="s">
        <v>58</v>
      </c>
      <c r="H1777" s="2" t="s">
        <v>25</v>
      </c>
      <c r="I1777" s="2" t="s">
        <v>105</v>
      </c>
      <c r="J1777" s="2" t="s">
        <v>106</v>
      </c>
      <c r="K1777" s="2" t="s">
        <v>61</v>
      </c>
      <c r="L1777" s="2" t="s">
        <v>174</v>
      </c>
      <c r="M1777" s="2" t="s">
        <v>30</v>
      </c>
      <c r="N1777" s="2" t="s">
        <v>31</v>
      </c>
      <c r="O1777" s="2" t="s">
        <v>175</v>
      </c>
      <c r="P1777" s="4">
        <v>139.83240000000001</v>
      </c>
      <c r="Q1777" s="4">
        <v>2</v>
      </c>
      <c r="R1777" s="4">
        <v>11.585900000000001</v>
      </c>
      <c r="S1777" s="2" t="s">
        <v>75</v>
      </c>
      <c r="T1777" s="2" t="s">
        <v>224</v>
      </c>
    </row>
    <row r="1778" spans="1:20" x14ac:dyDescent="0.25">
      <c r="A1778" s="2" t="s">
        <v>2971</v>
      </c>
      <c r="B1778" s="3">
        <v>41923</v>
      </c>
      <c r="C1778" s="3">
        <v>41927</v>
      </c>
      <c r="D1778" s="2" t="s">
        <v>55</v>
      </c>
      <c r="E1778" s="2" t="s">
        <v>2972</v>
      </c>
      <c r="F1778" s="2" t="s">
        <v>2973</v>
      </c>
      <c r="G1778" s="2" t="s">
        <v>58</v>
      </c>
      <c r="H1778" s="2" t="s">
        <v>25</v>
      </c>
      <c r="I1778" s="2" t="s">
        <v>105</v>
      </c>
      <c r="J1778" s="2" t="s">
        <v>106</v>
      </c>
      <c r="K1778" s="2" t="s">
        <v>61</v>
      </c>
      <c r="L1778" s="2" t="s">
        <v>252</v>
      </c>
      <c r="M1778" s="2" t="s">
        <v>30</v>
      </c>
      <c r="N1778" s="2" t="s">
        <v>31</v>
      </c>
      <c r="O1778" s="2" t="s">
        <v>253</v>
      </c>
      <c r="P1778" s="4">
        <v>9.8847000000000005</v>
      </c>
      <c r="Q1778" s="4">
        <v>6</v>
      </c>
      <c r="R1778" s="4">
        <v>1.1514</v>
      </c>
      <c r="S1778" s="2" t="s">
        <v>75</v>
      </c>
      <c r="T1778" s="2" t="s">
        <v>224</v>
      </c>
    </row>
    <row r="1779" spans="1:20" x14ac:dyDescent="0.25">
      <c r="A1779" s="2" t="s">
        <v>2971</v>
      </c>
      <c r="B1779" s="3">
        <v>41923</v>
      </c>
      <c r="C1779" s="3">
        <v>41927</v>
      </c>
      <c r="D1779" s="2" t="s">
        <v>55</v>
      </c>
      <c r="E1779" s="2" t="s">
        <v>2972</v>
      </c>
      <c r="F1779" s="2" t="s">
        <v>2973</v>
      </c>
      <c r="G1779" s="2" t="s">
        <v>58</v>
      </c>
      <c r="H1779" s="2" t="s">
        <v>25</v>
      </c>
      <c r="I1779" s="2" t="s">
        <v>105</v>
      </c>
      <c r="J1779" s="2" t="s">
        <v>106</v>
      </c>
      <c r="K1779" s="2" t="s">
        <v>61</v>
      </c>
      <c r="L1779" s="2" t="s">
        <v>899</v>
      </c>
      <c r="M1779" s="2" t="s">
        <v>30</v>
      </c>
      <c r="N1779" s="2" t="s">
        <v>63</v>
      </c>
      <c r="O1779" s="2" t="s">
        <v>900</v>
      </c>
      <c r="P1779" s="4">
        <v>2353.9182000000001</v>
      </c>
      <c r="Q1779" s="4">
        <v>3</v>
      </c>
      <c r="R1779" s="4">
        <v>-72.354399999999998</v>
      </c>
      <c r="S1779" s="2" t="s">
        <v>75</v>
      </c>
      <c r="T1779" s="2" t="s">
        <v>224</v>
      </c>
    </row>
    <row r="1780" spans="1:20" x14ac:dyDescent="0.25">
      <c r="A1780" s="2" t="s">
        <v>2974</v>
      </c>
      <c r="B1780" s="3">
        <v>42634</v>
      </c>
      <c r="C1780" s="3">
        <v>42635</v>
      </c>
      <c r="D1780" s="2" t="s">
        <v>55</v>
      </c>
      <c r="E1780" s="2" t="s">
        <v>2975</v>
      </c>
      <c r="F1780" s="2" t="s">
        <v>2976</v>
      </c>
      <c r="G1780" s="2" t="s">
        <v>24</v>
      </c>
      <c r="H1780" s="2" t="s">
        <v>25</v>
      </c>
      <c r="I1780" s="2" t="s">
        <v>752</v>
      </c>
      <c r="J1780" s="2" t="s">
        <v>753</v>
      </c>
      <c r="K1780" s="2" t="s">
        <v>147</v>
      </c>
      <c r="L1780" s="2" t="s">
        <v>218</v>
      </c>
      <c r="M1780" s="2" t="s">
        <v>30</v>
      </c>
      <c r="N1780" s="2" t="s">
        <v>31</v>
      </c>
      <c r="O1780" s="2" t="s">
        <v>219</v>
      </c>
      <c r="P1780" s="4">
        <v>51.4465</v>
      </c>
      <c r="Q1780" s="4">
        <v>4</v>
      </c>
      <c r="R1780" s="4">
        <v>13.585599999999999</v>
      </c>
      <c r="S1780" s="2" t="s">
        <v>33</v>
      </c>
      <c r="T1780" s="2" t="s">
        <v>148</v>
      </c>
    </row>
    <row r="1781" spans="1:20" x14ac:dyDescent="0.25">
      <c r="A1781" s="2" t="s">
        <v>2974</v>
      </c>
      <c r="B1781" s="3">
        <v>42634</v>
      </c>
      <c r="C1781" s="3">
        <v>42635</v>
      </c>
      <c r="D1781" s="2" t="s">
        <v>55</v>
      </c>
      <c r="E1781" s="2" t="s">
        <v>2975</v>
      </c>
      <c r="F1781" s="2" t="s">
        <v>2976</v>
      </c>
      <c r="G1781" s="2" t="s">
        <v>24</v>
      </c>
      <c r="H1781" s="2" t="s">
        <v>25</v>
      </c>
      <c r="I1781" s="2" t="s">
        <v>752</v>
      </c>
      <c r="J1781" s="2" t="s">
        <v>753</v>
      </c>
      <c r="K1781" s="2" t="s">
        <v>147</v>
      </c>
      <c r="L1781" s="2" t="s">
        <v>235</v>
      </c>
      <c r="M1781" s="2" t="s">
        <v>30</v>
      </c>
      <c r="N1781" s="2" t="s">
        <v>31</v>
      </c>
      <c r="O1781" s="2" t="s">
        <v>236</v>
      </c>
      <c r="P1781" s="4">
        <v>4.9976000000000003</v>
      </c>
      <c r="Q1781" s="4">
        <v>4</v>
      </c>
      <c r="R1781" s="4">
        <v>-0.71730000000000005</v>
      </c>
      <c r="S1781" s="2" t="s">
        <v>33</v>
      </c>
      <c r="T1781" s="2" t="s">
        <v>148</v>
      </c>
    </row>
    <row r="1782" spans="1:20" x14ac:dyDescent="0.25">
      <c r="A1782" s="2" t="s">
        <v>2977</v>
      </c>
      <c r="B1782" s="3">
        <v>43066</v>
      </c>
      <c r="C1782" s="3">
        <v>43068</v>
      </c>
      <c r="D1782" s="2" t="s">
        <v>55</v>
      </c>
      <c r="E1782" s="2" t="s">
        <v>392</v>
      </c>
      <c r="F1782" s="2" t="s">
        <v>393</v>
      </c>
      <c r="G1782" s="2" t="s">
        <v>58</v>
      </c>
      <c r="H1782" s="2" t="s">
        <v>25</v>
      </c>
      <c r="I1782" s="2" t="s">
        <v>649</v>
      </c>
      <c r="J1782" s="2" t="s">
        <v>279</v>
      </c>
      <c r="K1782" s="2" t="s">
        <v>28</v>
      </c>
      <c r="L1782" s="2" t="s">
        <v>113</v>
      </c>
      <c r="M1782" s="2" t="s">
        <v>30</v>
      </c>
      <c r="N1782" s="2" t="s">
        <v>31</v>
      </c>
      <c r="O1782" s="2" t="s">
        <v>114</v>
      </c>
      <c r="P1782" s="4">
        <v>384.87310000000002</v>
      </c>
      <c r="Q1782" s="4">
        <v>5</v>
      </c>
      <c r="R1782" s="4">
        <v>103.8441</v>
      </c>
      <c r="S1782" s="2" t="s">
        <v>53</v>
      </c>
      <c r="T1782" s="2" t="s">
        <v>93</v>
      </c>
    </row>
    <row r="1783" spans="1:20" x14ac:dyDescent="0.25">
      <c r="A1783" s="2" t="s">
        <v>2978</v>
      </c>
      <c r="B1783" s="3">
        <v>41717</v>
      </c>
      <c r="C1783" s="3">
        <v>41717</v>
      </c>
      <c r="D1783" s="2" t="s">
        <v>21</v>
      </c>
      <c r="E1783" s="2" t="s">
        <v>1695</v>
      </c>
      <c r="F1783" s="2" t="s">
        <v>1696</v>
      </c>
      <c r="G1783" s="2" t="s">
        <v>24</v>
      </c>
      <c r="H1783" s="2" t="s">
        <v>25</v>
      </c>
      <c r="I1783" s="2" t="s">
        <v>829</v>
      </c>
      <c r="J1783" s="2" t="s">
        <v>199</v>
      </c>
      <c r="K1783" s="2" t="s">
        <v>82</v>
      </c>
      <c r="L1783" s="2" t="s">
        <v>235</v>
      </c>
      <c r="M1783" s="2" t="s">
        <v>30</v>
      </c>
      <c r="N1783" s="2" t="s">
        <v>31</v>
      </c>
      <c r="O1783" s="2" t="s">
        <v>236</v>
      </c>
      <c r="P1783" s="4">
        <v>4.5069999999999997</v>
      </c>
      <c r="Q1783" s="4">
        <v>1</v>
      </c>
      <c r="R1783" s="4">
        <v>1.6261000000000001</v>
      </c>
      <c r="S1783" s="2" t="s">
        <v>121</v>
      </c>
      <c r="T1783" s="2" t="s">
        <v>44</v>
      </c>
    </row>
    <row r="1784" spans="1:20" x14ac:dyDescent="0.25">
      <c r="A1784" s="2" t="s">
        <v>2979</v>
      </c>
      <c r="B1784" s="3">
        <v>41886</v>
      </c>
      <c r="C1784" s="3">
        <v>41886</v>
      </c>
      <c r="D1784" s="2" t="s">
        <v>48</v>
      </c>
      <c r="E1784" s="2" t="s">
        <v>1742</v>
      </c>
      <c r="F1784" s="2" t="s">
        <v>1743</v>
      </c>
      <c r="G1784" s="2" t="s">
        <v>38</v>
      </c>
      <c r="H1784" s="2" t="s">
        <v>25</v>
      </c>
      <c r="I1784" s="2" t="s">
        <v>59</v>
      </c>
      <c r="J1784" s="2" t="s">
        <v>60</v>
      </c>
      <c r="K1784" s="2" t="s">
        <v>61</v>
      </c>
      <c r="L1784" s="2" t="s">
        <v>933</v>
      </c>
      <c r="M1784" s="2" t="s">
        <v>30</v>
      </c>
      <c r="N1784" s="2" t="s">
        <v>162</v>
      </c>
      <c r="O1784" s="2" t="s">
        <v>934</v>
      </c>
      <c r="P1784" s="4">
        <v>165.92930000000001</v>
      </c>
      <c r="Q1784" s="4">
        <v>3</v>
      </c>
      <c r="R1784" s="4">
        <v>41.748699999999999</v>
      </c>
      <c r="S1784" s="2" t="s">
        <v>121</v>
      </c>
      <c r="T1784" s="2" t="s">
        <v>148</v>
      </c>
    </row>
    <row r="1785" spans="1:20" x14ac:dyDescent="0.25">
      <c r="A1785" s="2" t="s">
        <v>2980</v>
      </c>
      <c r="B1785" s="3">
        <v>42633</v>
      </c>
      <c r="C1785" s="3">
        <v>42636</v>
      </c>
      <c r="D1785" s="2" t="s">
        <v>21</v>
      </c>
      <c r="E1785" s="2" t="s">
        <v>2435</v>
      </c>
      <c r="F1785" s="2" t="s">
        <v>2436</v>
      </c>
      <c r="G1785" s="2" t="s">
        <v>58</v>
      </c>
      <c r="H1785" s="2" t="s">
        <v>25</v>
      </c>
      <c r="I1785" s="2" t="s">
        <v>26</v>
      </c>
      <c r="J1785" s="2" t="s">
        <v>27</v>
      </c>
      <c r="K1785" s="2" t="s">
        <v>28</v>
      </c>
      <c r="L1785" s="2" t="s">
        <v>113</v>
      </c>
      <c r="M1785" s="2" t="s">
        <v>30</v>
      </c>
      <c r="N1785" s="2" t="s">
        <v>31</v>
      </c>
      <c r="O1785" s="2" t="s">
        <v>114</v>
      </c>
      <c r="P1785" s="4">
        <v>196.38560000000001</v>
      </c>
      <c r="Q1785" s="4">
        <v>3</v>
      </c>
      <c r="R1785" s="4">
        <v>-61.909399999999998</v>
      </c>
      <c r="S1785" s="2" t="s">
        <v>92</v>
      </c>
      <c r="T1785" s="2" t="s">
        <v>148</v>
      </c>
    </row>
    <row r="1786" spans="1:20" x14ac:dyDescent="0.25">
      <c r="A1786" s="2" t="s">
        <v>2981</v>
      </c>
      <c r="B1786" s="3">
        <v>43011</v>
      </c>
      <c r="C1786" s="3">
        <v>43011</v>
      </c>
      <c r="D1786" s="2" t="s">
        <v>48</v>
      </c>
      <c r="E1786" s="2" t="s">
        <v>2219</v>
      </c>
      <c r="F1786" s="2" t="s">
        <v>2220</v>
      </c>
      <c r="G1786" s="2" t="s">
        <v>38</v>
      </c>
      <c r="H1786" s="2" t="s">
        <v>25</v>
      </c>
      <c r="I1786" s="2" t="s">
        <v>274</v>
      </c>
      <c r="J1786" s="2" t="s">
        <v>146</v>
      </c>
      <c r="K1786" s="2" t="s">
        <v>147</v>
      </c>
      <c r="L1786" s="2" t="s">
        <v>323</v>
      </c>
      <c r="M1786" s="2" t="s">
        <v>30</v>
      </c>
      <c r="N1786" s="2" t="s">
        <v>31</v>
      </c>
      <c r="O1786" s="2" t="s">
        <v>324</v>
      </c>
      <c r="P1786" s="4">
        <v>114.63639999999999</v>
      </c>
      <c r="Q1786" s="4">
        <v>2</v>
      </c>
      <c r="R1786" s="4">
        <v>40.575000000000003</v>
      </c>
      <c r="S1786" s="2" t="s">
        <v>121</v>
      </c>
      <c r="T1786" s="2" t="s">
        <v>224</v>
      </c>
    </row>
    <row r="1787" spans="1:20" x14ac:dyDescent="0.25">
      <c r="A1787" s="2" t="s">
        <v>2982</v>
      </c>
      <c r="B1787" s="3">
        <v>42522</v>
      </c>
      <c r="C1787" s="3">
        <v>42524</v>
      </c>
      <c r="D1787" s="2" t="s">
        <v>48</v>
      </c>
      <c r="E1787" s="2" t="s">
        <v>2240</v>
      </c>
      <c r="F1787" s="2" t="s">
        <v>2241</v>
      </c>
      <c r="G1787" s="2" t="s">
        <v>58</v>
      </c>
      <c r="H1787" s="2" t="s">
        <v>25</v>
      </c>
      <c r="I1787" s="2" t="s">
        <v>861</v>
      </c>
      <c r="J1787" s="2" t="s">
        <v>403</v>
      </c>
      <c r="K1787" s="2" t="s">
        <v>147</v>
      </c>
      <c r="L1787" s="2" t="s">
        <v>719</v>
      </c>
      <c r="M1787" s="2" t="s">
        <v>30</v>
      </c>
      <c r="N1787" s="2" t="s">
        <v>63</v>
      </c>
      <c r="O1787" s="2" t="s">
        <v>720</v>
      </c>
      <c r="P1787" s="4">
        <v>106.42659999999999</v>
      </c>
      <c r="Q1787" s="4">
        <v>5</v>
      </c>
      <c r="R1787" s="4">
        <v>-58.398699999999998</v>
      </c>
      <c r="S1787" s="2" t="s">
        <v>53</v>
      </c>
      <c r="T1787" s="2" t="s">
        <v>133</v>
      </c>
    </row>
    <row r="1788" spans="1:20" x14ac:dyDescent="0.25">
      <c r="A1788" s="2" t="s">
        <v>2982</v>
      </c>
      <c r="B1788" s="3">
        <v>42522</v>
      </c>
      <c r="C1788" s="3">
        <v>42524</v>
      </c>
      <c r="D1788" s="2" t="s">
        <v>48</v>
      </c>
      <c r="E1788" s="2" t="s">
        <v>2240</v>
      </c>
      <c r="F1788" s="2" t="s">
        <v>2241</v>
      </c>
      <c r="G1788" s="2" t="s">
        <v>58</v>
      </c>
      <c r="H1788" s="2" t="s">
        <v>25</v>
      </c>
      <c r="I1788" s="2" t="s">
        <v>861</v>
      </c>
      <c r="J1788" s="2" t="s">
        <v>403</v>
      </c>
      <c r="K1788" s="2" t="s">
        <v>147</v>
      </c>
      <c r="L1788" s="2" t="s">
        <v>890</v>
      </c>
      <c r="M1788" s="2" t="s">
        <v>30</v>
      </c>
      <c r="N1788" s="2" t="s">
        <v>63</v>
      </c>
      <c r="O1788" s="2" t="s">
        <v>891</v>
      </c>
      <c r="P1788" s="4">
        <v>157.6027</v>
      </c>
      <c r="Q1788" s="4">
        <v>4</v>
      </c>
      <c r="R1788" s="4">
        <v>23.1614</v>
      </c>
      <c r="S1788" s="2" t="s">
        <v>53</v>
      </c>
      <c r="T1788" s="2" t="s">
        <v>133</v>
      </c>
    </row>
    <row r="1789" spans="1:20" x14ac:dyDescent="0.25">
      <c r="A1789" s="2" t="s">
        <v>2983</v>
      </c>
      <c r="B1789" s="3">
        <v>42993</v>
      </c>
      <c r="C1789" s="3">
        <v>43000</v>
      </c>
      <c r="D1789" s="2" t="s">
        <v>55</v>
      </c>
      <c r="E1789" s="2" t="s">
        <v>1621</v>
      </c>
      <c r="F1789" s="2" t="s">
        <v>1622</v>
      </c>
      <c r="G1789" s="2" t="s">
        <v>38</v>
      </c>
      <c r="H1789" s="2" t="s">
        <v>25</v>
      </c>
      <c r="I1789" s="2" t="s">
        <v>1300</v>
      </c>
      <c r="J1789" s="2" t="s">
        <v>60</v>
      </c>
      <c r="K1789" s="2" t="s">
        <v>61</v>
      </c>
      <c r="L1789" s="2" t="s">
        <v>252</v>
      </c>
      <c r="M1789" s="2" t="s">
        <v>30</v>
      </c>
      <c r="N1789" s="2" t="s">
        <v>31</v>
      </c>
      <c r="O1789" s="2" t="s">
        <v>253</v>
      </c>
      <c r="P1789" s="4">
        <v>284.9434</v>
      </c>
      <c r="Q1789" s="4">
        <v>7</v>
      </c>
      <c r="R1789" s="4">
        <v>-99.750399999999999</v>
      </c>
      <c r="S1789" s="2" t="s">
        <v>107</v>
      </c>
      <c r="T1789" s="2" t="s">
        <v>148</v>
      </c>
    </row>
    <row r="1790" spans="1:20" x14ac:dyDescent="0.25">
      <c r="A1790" s="2" t="s">
        <v>2983</v>
      </c>
      <c r="B1790" s="3">
        <v>42993</v>
      </c>
      <c r="C1790" s="3">
        <v>43000</v>
      </c>
      <c r="D1790" s="2" t="s">
        <v>55</v>
      </c>
      <c r="E1790" s="2" t="s">
        <v>1621</v>
      </c>
      <c r="F1790" s="2" t="s">
        <v>1622</v>
      </c>
      <c r="G1790" s="2" t="s">
        <v>38</v>
      </c>
      <c r="H1790" s="2" t="s">
        <v>25</v>
      </c>
      <c r="I1790" s="2" t="s">
        <v>1300</v>
      </c>
      <c r="J1790" s="2" t="s">
        <v>60</v>
      </c>
      <c r="K1790" s="2" t="s">
        <v>61</v>
      </c>
      <c r="L1790" s="2" t="s">
        <v>174</v>
      </c>
      <c r="M1790" s="2" t="s">
        <v>30</v>
      </c>
      <c r="N1790" s="2" t="s">
        <v>31</v>
      </c>
      <c r="O1790" s="2" t="s">
        <v>175</v>
      </c>
      <c r="P1790" s="4">
        <v>28.4663</v>
      </c>
      <c r="Q1790" s="4">
        <v>4</v>
      </c>
      <c r="R1790" s="4">
        <v>-10.5129</v>
      </c>
      <c r="S1790" s="2" t="s">
        <v>107</v>
      </c>
      <c r="T1790" s="2" t="s">
        <v>148</v>
      </c>
    </row>
    <row r="1791" spans="1:20" x14ac:dyDescent="0.25">
      <c r="A1791" s="2" t="s">
        <v>2984</v>
      </c>
      <c r="B1791" s="3">
        <v>42740</v>
      </c>
      <c r="C1791" s="3">
        <v>42741</v>
      </c>
      <c r="D1791" s="2" t="s">
        <v>48</v>
      </c>
      <c r="E1791" s="2" t="s">
        <v>439</v>
      </c>
      <c r="F1791" s="2" t="s">
        <v>440</v>
      </c>
      <c r="G1791" s="2" t="s">
        <v>58</v>
      </c>
      <c r="H1791" s="2" t="s">
        <v>25</v>
      </c>
      <c r="I1791" s="2" t="s">
        <v>861</v>
      </c>
      <c r="J1791" s="2" t="s">
        <v>403</v>
      </c>
      <c r="K1791" s="2" t="s">
        <v>147</v>
      </c>
      <c r="L1791" s="2" t="s">
        <v>73</v>
      </c>
      <c r="M1791" s="2" t="s">
        <v>30</v>
      </c>
      <c r="N1791" s="2" t="s">
        <v>42</v>
      </c>
      <c r="O1791" s="2" t="s">
        <v>74</v>
      </c>
      <c r="P1791" s="4">
        <v>177.2362</v>
      </c>
      <c r="Q1791" s="4">
        <v>3</v>
      </c>
      <c r="R1791" s="4">
        <v>-15.3111</v>
      </c>
      <c r="S1791" s="2" t="s">
        <v>33</v>
      </c>
      <c r="T1791" s="2" t="s">
        <v>115</v>
      </c>
    </row>
    <row r="1792" spans="1:20" x14ac:dyDescent="0.25">
      <c r="A1792" s="2" t="s">
        <v>2985</v>
      </c>
      <c r="B1792" s="3">
        <v>42564</v>
      </c>
      <c r="C1792" s="3">
        <v>42564</v>
      </c>
      <c r="D1792" s="2" t="s">
        <v>142</v>
      </c>
      <c r="E1792" s="2" t="s">
        <v>2924</v>
      </c>
      <c r="F1792" s="2" t="s">
        <v>2925</v>
      </c>
      <c r="G1792" s="2" t="s">
        <v>38</v>
      </c>
      <c r="H1792" s="2" t="s">
        <v>25</v>
      </c>
      <c r="I1792" s="2" t="s">
        <v>441</v>
      </c>
      <c r="J1792" s="2" t="s">
        <v>40</v>
      </c>
      <c r="K1792" s="2" t="s">
        <v>28</v>
      </c>
      <c r="L1792" s="2" t="s">
        <v>113</v>
      </c>
      <c r="M1792" s="2" t="s">
        <v>30</v>
      </c>
      <c r="N1792" s="2" t="s">
        <v>31</v>
      </c>
      <c r="O1792" s="2" t="s">
        <v>114</v>
      </c>
      <c r="P1792" s="4">
        <v>27.302900000000001</v>
      </c>
      <c r="Q1792" s="4">
        <v>1</v>
      </c>
      <c r="R1792" s="4">
        <v>0.13869999999999999</v>
      </c>
      <c r="S1792" s="2" t="s">
        <v>121</v>
      </c>
      <c r="T1792" s="2" t="s">
        <v>86</v>
      </c>
    </row>
    <row r="1793" spans="1:20" x14ac:dyDescent="0.25">
      <c r="A1793" s="2" t="s">
        <v>2986</v>
      </c>
      <c r="B1793" s="3">
        <v>41993</v>
      </c>
      <c r="C1793" s="3">
        <v>41994</v>
      </c>
      <c r="D1793" s="2" t="s">
        <v>55</v>
      </c>
      <c r="E1793" s="2" t="s">
        <v>2240</v>
      </c>
      <c r="F1793" s="2" t="s">
        <v>2241</v>
      </c>
      <c r="G1793" s="2" t="s">
        <v>58</v>
      </c>
      <c r="H1793" s="2" t="s">
        <v>25</v>
      </c>
      <c r="I1793" s="2" t="s">
        <v>727</v>
      </c>
      <c r="J1793" s="2" t="s">
        <v>728</v>
      </c>
      <c r="K1793" s="2" t="s">
        <v>147</v>
      </c>
      <c r="L1793" s="2" t="s">
        <v>228</v>
      </c>
      <c r="M1793" s="2" t="s">
        <v>30</v>
      </c>
      <c r="N1793" s="2" t="s">
        <v>42</v>
      </c>
      <c r="O1793" s="2" t="s">
        <v>229</v>
      </c>
      <c r="P1793" s="4">
        <v>181.29679999999999</v>
      </c>
      <c r="Q1793" s="4">
        <v>1</v>
      </c>
      <c r="R1793" s="4">
        <v>-8.2789000000000001</v>
      </c>
      <c r="S1793" s="2" t="s">
        <v>33</v>
      </c>
      <c r="T1793" s="2" t="s">
        <v>76</v>
      </c>
    </row>
    <row r="1794" spans="1:20" x14ac:dyDescent="0.25">
      <c r="A1794" s="2" t="s">
        <v>2986</v>
      </c>
      <c r="B1794" s="3">
        <v>41993</v>
      </c>
      <c r="C1794" s="3">
        <v>41994</v>
      </c>
      <c r="D1794" s="2" t="s">
        <v>55</v>
      </c>
      <c r="E1794" s="2" t="s">
        <v>2240</v>
      </c>
      <c r="F1794" s="2" t="s">
        <v>2241</v>
      </c>
      <c r="G1794" s="2" t="s">
        <v>58</v>
      </c>
      <c r="H1794" s="2" t="s">
        <v>25</v>
      </c>
      <c r="I1794" s="2" t="s">
        <v>727</v>
      </c>
      <c r="J1794" s="2" t="s">
        <v>728</v>
      </c>
      <c r="K1794" s="2" t="s">
        <v>147</v>
      </c>
      <c r="L1794" s="2" t="s">
        <v>73</v>
      </c>
      <c r="M1794" s="2" t="s">
        <v>30</v>
      </c>
      <c r="N1794" s="2" t="s">
        <v>42</v>
      </c>
      <c r="O1794" s="2" t="s">
        <v>74</v>
      </c>
      <c r="P1794" s="4">
        <v>262.32089999999999</v>
      </c>
      <c r="Q1794" s="4">
        <v>3</v>
      </c>
      <c r="R1794" s="4">
        <v>92.183000000000007</v>
      </c>
      <c r="S1794" s="2" t="s">
        <v>33</v>
      </c>
      <c r="T1794" s="2" t="s">
        <v>76</v>
      </c>
    </row>
    <row r="1795" spans="1:20" x14ac:dyDescent="0.25">
      <c r="A1795" s="2" t="s">
        <v>2987</v>
      </c>
      <c r="B1795" s="3">
        <v>42253</v>
      </c>
      <c r="C1795" s="3">
        <v>42257</v>
      </c>
      <c r="D1795" s="2" t="s">
        <v>21</v>
      </c>
      <c r="E1795" s="2" t="s">
        <v>456</v>
      </c>
      <c r="F1795" s="2" t="s">
        <v>457</v>
      </c>
      <c r="G1795" s="2" t="s">
        <v>38</v>
      </c>
      <c r="H1795" s="2" t="s">
        <v>25</v>
      </c>
      <c r="I1795" s="2" t="s">
        <v>343</v>
      </c>
      <c r="J1795" s="2" t="s">
        <v>153</v>
      </c>
      <c r="K1795" s="2" t="s">
        <v>147</v>
      </c>
      <c r="L1795" s="2" t="s">
        <v>99</v>
      </c>
      <c r="M1795" s="2" t="s">
        <v>30</v>
      </c>
      <c r="N1795" s="2" t="s">
        <v>42</v>
      </c>
      <c r="O1795" s="2" t="s">
        <v>100</v>
      </c>
      <c r="P1795" s="4">
        <v>369.42070000000001</v>
      </c>
      <c r="Q1795" s="4">
        <v>2</v>
      </c>
      <c r="R1795" s="4">
        <v>206.0942</v>
      </c>
      <c r="S1795" s="2" t="s">
        <v>75</v>
      </c>
      <c r="T1795" s="2" t="s">
        <v>148</v>
      </c>
    </row>
    <row r="1796" spans="1:20" x14ac:dyDescent="0.25">
      <c r="A1796" s="2" t="s">
        <v>2988</v>
      </c>
      <c r="B1796" s="3">
        <v>42507</v>
      </c>
      <c r="C1796" s="3">
        <v>42508</v>
      </c>
      <c r="D1796" s="2" t="s">
        <v>48</v>
      </c>
      <c r="E1796" s="2" t="s">
        <v>2563</v>
      </c>
      <c r="F1796" s="2" t="s">
        <v>2564</v>
      </c>
      <c r="G1796" s="2" t="s">
        <v>38</v>
      </c>
      <c r="H1796" s="2" t="s">
        <v>25</v>
      </c>
      <c r="I1796" s="2" t="s">
        <v>137</v>
      </c>
      <c r="J1796" s="2" t="s">
        <v>138</v>
      </c>
      <c r="K1796" s="2" t="s">
        <v>82</v>
      </c>
      <c r="L1796" s="2" t="s">
        <v>839</v>
      </c>
      <c r="M1796" s="2" t="s">
        <v>30</v>
      </c>
      <c r="N1796" s="2" t="s">
        <v>63</v>
      </c>
      <c r="O1796" s="2" t="s">
        <v>840</v>
      </c>
      <c r="P1796" s="4">
        <v>510.08300000000003</v>
      </c>
      <c r="Q1796" s="4">
        <v>2</v>
      </c>
      <c r="R1796" s="4">
        <v>-132.94540000000001</v>
      </c>
      <c r="S1796" s="2" t="s">
        <v>33</v>
      </c>
      <c r="T1796" s="2" t="s">
        <v>122</v>
      </c>
    </row>
    <row r="1797" spans="1:20" x14ac:dyDescent="0.25">
      <c r="A1797" s="2" t="s">
        <v>2989</v>
      </c>
      <c r="B1797" s="3">
        <v>42845</v>
      </c>
      <c r="C1797" s="3">
        <v>42851</v>
      </c>
      <c r="D1797" s="2" t="s">
        <v>55</v>
      </c>
      <c r="E1797" s="2" t="s">
        <v>2669</v>
      </c>
      <c r="F1797" s="2" t="s">
        <v>2670</v>
      </c>
      <c r="G1797" s="2" t="s">
        <v>38</v>
      </c>
      <c r="H1797" s="2" t="s">
        <v>25</v>
      </c>
      <c r="I1797" s="2" t="s">
        <v>59</v>
      </c>
      <c r="J1797" s="2" t="s">
        <v>60</v>
      </c>
      <c r="K1797" s="2" t="s">
        <v>61</v>
      </c>
      <c r="L1797" s="2" t="s">
        <v>235</v>
      </c>
      <c r="M1797" s="2" t="s">
        <v>30</v>
      </c>
      <c r="N1797" s="2" t="s">
        <v>31</v>
      </c>
      <c r="O1797" s="2" t="s">
        <v>236</v>
      </c>
      <c r="P1797" s="4">
        <v>10.000400000000001</v>
      </c>
      <c r="Q1797" s="4">
        <v>3</v>
      </c>
      <c r="R1797" s="4">
        <v>-1.1716</v>
      </c>
      <c r="S1797" s="2" t="s">
        <v>65</v>
      </c>
      <c r="T1797" s="2" t="s">
        <v>108</v>
      </c>
    </row>
    <row r="1798" spans="1:20" x14ac:dyDescent="0.25">
      <c r="A1798" s="2" t="s">
        <v>2990</v>
      </c>
      <c r="B1798" s="3">
        <v>42148</v>
      </c>
      <c r="C1798" s="3">
        <v>42149</v>
      </c>
      <c r="D1798" s="2" t="s">
        <v>55</v>
      </c>
      <c r="E1798" s="2" t="s">
        <v>2991</v>
      </c>
      <c r="F1798" s="2" t="s">
        <v>2992</v>
      </c>
      <c r="G1798" s="2" t="s">
        <v>58</v>
      </c>
      <c r="H1798" s="2" t="s">
        <v>25</v>
      </c>
      <c r="I1798" s="2" t="s">
        <v>552</v>
      </c>
      <c r="J1798" s="2" t="s">
        <v>322</v>
      </c>
      <c r="K1798" s="2" t="s">
        <v>28</v>
      </c>
      <c r="L1798" s="2" t="s">
        <v>161</v>
      </c>
      <c r="M1798" s="2" t="s">
        <v>30</v>
      </c>
      <c r="N1798" s="2" t="s">
        <v>162</v>
      </c>
      <c r="O1798" s="2" t="s">
        <v>163</v>
      </c>
      <c r="P1798" s="4">
        <v>335.26519999999999</v>
      </c>
      <c r="Q1798" s="4">
        <v>4</v>
      </c>
      <c r="R1798" s="4">
        <v>179.31290000000001</v>
      </c>
      <c r="S1798" s="2" t="s">
        <v>33</v>
      </c>
      <c r="T1798" s="2" t="s">
        <v>122</v>
      </c>
    </row>
    <row r="1799" spans="1:20" x14ac:dyDescent="0.25">
      <c r="A1799" s="2" t="s">
        <v>2993</v>
      </c>
      <c r="B1799" s="3">
        <v>43012</v>
      </c>
      <c r="C1799" s="3">
        <v>43014</v>
      </c>
      <c r="D1799" s="2" t="s">
        <v>21</v>
      </c>
      <c r="E1799" s="2" t="s">
        <v>2479</v>
      </c>
      <c r="F1799" s="2" t="s">
        <v>2480</v>
      </c>
      <c r="G1799" s="2" t="s">
        <v>58</v>
      </c>
      <c r="H1799" s="2" t="s">
        <v>25</v>
      </c>
      <c r="I1799" s="2" t="s">
        <v>274</v>
      </c>
      <c r="J1799" s="2" t="s">
        <v>146</v>
      </c>
      <c r="K1799" s="2" t="s">
        <v>147</v>
      </c>
      <c r="L1799" s="2" t="s">
        <v>453</v>
      </c>
      <c r="M1799" s="2" t="s">
        <v>30</v>
      </c>
      <c r="N1799" s="2" t="s">
        <v>42</v>
      </c>
      <c r="O1799" s="2" t="s">
        <v>454</v>
      </c>
      <c r="P1799" s="4">
        <v>514.38049999999998</v>
      </c>
      <c r="Q1799" s="4">
        <v>1</v>
      </c>
      <c r="R1799" s="4">
        <v>-197.44720000000001</v>
      </c>
      <c r="S1799" s="2" t="s">
        <v>53</v>
      </c>
      <c r="T1799" s="2" t="s">
        <v>224</v>
      </c>
    </row>
    <row r="1800" spans="1:20" x14ac:dyDescent="0.25">
      <c r="A1800" s="2" t="s">
        <v>2993</v>
      </c>
      <c r="B1800" s="3">
        <v>43012</v>
      </c>
      <c r="C1800" s="3">
        <v>43014</v>
      </c>
      <c r="D1800" s="2" t="s">
        <v>21</v>
      </c>
      <c r="E1800" s="2" t="s">
        <v>2479</v>
      </c>
      <c r="F1800" s="2" t="s">
        <v>2480</v>
      </c>
      <c r="G1800" s="2" t="s">
        <v>58</v>
      </c>
      <c r="H1800" s="2" t="s">
        <v>25</v>
      </c>
      <c r="I1800" s="2" t="s">
        <v>274</v>
      </c>
      <c r="J1800" s="2" t="s">
        <v>146</v>
      </c>
      <c r="K1800" s="2" t="s">
        <v>147</v>
      </c>
      <c r="L1800" s="2" t="s">
        <v>83</v>
      </c>
      <c r="M1800" s="2" t="s">
        <v>30</v>
      </c>
      <c r="N1800" s="2" t="s">
        <v>42</v>
      </c>
      <c r="O1800" s="2" t="s">
        <v>84</v>
      </c>
      <c r="P1800" s="4">
        <v>731.07380000000001</v>
      </c>
      <c r="Q1800" s="4">
        <v>3</v>
      </c>
      <c r="R1800" s="4">
        <v>35.401299999999999</v>
      </c>
      <c r="S1800" s="2" t="s">
        <v>53</v>
      </c>
      <c r="T1800" s="2" t="s">
        <v>224</v>
      </c>
    </row>
    <row r="1801" spans="1:20" x14ac:dyDescent="0.25">
      <c r="A1801" s="2" t="s">
        <v>2994</v>
      </c>
      <c r="B1801" s="3">
        <v>42892</v>
      </c>
      <c r="C1801" s="3">
        <v>42894</v>
      </c>
      <c r="D1801" s="2" t="s">
        <v>55</v>
      </c>
      <c r="E1801" s="2" t="s">
        <v>2240</v>
      </c>
      <c r="F1801" s="2" t="s">
        <v>2241</v>
      </c>
      <c r="G1801" s="2" t="s">
        <v>58</v>
      </c>
      <c r="H1801" s="2" t="s">
        <v>25</v>
      </c>
      <c r="I1801" s="2" t="s">
        <v>434</v>
      </c>
      <c r="J1801" s="2" t="s">
        <v>435</v>
      </c>
      <c r="K1801" s="2" t="s">
        <v>61</v>
      </c>
      <c r="L1801" s="2" t="s">
        <v>890</v>
      </c>
      <c r="M1801" s="2" t="s">
        <v>30</v>
      </c>
      <c r="N1801" s="2" t="s">
        <v>63</v>
      </c>
      <c r="O1801" s="2" t="s">
        <v>891</v>
      </c>
      <c r="P1801" s="4">
        <v>1948.4063000000001</v>
      </c>
      <c r="Q1801" s="4">
        <v>2</v>
      </c>
      <c r="R1801" s="4">
        <v>-51.009700000000002</v>
      </c>
      <c r="S1801" s="2" t="s">
        <v>53</v>
      </c>
      <c r="T1801" s="2" t="s">
        <v>133</v>
      </c>
    </row>
    <row r="1802" spans="1:20" x14ac:dyDescent="0.25">
      <c r="A1802" s="2" t="s">
        <v>2995</v>
      </c>
      <c r="B1802" s="3">
        <v>41967</v>
      </c>
      <c r="C1802" s="3">
        <v>41970</v>
      </c>
      <c r="D1802" s="2" t="s">
        <v>55</v>
      </c>
      <c r="E1802" s="2" t="s">
        <v>1462</v>
      </c>
      <c r="F1802" s="2" t="s">
        <v>1463</v>
      </c>
      <c r="G1802" s="2" t="s">
        <v>38</v>
      </c>
      <c r="H1802" s="2" t="s">
        <v>25</v>
      </c>
      <c r="I1802" s="2" t="s">
        <v>394</v>
      </c>
      <c r="J1802" s="2" t="s">
        <v>289</v>
      </c>
      <c r="K1802" s="2" t="s">
        <v>82</v>
      </c>
      <c r="L1802" s="2" t="s">
        <v>254</v>
      </c>
      <c r="M1802" s="2" t="s">
        <v>30</v>
      </c>
      <c r="N1802" s="2" t="s">
        <v>162</v>
      </c>
      <c r="O1802" s="2" t="s">
        <v>255</v>
      </c>
      <c r="P1802" s="4">
        <v>367.78149999999999</v>
      </c>
      <c r="Q1802" s="4">
        <v>4</v>
      </c>
      <c r="R1802" s="4">
        <v>-18.960799999999999</v>
      </c>
      <c r="S1802" s="2" t="s">
        <v>92</v>
      </c>
      <c r="T1802" s="2" t="s">
        <v>93</v>
      </c>
    </row>
    <row r="1803" spans="1:20" x14ac:dyDescent="0.25">
      <c r="A1803" s="2" t="s">
        <v>2996</v>
      </c>
      <c r="B1803" s="3">
        <v>42667</v>
      </c>
      <c r="C1803" s="3">
        <v>42669</v>
      </c>
      <c r="D1803" s="2" t="s">
        <v>55</v>
      </c>
      <c r="E1803" s="2" t="s">
        <v>1446</v>
      </c>
      <c r="F1803" s="2" t="s">
        <v>1447</v>
      </c>
      <c r="G1803" s="2" t="s">
        <v>58</v>
      </c>
      <c r="H1803" s="2" t="s">
        <v>25</v>
      </c>
      <c r="I1803" s="2" t="s">
        <v>902</v>
      </c>
      <c r="J1803" s="2" t="s">
        <v>632</v>
      </c>
      <c r="K1803" s="2" t="s">
        <v>82</v>
      </c>
      <c r="L1803" s="2" t="s">
        <v>66</v>
      </c>
      <c r="M1803" s="2" t="s">
        <v>30</v>
      </c>
      <c r="N1803" s="2" t="s">
        <v>31</v>
      </c>
      <c r="O1803" s="2" t="s">
        <v>67</v>
      </c>
      <c r="P1803" s="4">
        <v>850.57489999999996</v>
      </c>
      <c r="Q1803" s="4">
        <v>2</v>
      </c>
      <c r="R1803" s="4">
        <v>-10.277799999999999</v>
      </c>
      <c r="S1803" s="2" t="s">
        <v>53</v>
      </c>
      <c r="T1803" s="2" t="s">
        <v>224</v>
      </c>
    </row>
    <row r="1804" spans="1:20" x14ac:dyDescent="0.25">
      <c r="A1804" s="2" t="s">
        <v>2996</v>
      </c>
      <c r="B1804" s="3">
        <v>42667</v>
      </c>
      <c r="C1804" s="3">
        <v>42669</v>
      </c>
      <c r="D1804" s="2" t="s">
        <v>55</v>
      </c>
      <c r="E1804" s="2" t="s">
        <v>1446</v>
      </c>
      <c r="F1804" s="2" t="s">
        <v>1447</v>
      </c>
      <c r="G1804" s="2" t="s">
        <v>58</v>
      </c>
      <c r="H1804" s="2" t="s">
        <v>25</v>
      </c>
      <c r="I1804" s="2" t="s">
        <v>902</v>
      </c>
      <c r="J1804" s="2" t="s">
        <v>632</v>
      </c>
      <c r="K1804" s="2" t="s">
        <v>82</v>
      </c>
      <c r="L1804" s="2" t="s">
        <v>252</v>
      </c>
      <c r="M1804" s="2" t="s">
        <v>30</v>
      </c>
      <c r="N1804" s="2" t="s">
        <v>31</v>
      </c>
      <c r="O1804" s="2" t="s">
        <v>253</v>
      </c>
      <c r="P1804" s="4">
        <v>149.16390000000001</v>
      </c>
      <c r="Q1804" s="4">
        <v>2</v>
      </c>
      <c r="R1804" s="4">
        <v>-17.829899999999999</v>
      </c>
      <c r="S1804" s="2" t="s">
        <v>53</v>
      </c>
      <c r="T1804" s="2" t="s">
        <v>224</v>
      </c>
    </row>
    <row r="1805" spans="1:20" x14ac:dyDescent="0.25">
      <c r="A1805" s="2" t="s">
        <v>2996</v>
      </c>
      <c r="B1805" s="3">
        <v>42667</v>
      </c>
      <c r="C1805" s="3">
        <v>42669</v>
      </c>
      <c r="D1805" s="2" t="s">
        <v>55</v>
      </c>
      <c r="E1805" s="2" t="s">
        <v>1446</v>
      </c>
      <c r="F1805" s="2" t="s">
        <v>1447</v>
      </c>
      <c r="G1805" s="2" t="s">
        <v>58</v>
      </c>
      <c r="H1805" s="2" t="s">
        <v>25</v>
      </c>
      <c r="I1805" s="2" t="s">
        <v>902</v>
      </c>
      <c r="J1805" s="2" t="s">
        <v>632</v>
      </c>
      <c r="K1805" s="2" t="s">
        <v>82</v>
      </c>
      <c r="L1805" s="2" t="s">
        <v>612</v>
      </c>
      <c r="M1805" s="2" t="s">
        <v>30</v>
      </c>
      <c r="N1805" s="2" t="s">
        <v>162</v>
      </c>
      <c r="O1805" s="2" t="s">
        <v>613</v>
      </c>
      <c r="P1805" s="4">
        <v>479.08330000000001</v>
      </c>
      <c r="Q1805" s="4">
        <v>7</v>
      </c>
      <c r="R1805" s="4">
        <v>97.284300000000002</v>
      </c>
      <c r="S1805" s="2" t="s">
        <v>53</v>
      </c>
      <c r="T1805" s="2" t="s">
        <v>224</v>
      </c>
    </row>
    <row r="1806" spans="1:20" x14ac:dyDescent="0.25">
      <c r="A1806" s="2" t="s">
        <v>2996</v>
      </c>
      <c r="B1806" s="3">
        <v>42667</v>
      </c>
      <c r="C1806" s="3">
        <v>42669</v>
      </c>
      <c r="D1806" s="2" t="s">
        <v>55</v>
      </c>
      <c r="E1806" s="2" t="s">
        <v>1446</v>
      </c>
      <c r="F1806" s="2" t="s">
        <v>1447</v>
      </c>
      <c r="G1806" s="2" t="s">
        <v>58</v>
      </c>
      <c r="H1806" s="2" t="s">
        <v>25</v>
      </c>
      <c r="I1806" s="2" t="s">
        <v>902</v>
      </c>
      <c r="J1806" s="2" t="s">
        <v>632</v>
      </c>
      <c r="K1806" s="2" t="s">
        <v>82</v>
      </c>
      <c r="L1806" s="2" t="s">
        <v>252</v>
      </c>
      <c r="M1806" s="2" t="s">
        <v>30</v>
      </c>
      <c r="N1806" s="2" t="s">
        <v>31</v>
      </c>
      <c r="O1806" s="2" t="s">
        <v>253</v>
      </c>
      <c r="P1806" s="4">
        <v>103.4546</v>
      </c>
      <c r="Q1806" s="4">
        <v>5</v>
      </c>
      <c r="R1806" s="4">
        <v>-24.091100000000001</v>
      </c>
      <c r="S1806" s="2" t="s">
        <v>53</v>
      </c>
      <c r="T1806" s="2" t="s">
        <v>224</v>
      </c>
    </row>
    <row r="1807" spans="1:20" x14ac:dyDescent="0.25">
      <c r="A1807" s="2" t="s">
        <v>2997</v>
      </c>
      <c r="B1807" s="3">
        <v>42254</v>
      </c>
      <c r="C1807" s="3">
        <v>42256</v>
      </c>
      <c r="D1807" s="2" t="s">
        <v>55</v>
      </c>
      <c r="E1807" s="2" t="s">
        <v>1158</v>
      </c>
      <c r="F1807" s="2" t="s">
        <v>1159</v>
      </c>
      <c r="G1807" s="2" t="s">
        <v>24</v>
      </c>
      <c r="H1807" s="2" t="s">
        <v>25</v>
      </c>
      <c r="I1807" s="2" t="s">
        <v>145</v>
      </c>
      <c r="J1807" s="2" t="s">
        <v>146</v>
      </c>
      <c r="K1807" s="2" t="s">
        <v>147</v>
      </c>
      <c r="L1807" s="2" t="s">
        <v>218</v>
      </c>
      <c r="M1807" s="2" t="s">
        <v>30</v>
      </c>
      <c r="N1807" s="2" t="s">
        <v>31</v>
      </c>
      <c r="O1807" s="2" t="s">
        <v>219</v>
      </c>
      <c r="P1807" s="4">
        <v>440.28620000000001</v>
      </c>
      <c r="Q1807" s="4">
        <v>4</v>
      </c>
      <c r="R1807" s="4">
        <v>-199.53729999999999</v>
      </c>
      <c r="S1807" s="2" t="s">
        <v>53</v>
      </c>
      <c r="T1807" s="2" t="s">
        <v>148</v>
      </c>
    </row>
    <row r="1808" spans="1:20" x14ac:dyDescent="0.25">
      <c r="A1808" s="2" t="s">
        <v>2997</v>
      </c>
      <c r="B1808" s="3">
        <v>42254</v>
      </c>
      <c r="C1808" s="3">
        <v>42256</v>
      </c>
      <c r="D1808" s="2" t="s">
        <v>55</v>
      </c>
      <c r="E1808" s="2" t="s">
        <v>1158</v>
      </c>
      <c r="F1808" s="2" t="s">
        <v>1159</v>
      </c>
      <c r="G1808" s="2" t="s">
        <v>24</v>
      </c>
      <c r="H1808" s="2" t="s">
        <v>25</v>
      </c>
      <c r="I1808" s="2" t="s">
        <v>145</v>
      </c>
      <c r="J1808" s="2" t="s">
        <v>146</v>
      </c>
      <c r="K1808" s="2" t="s">
        <v>147</v>
      </c>
      <c r="L1808" s="2" t="s">
        <v>333</v>
      </c>
      <c r="M1808" s="2" t="s">
        <v>30</v>
      </c>
      <c r="N1808" s="2" t="s">
        <v>162</v>
      </c>
      <c r="O1808" s="2" t="s">
        <v>334</v>
      </c>
      <c r="P1808" s="4">
        <v>453.73140000000001</v>
      </c>
      <c r="Q1808" s="4">
        <v>2</v>
      </c>
      <c r="R1808" s="4">
        <v>70.671099999999996</v>
      </c>
      <c r="S1808" s="2" t="s">
        <v>53</v>
      </c>
      <c r="T1808" s="2" t="s">
        <v>148</v>
      </c>
    </row>
    <row r="1809" spans="1:20" x14ac:dyDescent="0.25">
      <c r="A1809" s="2" t="s">
        <v>2997</v>
      </c>
      <c r="B1809" s="3">
        <v>42254</v>
      </c>
      <c r="C1809" s="3">
        <v>42256</v>
      </c>
      <c r="D1809" s="2" t="s">
        <v>55</v>
      </c>
      <c r="E1809" s="2" t="s">
        <v>1158</v>
      </c>
      <c r="F1809" s="2" t="s">
        <v>1159</v>
      </c>
      <c r="G1809" s="2" t="s">
        <v>24</v>
      </c>
      <c r="H1809" s="2" t="s">
        <v>25</v>
      </c>
      <c r="I1809" s="2" t="s">
        <v>145</v>
      </c>
      <c r="J1809" s="2" t="s">
        <v>146</v>
      </c>
      <c r="K1809" s="2" t="s">
        <v>147</v>
      </c>
      <c r="L1809" s="2" t="s">
        <v>154</v>
      </c>
      <c r="M1809" s="2" t="s">
        <v>30</v>
      </c>
      <c r="N1809" s="2" t="s">
        <v>42</v>
      </c>
      <c r="O1809" s="2" t="s">
        <v>155</v>
      </c>
      <c r="P1809" s="4">
        <v>524.60709999999995</v>
      </c>
      <c r="Q1809" s="4">
        <v>5</v>
      </c>
      <c r="R1809" s="4">
        <v>-42.939</v>
      </c>
      <c r="S1809" s="2" t="s">
        <v>53</v>
      </c>
      <c r="T1809" s="2" t="s">
        <v>148</v>
      </c>
    </row>
    <row r="1810" spans="1:20" x14ac:dyDescent="0.25">
      <c r="A1810" s="2" t="s">
        <v>2997</v>
      </c>
      <c r="B1810" s="3">
        <v>42254</v>
      </c>
      <c r="C1810" s="3">
        <v>42256</v>
      </c>
      <c r="D1810" s="2" t="s">
        <v>55</v>
      </c>
      <c r="E1810" s="2" t="s">
        <v>1158</v>
      </c>
      <c r="F1810" s="2" t="s">
        <v>1159</v>
      </c>
      <c r="G1810" s="2" t="s">
        <v>24</v>
      </c>
      <c r="H1810" s="2" t="s">
        <v>25</v>
      </c>
      <c r="I1810" s="2" t="s">
        <v>145</v>
      </c>
      <c r="J1810" s="2" t="s">
        <v>146</v>
      </c>
      <c r="K1810" s="2" t="s">
        <v>147</v>
      </c>
      <c r="L1810" s="2" t="s">
        <v>933</v>
      </c>
      <c r="M1810" s="2" t="s">
        <v>30</v>
      </c>
      <c r="N1810" s="2" t="s">
        <v>162</v>
      </c>
      <c r="O1810" s="2" t="s">
        <v>934</v>
      </c>
      <c r="P1810" s="4">
        <v>180.66499999999999</v>
      </c>
      <c r="Q1810" s="4">
        <v>2</v>
      </c>
      <c r="R1810" s="4">
        <v>-49.628599999999999</v>
      </c>
      <c r="S1810" s="2" t="s">
        <v>53</v>
      </c>
      <c r="T1810" s="2" t="s">
        <v>148</v>
      </c>
    </row>
    <row r="1811" spans="1:20" x14ac:dyDescent="0.25">
      <c r="A1811" s="2" t="s">
        <v>2998</v>
      </c>
      <c r="B1811" s="3">
        <v>42339</v>
      </c>
      <c r="C1811" s="3">
        <v>42345</v>
      </c>
      <c r="D1811" s="2" t="s">
        <v>55</v>
      </c>
      <c r="E1811" s="2" t="s">
        <v>2377</v>
      </c>
      <c r="F1811" s="2" t="s">
        <v>2378</v>
      </c>
      <c r="G1811" s="2" t="s">
        <v>58</v>
      </c>
      <c r="H1811" s="2" t="s">
        <v>25</v>
      </c>
      <c r="I1811" s="2" t="s">
        <v>243</v>
      </c>
      <c r="J1811" s="2" t="s">
        <v>244</v>
      </c>
      <c r="K1811" s="2" t="s">
        <v>61</v>
      </c>
      <c r="L1811" s="2" t="s">
        <v>174</v>
      </c>
      <c r="M1811" s="2" t="s">
        <v>30</v>
      </c>
      <c r="N1811" s="2" t="s">
        <v>31</v>
      </c>
      <c r="O1811" s="2" t="s">
        <v>175</v>
      </c>
      <c r="P1811" s="4">
        <v>37.387900000000002</v>
      </c>
      <c r="Q1811" s="4">
        <v>1</v>
      </c>
      <c r="R1811" s="4">
        <v>4.7763</v>
      </c>
      <c r="S1811" s="2" t="s">
        <v>65</v>
      </c>
      <c r="T1811" s="2" t="s">
        <v>76</v>
      </c>
    </row>
    <row r="1812" spans="1:20" x14ac:dyDescent="0.25">
      <c r="A1812" s="2" t="s">
        <v>2999</v>
      </c>
      <c r="B1812" s="3">
        <v>41979</v>
      </c>
      <c r="C1812" s="3">
        <v>41980</v>
      </c>
      <c r="D1812" s="2" t="s">
        <v>55</v>
      </c>
      <c r="E1812" s="2" t="s">
        <v>2199</v>
      </c>
      <c r="F1812" s="2" t="s">
        <v>2200</v>
      </c>
      <c r="G1812" s="2" t="s">
        <v>38</v>
      </c>
      <c r="H1812" s="2" t="s">
        <v>25</v>
      </c>
      <c r="I1812" s="2" t="s">
        <v>902</v>
      </c>
      <c r="J1812" s="2" t="s">
        <v>632</v>
      </c>
      <c r="K1812" s="2" t="s">
        <v>82</v>
      </c>
      <c r="L1812" s="2" t="s">
        <v>207</v>
      </c>
      <c r="M1812" s="2" t="s">
        <v>30</v>
      </c>
      <c r="N1812" s="2" t="s">
        <v>31</v>
      </c>
      <c r="O1812" s="2" t="s">
        <v>208</v>
      </c>
      <c r="P1812" s="4">
        <v>65.724000000000004</v>
      </c>
      <c r="Q1812" s="4">
        <v>7</v>
      </c>
      <c r="R1812" s="4">
        <v>39.800600000000003</v>
      </c>
      <c r="S1812" s="2" t="s">
        <v>33</v>
      </c>
      <c r="T1812" s="2" t="s">
        <v>76</v>
      </c>
    </row>
    <row r="1813" spans="1:20" x14ac:dyDescent="0.25">
      <c r="A1813" s="2" t="s">
        <v>3000</v>
      </c>
      <c r="B1813" s="3">
        <v>43067</v>
      </c>
      <c r="C1813" s="3">
        <v>43074</v>
      </c>
      <c r="D1813" s="2" t="s">
        <v>55</v>
      </c>
      <c r="E1813" s="2" t="s">
        <v>2440</v>
      </c>
      <c r="F1813" s="2" t="s">
        <v>2441</v>
      </c>
      <c r="G1813" s="2" t="s">
        <v>58</v>
      </c>
      <c r="H1813" s="2" t="s">
        <v>25</v>
      </c>
      <c r="I1813" s="2" t="s">
        <v>198</v>
      </c>
      <c r="J1813" s="2" t="s">
        <v>199</v>
      </c>
      <c r="K1813" s="2" t="s">
        <v>82</v>
      </c>
      <c r="L1813" s="2" t="s">
        <v>252</v>
      </c>
      <c r="M1813" s="2" t="s">
        <v>30</v>
      </c>
      <c r="N1813" s="2" t="s">
        <v>31</v>
      </c>
      <c r="O1813" s="2" t="s">
        <v>253</v>
      </c>
      <c r="P1813" s="4">
        <v>25.9039</v>
      </c>
      <c r="Q1813" s="4">
        <v>3</v>
      </c>
      <c r="R1813" s="4">
        <v>-5.5850999999999997</v>
      </c>
      <c r="S1813" s="2" t="s">
        <v>107</v>
      </c>
      <c r="T1813" s="2" t="s">
        <v>93</v>
      </c>
    </row>
    <row r="1814" spans="1:20" x14ac:dyDescent="0.25">
      <c r="A1814" s="2" t="s">
        <v>3000</v>
      </c>
      <c r="B1814" s="3">
        <v>43067</v>
      </c>
      <c r="C1814" s="3">
        <v>43074</v>
      </c>
      <c r="D1814" s="2" t="s">
        <v>55</v>
      </c>
      <c r="E1814" s="2" t="s">
        <v>2440</v>
      </c>
      <c r="F1814" s="2" t="s">
        <v>2441</v>
      </c>
      <c r="G1814" s="2" t="s">
        <v>58</v>
      </c>
      <c r="H1814" s="2" t="s">
        <v>25</v>
      </c>
      <c r="I1814" s="2" t="s">
        <v>198</v>
      </c>
      <c r="J1814" s="2" t="s">
        <v>199</v>
      </c>
      <c r="K1814" s="2" t="s">
        <v>82</v>
      </c>
      <c r="L1814" s="2" t="s">
        <v>323</v>
      </c>
      <c r="M1814" s="2" t="s">
        <v>30</v>
      </c>
      <c r="N1814" s="2" t="s">
        <v>31</v>
      </c>
      <c r="O1814" s="2" t="s">
        <v>324</v>
      </c>
      <c r="P1814" s="4">
        <v>53.047699999999999</v>
      </c>
      <c r="Q1814" s="4">
        <v>4</v>
      </c>
      <c r="R1814" s="4">
        <v>-5.8188000000000004</v>
      </c>
      <c r="S1814" s="2" t="s">
        <v>107</v>
      </c>
      <c r="T1814" s="2" t="s">
        <v>93</v>
      </c>
    </row>
    <row r="1815" spans="1:20" x14ac:dyDescent="0.25">
      <c r="A1815" s="2" t="s">
        <v>3001</v>
      </c>
      <c r="B1815" s="3">
        <v>43073</v>
      </c>
      <c r="C1815" s="3">
        <v>43074</v>
      </c>
      <c r="D1815" s="2" t="s">
        <v>48</v>
      </c>
      <c r="E1815" s="2" t="s">
        <v>1624</v>
      </c>
      <c r="F1815" s="2" t="s">
        <v>1625</v>
      </c>
      <c r="G1815" s="2" t="s">
        <v>38</v>
      </c>
      <c r="H1815" s="2" t="s">
        <v>25</v>
      </c>
      <c r="I1815" s="2" t="s">
        <v>402</v>
      </c>
      <c r="J1815" s="2" t="s">
        <v>403</v>
      </c>
      <c r="K1815" s="2" t="s">
        <v>147</v>
      </c>
      <c r="L1815" s="2" t="s">
        <v>83</v>
      </c>
      <c r="M1815" s="2" t="s">
        <v>30</v>
      </c>
      <c r="N1815" s="2" t="s">
        <v>42</v>
      </c>
      <c r="O1815" s="2" t="s">
        <v>84</v>
      </c>
      <c r="P1815" s="4">
        <v>202.5172</v>
      </c>
      <c r="Q1815" s="4">
        <v>2</v>
      </c>
      <c r="R1815" s="4">
        <v>-6.0963000000000003</v>
      </c>
      <c r="S1815" s="2" t="s">
        <v>33</v>
      </c>
      <c r="T1815" s="2" t="s">
        <v>76</v>
      </c>
    </row>
    <row r="1816" spans="1:20" x14ac:dyDescent="0.25">
      <c r="A1816" s="2" t="s">
        <v>3001</v>
      </c>
      <c r="B1816" s="3">
        <v>43073</v>
      </c>
      <c r="C1816" s="3">
        <v>43074</v>
      </c>
      <c r="D1816" s="2" t="s">
        <v>48</v>
      </c>
      <c r="E1816" s="2" t="s">
        <v>1624</v>
      </c>
      <c r="F1816" s="2" t="s">
        <v>1625</v>
      </c>
      <c r="G1816" s="2" t="s">
        <v>38</v>
      </c>
      <c r="H1816" s="2" t="s">
        <v>25</v>
      </c>
      <c r="I1816" s="2" t="s">
        <v>402</v>
      </c>
      <c r="J1816" s="2" t="s">
        <v>403</v>
      </c>
      <c r="K1816" s="2" t="s">
        <v>147</v>
      </c>
      <c r="L1816" s="2" t="s">
        <v>328</v>
      </c>
      <c r="M1816" s="2" t="s">
        <v>30</v>
      </c>
      <c r="N1816" s="2" t="s">
        <v>63</v>
      </c>
      <c r="O1816" s="2" t="s">
        <v>329</v>
      </c>
      <c r="P1816" s="4">
        <v>530.16980000000001</v>
      </c>
      <c r="Q1816" s="4">
        <v>2</v>
      </c>
      <c r="R1816" s="4">
        <v>-124.6001</v>
      </c>
      <c r="S1816" s="2" t="s">
        <v>33</v>
      </c>
      <c r="T1816" s="2" t="s">
        <v>76</v>
      </c>
    </row>
    <row r="1817" spans="1:20" x14ac:dyDescent="0.25">
      <c r="A1817" s="2" t="s">
        <v>3002</v>
      </c>
      <c r="B1817" s="3">
        <v>42487</v>
      </c>
      <c r="C1817" s="3">
        <v>42487</v>
      </c>
      <c r="D1817" s="2" t="s">
        <v>142</v>
      </c>
      <c r="E1817" s="2" t="s">
        <v>924</v>
      </c>
      <c r="F1817" s="2" t="s">
        <v>925</v>
      </c>
      <c r="G1817" s="2" t="s">
        <v>24</v>
      </c>
      <c r="H1817" s="2" t="s">
        <v>25</v>
      </c>
      <c r="I1817" s="2" t="s">
        <v>1128</v>
      </c>
      <c r="J1817" s="2" t="s">
        <v>667</v>
      </c>
      <c r="K1817" s="2" t="s">
        <v>28</v>
      </c>
      <c r="L1817" s="2" t="s">
        <v>113</v>
      </c>
      <c r="M1817" s="2" t="s">
        <v>30</v>
      </c>
      <c r="N1817" s="2" t="s">
        <v>31</v>
      </c>
      <c r="O1817" s="2" t="s">
        <v>114</v>
      </c>
      <c r="P1817" s="4">
        <v>148.18709999999999</v>
      </c>
      <c r="Q1817" s="4">
        <v>3</v>
      </c>
      <c r="R1817" s="4">
        <v>46.4771</v>
      </c>
      <c r="S1817" s="2" t="s">
        <v>121</v>
      </c>
      <c r="T1817" s="2" t="s">
        <v>108</v>
      </c>
    </row>
    <row r="1818" spans="1:20" x14ac:dyDescent="0.25">
      <c r="A1818" s="2" t="s">
        <v>3003</v>
      </c>
      <c r="B1818" s="3">
        <v>42904</v>
      </c>
      <c r="C1818" s="3">
        <v>42905</v>
      </c>
      <c r="D1818" s="2" t="s">
        <v>55</v>
      </c>
      <c r="E1818" s="2" t="s">
        <v>3004</v>
      </c>
      <c r="F1818" s="2" t="s">
        <v>3005</v>
      </c>
      <c r="G1818" s="2" t="s">
        <v>58</v>
      </c>
      <c r="H1818" s="2" t="s">
        <v>25</v>
      </c>
      <c r="I1818" s="2" t="s">
        <v>288</v>
      </c>
      <c r="J1818" s="2" t="s">
        <v>289</v>
      </c>
      <c r="K1818" s="2" t="s">
        <v>82</v>
      </c>
      <c r="L1818" s="2" t="s">
        <v>186</v>
      </c>
      <c r="M1818" s="2" t="s">
        <v>30</v>
      </c>
      <c r="N1818" s="2" t="s">
        <v>31</v>
      </c>
      <c r="O1818" s="2" t="s">
        <v>187</v>
      </c>
      <c r="P1818" s="4">
        <v>100.60290000000001</v>
      </c>
      <c r="Q1818" s="4">
        <v>3</v>
      </c>
      <c r="R1818" s="4">
        <v>-15.287599999999999</v>
      </c>
      <c r="S1818" s="2" t="s">
        <v>33</v>
      </c>
      <c r="T1818" s="2" t="s">
        <v>133</v>
      </c>
    </row>
    <row r="1819" spans="1:20" x14ac:dyDescent="0.25">
      <c r="A1819" s="2" t="s">
        <v>3006</v>
      </c>
      <c r="B1819" s="3">
        <v>42991</v>
      </c>
      <c r="C1819" s="3">
        <v>42998</v>
      </c>
      <c r="D1819" s="2" t="s">
        <v>55</v>
      </c>
      <c r="E1819" s="2" t="s">
        <v>467</v>
      </c>
      <c r="F1819" s="2" t="s">
        <v>468</v>
      </c>
      <c r="G1819" s="2" t="s">
        <v>58</v>
      </c>
      <c r="H1819" s="2" t="s">
        <v>25</v>
      </c>
      <c r="I1819" s="2" t="s">
        <v>474</v>
      </c>
      <c r="J1819" s="2" t="s">
        <v>475</v>
      </c>
      <c r="K1819" s="2" t="s">
        <v>28</v>
      </c>
      <c r="L1819" s="2" t="s">
        <v>193</v>
      </c>
      <c r="M1819" s="2" t="s">
        <v>30</v>
      </c>
      <c r="N1819" s="2" t="s">
        <v>42</v>
      </c>
      <c r="O1819" s="2" t="s">
        <v>194</v>
      </c>
      <c r="P1819" s="4">
        <v>177.89709999999999</v>
      </c>
      <c r="Q1819" s="4">
        <v>2</v>
      </c>
      <c r="R1819" s="4">
        <v>42.870399999999997</v>
      </c>
      <c r="S1819" s="2" t="s">
        <v>107</v>
      </c>
      <c r="T1819" s="2" t="s">
        <v>148</v>
      </c>
    </row>
    <row r="1820" spans="1:20" x14ac:dyDescent="0.25">
      <c r="A1820" s="2" t="s">
        <v>3006</v>
      </c>
      <c r="B1820" s="3">
        <v>42991</v>
      </c>
      <c r="C1820" s="3">
        <v>42998</v>
      </c>
      <c r="D1820" s="2" t="s">
        <v>55</v>
      </c>
      <c r="E1820" s="2" t="s">
        <v>467</v>
      </c>
      <c r="F1820" s="2" t="s">
        <v>468</v>
      </c>
      <c r="G1820" s="2" t="s">
        <v>58</v>
      </c>
      <c r="H1820" s="2" t="s">
        <v>25</v>
      </c>
      <c r="I1820" s="2" t="s">
        <v>474</v>
      </c>
      <c r="J1820" s="2" t="s">
        <v>475</v>
      </c>
      <c r="K1820" s="2" t="s">
        <v>28</v>
      </c>
      <c r="L1820" s="2" t="s">
        <v>174</v>
      </c>
      <c r="M1820" s="2" t="s">
        <v>30</v>
      </c>
      <c r="N1820" s="2" t="s">
        <v>31</v>
      </c>
      <c r="O1820" s="2" t="s">
        <v>175</v>
      </c>
      <c r="P1820" s="4">
        <v>45.786499999999997</v>
      </c>
      <c r="Q1820" s="4">
        <v>5</v>
      </c>
      <c r="R1820" s="4">
        <v>-3.4419</v>
      </c>
      <c r="S1820" s="2" t="s">
        <v>107</v>
      </c>
      <c r="T1820" s="2" t="s">
        <v>148</v>
      </c>
    </row>
    <row r="1821" spans="1:20" x14ac:dyDescent="0.25">
      <c r="A1821" s="2" t="s">
        <v>3006</v>
      </c>
      <c r="B1821" s="3">
        <v>42991</v>
      </c>
      <c r="C1821" s="3">
        <v>42998</v>
      </c>
      <c r="D1821" s="2" t="s">
        <v>55</v>
      </c>
      <c r="E1821" s="2" t="s">
        <v>467</v>
      </c>
      <c r="F1821" s="2" t="s">
        <v>468</v>
      </c>
      <c r="G1821" s="2" t="s">
        <v>58</v>
      </c>
      <c r="H1821" s="2" t="s">
        <v>25</v>
      </c>
      <c r="I1821" s="2" t="s">
        <v>474</v>
      </c>
      <c r="J1821" s="2" t="s">
        <v>475</v>
      </c>
      <c r="K1821" s="2" t="s">
        <v>28</v>
      </c>
      <c r="L1821" s="2" t="s">
        <v>73</v>
      </c>
      <c r="M1821" s="2" t="s">
        <v>30</v>
      </c>
      <c r="N1821" s="2" t="s">
        <v>42</v>
      </c>
      <c r="O1821" s="2" t="s">
        <v>74</v>
      </c>
      <c r="P1821" s="4">
        <v>920.58860000000004</v>
      </c>
      <c r="Q1821" s="4">
        <v>1</v>
      </c>
      <c r="R1821" s="4">
        <v>-48.591299999999997</v>
      </c>
      <c r="S1821" s="2" t="s">
        <v>107</v>
      </c>
      <c r="T1821" s="2" t="s">
        <v>148</v>
      </c>
    </row>
    <row r="1822" spans="1:20" x14ac:dyDescent="0.25">
      <c r="A1822" s="2" t="s">
        <v>3006</v>
      </c>
      <c r="B1822" s="3">
        <v>42991</v>
      </c>
      <c r="C1822" s="3">
        <v>42998</v>
      </c>
      <c r="D1822" s="2" t="s">
        <v>55</v>
      </c>
      <c r="E1822" s="2" t="s">
        <v>467</v>
      </c>
      <c r="F1822" s="2" t="s">
        <v>468</v>
      </c>
      <c r="G1822" s="2" t="s">
        <v>58</v>
      </c>
      <c r="H1822" s="2" t="s">
        <v>25</v>
      </c>
      <c r="I1822" s="2" t="s">
        <v>474</v>
      </c>
      <c r="J1822" s="2" t="s">
        <v>475</v>
      </c>
      <c r="K1822" s="2" t="s">
        <v>28</v>
      </c>
      <c r="L1822" s="2" t="s">
        <v>372</v>
      </c>
      <c r="M1822" s="2" t="s">
        <v>30</v>
      </c>
      <c r="N1822" s="2" t="s">
        <v>162</v>
      </c>
      <c r="O1822" s="2" t="s">
        <v>373</v>
      </c>
      <c r="P1822" s="4">
        <v>32.174500000000002</v>
      </c>
      <c r="Q1822" s="4">
        <v>2</v>
      </c>
      <c r="R1822" s="4">
        <v>-0.24379999999999999</v>
      </c>
      <c r="S1822" s="2" t="s">
        <v>107</v>
      </c>
      <c r="T1822" s="2" t="s">
        <v>148</v>
      </c>
    </row>
    <row r="1823" spans="1:20" x14ac:dyDescent="0.25">
      <c r="A1823" s="2" t="s">
        <v>3007</v>
      </c>
      <c r="B1823" s="3">
        <v>43038</v>
      </c>
      <c r="C1823" s="3">
        <v>43044</v>
      </c>
      <c r="D1823" s="2" t="s">
        <v>55</v>
      </c>
      <c r="E1823" s="2" t="s">
        <v>1517</v>
      </c>
      <c r="F1823" s="2" t="s">
        <v>1518</v>
      </c>
      <c r="G1823" s="2" t="s">
        <v>24</v>
      </c>
      <c r="H1823" s="2" t="s">
        <v>25</v>
      </c>
      <c r="I1823" s="2" t="s">
        <v>216</v>
      </c>
      <c r="J1823" s="2" t="s">
        <v>217</v>
      </c>
      <c r="K1823" s="2" t="s">
        <v>82</v>
      </c>
      <c r="L1823" s="2" t="s">
        <v>252</v>
      </c>
      <c r="M1823" s="2" t="s">
        <v>30</v>
      </c>
      <c r="N1823" s="2" t="s">
        <v>31</v>
      </c>
      <c r="O1823" s="2" t="s">
        <v>253</v>
      </c>
      <c r="P1823" s="4">
        <v>83.983800000000002</v>
      </c>
      <c r="Q1823" s="4">
        <v>2</v>
      </c>
      <c r="R1823" s="4">
        <v>-14.119400000000001</v>
      </c>
      <c r="S1823" s="2" t="s">
        <v>65</v>
      </c>
      <c r="T1823" s="2" t="s">
        <v>224</v>
      </c>
    </row>
    <row r="1824" spans="1:20" x14ac:dyDescent="0.25">
      <c r="A1824" s="2" t="s">
        <v>3007</v>
      </c>
      <c r="B1824" s="3">
        <v>43038</v>
      </c>
      <c r="C1824" s="3">
        <v>43044</v>
      </c>
      <c r="D1824" s="2" t="s">
        <v>55</v>
      </c>
      <c r="E1824" s="2" t="s">
        <v>1517</v>
      </c>
      <c r="F1824" s="2" t="s">
        <v>1518</v>
      </c>
      <c r="G1824" s="2" t="s">
        <v>24</v>
      </c>
      <c r="H1824" s="2" t="s">
        <v>25</v>
      </c>
      <c r="I1824" s="2" t="s">
        <v>216</v>
      </c>
      <c r="J1824" s="2" t="s">
        <v>217</v>
      </c>
      <c r="K1824" s="2" t="s">
        <v>82</v>
      </c>
      <c r="L1824" s="2" t="s">
        <v>169</v>
      </c>
      <c r="M1824" s="2" t="s">
        <v>30</v>
      </c>
      <c r="N1824" s="2" t="s">
        <v>162</v>
      </c>
      <c r="O1824" s="2" t="s">
        <v>170</v>
      </c>
      <c r="P1824" s="4">
        <v>377.61130000000003</v>
      </c>
      <c r="Q1824" s="4">
        <v>2</v>
      </c>
      <c r="R1824" s="4">
        <v>-29.961200000000002</v>
      </c>
      <c r="S1824" s="2" t="s">
        <v>65</v>
      </c>
      <c r="T1824" s="2" t="s">
        <v>224</v>
      </c>
    </row>
    <row r="1825" spans="1:20" x14ac:dyDescent="0.25">
      <c r="A1825" s="2" t="s">
        <v>3007</v>
      </c>
      <c r="B1825" s="3">
        <v>43038</v>
      </c>
      <c r="C1825" s="3">
        <v>43044</v>
      </c>
      <c r="D1825" s="2" t="s">
        <v>55</v>
      </c>
      <c r="E1825" s="2" t="s">
        <v>1517</v>
      </c>
      <c r="F1825" s="2" t="s">
        <v>1518</v>
      </c>
      <c r="G1825" s="2" t="s">
        <v>24</v>
      </c>
      <c r="H1825" s="2" t="s">
        <v>25</v>
      </c>
      <c r="I1825" s="2" t="s">
        <v>216</v>
      </c>
      <c r="J1825" s="2" t="s">
        <v>217</v>
      </c>
      <c r="K1825" s="2" t="s">
        <v>82</v>
      </c>
      <c r="L1825" s="2" t="s">
        <v>344</v>
      </c>
      <c r="M1825" s="2" t="s">
        <v>30</v>
      </c>
      <c r="N1825" s="2" t="s">
        <v>42</v>
      </c>
      <c r="O1825" s="2" t="s">
        <v>345</v>
      </c>
      <c r="P1825" s="4">
        <v>190.00729999999999</v>
      </c>
      <c r="Q1825" s="4">
        <v>5</v>
      </c>
      <c r="R1825" s="4">
        <v>0.6673</v>
      </c>
      <c r="S1825" s="2" t="s">
        <v>65</v>
      </c>
      <c r="T1825" s="2" t="s">
        <v>224</v>
      </c>
    </row>
    <row r="1826" spans="1:20" x14ac:dyDescent="0.25">
      <c r="A1826" s="2" t="s">
        <v>3008</v>
      </c>
      <c r="B1826" s="3">
        <v>41754</v>
      </c>
      <c r="C1826" s="3">
        <v>41755</v>
      </c>
      <c r="D1826" s="2" t="s">
        <v>48</v>
      </c>
      <c r="E1826" s="2" t="s">
        <v>1913</v>
      </c>
      <c r="F1826" s="2" t="s">
        <v>1914</v>
      </c>
      <c r="G1826" s="2" t="s">
        <v>58</v>
      </c>
      <c r="H1826" s="2" t="s">
        <v>25</v>
      </c>
      <c r="I1826" s="2" t="s">
        <v>274</v>
      </c>
      <c r="J1826" s="2" t="s">
        <v>146</v>
      </c>
      <c r="K1826" s="2" t="s">
        <v>147</v>
      </c>
      <c r="L1826" s="2" t="s">
        <v>323</v>
      </c>
      <c r="M1826" s="2" t="s">
        <v>30</v>
      </c>
      <c r="N1826" s="2" t="s">
        <v>31</v>
      </c>
      <c r="O1826" s="2" t="s">
        <v>324</v>
      </c>
      <c r="P1826" s="4">
        <v>185.54470000000001</v>
      </c>
      <c r="Q1826" s="4">
        <v>3</v>
      </c>
      <c r="R1826" s="4">
        <v>8.6580999999999992</v>
      </c>
      <c r="S1826" s="2" t="s">
        <v>33</v>
      </c>
      <c r="T1826" s="2" t="s">
        <v>108</v>
      </c>
    </row>
    <row r="1827" spans="1:20" x14ac:dyDescent="0.25">
      <c r="A1827" s="2" t="s">
        <v>3009</v>
      </c>
      <c r="B1827" s="3">
        <v>41736</v>
      </c>
      <c r="C1827" s="3">
        <v>41743</v>
      </c>
      <c r="D1827" s="2" t="s">
        <v>55</v>
      </c>
      <c r="E1827" s="2" t="s">
        <v>2893</v>
      </c>
      <c r="F1827" s="2" t="s">
        <v>2894</v>
      </c>
      <c r="G1827" s="2" t="s">
        <v>24</v>
      </c>
      <c r="H1827" s="2" t="s">
        <v>25</v>
      </c>
      <c r="I1827" s="2" t="s">
        <v>539</v>
      </c>
      <c r="J1827" s="2" t="s">
        <v>91</v>
      </c>
      <c r="K1827" s="2" t="s">
        <v>61</v>
      </c>
      <c r="L1827" s="2" t="s">
        <v>193</v>
      </c>
      <c r="M1827" s="2" t="s">
        <v>30</v>
      </c>
      <c r="N1827" s="2" t="s">
        <v>42</v>
      </c>
      <c r="O1827" s="2" t="s">
        <v>194</v>
      </c>
      <c r="P1827" s="4">
        <v>256.79660000000001</v>
      </c>
      <c r="Q1827" s="4">
        <v>5</v>
      </c>
      <c r="R1827" s="4">
        <v>67.799599999999998</v>
      </c>
      <c r="S1827" s="2" t="s">
        <v>107</v>
      </c>
      <c r="T1827" s="2" t="s">
        <v>108</v>
      </c>
    </row>
    <row r="1828" spans="1:20" x14ac:dyDescent="0.25">
      <c r="A1828" s="2" t="s">
        <v>3010</v>
      </c>
      <c r="B1828" s="3">
        <v>42176</v>
      </c>
      <c r="C1828" s="3">
        <v>42177</v>
      </c>
      <c r="D1828" s="2" t="s">
        <v>48</v>
      </c>
      <c r="E1828" s="2" t="s">
        <v>1465</v>
      </c>
      <c r="F1828" s="2" t="s">
        <v>1466</v>
      </c>
      <c r="G1828" s="2" t="s">
        <v>24</v>
      </c>
      <c r="H1828" s="2" t="s">
        <v>25</v>
      </c>
      <c r="I1828" s="2" t="s">
        <v>505</v>
      </c>
      <c r="J1828" s="2" t="s">
        <v>244</v>
      </c>
      <c r="K1828" s="2" t="s">
        <v>61</v>
      </c>
      <c r="L1828" s="2" t="s">
        <v>41</v>
      </c>
      <c r="M1828" s="2" t="s">
        <v>30</v>
      </c>
      <c r="N1828" s="2" t="s">
        <v>42</v>
      </c>
      <c r="O1828" s="2" t="s">
        <v>43</v>
      </c>
      <c r="P1828" s="4">
        <v>1506.1560999999999</v>
      </c>
      <c r="Q1828" s="4">
        <v>5</v>
      </c>
      <c r="R1828" s="4">
        <v>-637.35080000000005</v>
      </c>
      <c r="S1828" s="2" t="s">
        <v>33</v>
      </c>
      <c r="T1828" s="2" t="s">
        <v>133</v>
      </c>
    </row>
    <row r="1829" spans="1:20" x14ac:dyDescent="0.25">
      <c r="A1829" s="2" t="s">
        <v>3011</v>
      </c>
      <c r="B1829" s="3">
        <v>42809</v>
      </c>
      <c r="C1829" s="3">
        <v>42812</v>
      </c>
      <c r="D1829" s="2" t="s">
        <v>55</v>
      </c>
      <c r="E1829" s="2" t="s">
        <v>1335</v>
      </c>
      <c r="F1829" s="2" t="s">
        <v>1336</v>
      </c>
      <c r="G1829" s="2" t="s">
        <v>38</v>
      </c>
      <c r="H1829" s="2" t="s">
        <v>25</v>
      </c>
      <c r="I1829" s="2" t="s">
        <v>97</v>
      </c>
      <c r="J1829" s="2" t="s">
        <v>112</v>
      </c>
      <c r="K1829" s="2" t="s">
        <v>28</v>
      </c>
      <c r="L1829" s="2" t="s">
        <v>193</v>
      </c>
      <c r="M1829" s="2" t="s">
        <v>30</v>
      </c>
      <c r="N1829" s="2" t="s">
        <v>42</v>
      </c>
      <c r="O1829" s="2" t="s">
        <v>194</v>
      </c>
      <c r="P1829" s="4">
        <v>270.54790000000003</v>
      </c>
      <c r="Q1829" s="4">
        <v>5</v>
      </c>
      <c r="R1829" s="4">
        <v>-52.516800000000003</v>
      </c>
      <c r="S1829" s="2" t="s">
        <v>92</v>
      </c>
      <c r="T1829" s="2" t="s">
        <v>44</v>
      </c>
    </row>
    <row r="1830" spans="1:20" x14ac:dyDescent="0.25">
      <c r="A1830" s="2" t="s">
        <v>3011</v>
      </c>
      <c r="B1830" s="3">
        <v>42809</v>
      </c>
      <c r="C1830" s="3">
        <v>42812</v>
      </c>
      <c r="D1830" s="2" t="s">
        <v>55</v>
      </c>
      <c r="E1830" s="2" t="s">
        <v>1335</v>
      </c>
      <c r="F1830" s="2" t="s">
        <v>1336</v>
      </c>
      <c r="G1830" s="2" t="s">
        <v>38</v>
      </c>
      <c r="H1830" s="2" t="s">
        <v>25</v>
      </c>
      <c r="I1830" s="2" t="s">
        <v>97</v>
      </c>
      <c r="J1830" s="2" t="s">
        <v>112</v>
      </c>
      <c r="K1830" s="2" t="s">
        <v>28</v>
      </c>
      <c r="L1830" s="2" t="s">
        <v>323</v>
      </c>
      <c r="M1830" s="2" t="s">
        <v>30</v>
      </c>
      <c r="N1830" s="2" t="s">
        <v>31</v>
      </c>
      <c r="O1830" s="2" t="s">
        <v>324</v>
      </c>
      <c r="P1830" s="4">
        <v>8.8607999999999993</v>
      </c>
      <c r="Q1830" s="4">
        <v>2</v>
      </c>
      <c r="R1830" s="4">
        <v>-2.0688</v>
      </c>
      <c r="S1830" s="2" t="s">
        <v>92</v>
      </c>
      <c r="T1830" s="2" t="s">
        <v>44</v>
      </c>
    </row>
    <row r="1831" spans="1:20" x14ac:dyDescent="0.25">
      <c r="A1831" s="2" t="s">
        <v>3012</v>
      </c>
      <c r="B1831" s="3">
        <v>42937</v>
      </c>
      <c r="C1831" s="3">
        <v>42942</v>
      </c>
      <c r="D1831" s="2" t="s">
        <v>55</v>
      </c>
      <c r="E1831" s="2" t="s">
        <v>3013</v>
      </c>
      <c r="F1831" s="2" t="s">
        <v>3014</v>
      </c>
      <c r="G1831" s="2" t="s">
        <v>58</v>
      </c>
      <c r="H1831" s="2" t="s">
        <v>25</v>
      </c>
      <c r="I1831" s="2" t="s">
        <v>594</v>
      </c>
      <c r="J1831" s="2" t="s">
        <v>595</v>
      </c>
      <c r="K1831" s="2" t="s">
        <v>61</v>
      </c>
      <c r="L1831" s="2" t="s">
        <v>41</v>
      </c>
      <c r="M1831" s="2" t="s">
        <v>30</v>
      </c>
      <c r="N1831" s="2" t="s">
        <v>42</v>
      </c>
      <c r="O1831" s="2" t="s">
        <v>43</v>
      </c>
      <c r="P1831" s="4">
        <v>401.22899999999998</v>
      </c>
      <c r="Q1831" s="4">
        <v>8</v>
      </c>
      <c r="R1831" s="4">
        <v>32.928699999999999</v>
      </c>
      <c r="S1831" s="2" t="s">
        <v>85</v>
      </c>
      <c r="T1831" s="2" t="s">
        <v>86</v>
      </c>
    </row>
    <row r="1832" spans="1:20" x14ac:dyDescent="0.25">
      <c r="A1832" s="2" t="s">
        <v>3015</v>
      </c>
      <c r="B1832" s="3">
        <v>41658</v>
      </c>
      <c r="C1832" s="3">
        <v>41665</v>
      </c>
      <c r="D1832" s="2" t="s">
        <v>55</v>
      </c>
      <c r="E1832" s="2" t="s">
        <v>1057</v>
      </c>
      <c r="F1832" s="2" t="s">
        <v>1058</v>
      </c>
      <c r="G1832" s="2" t="s">
        <v>24</v>
      </c>
      <c r="H1832" s="2" t="s">
        <v>25</v>
      </c>
      <c r="I1832" s="2" t="s">
        <v>152</v>
      </c>
      <c r="J1832" s="2" t="s">
        <v>153</v>
      </c>
      <c r="K1832" s="2" t="s">
        <v>147</v>
      </c>
      <c r="L1832" s="2" t="s">
        <v>218</v>
      </c>
      <c r="M1832" s="2" t="s">
        <v>30</v>
      </c>
      <c r="N1832" s="2" t="s">
        <v>31</v>
      </c>
      <c r="O1832" s="2" t="s">
        <v>219</v>
      </c>
      <c r="P1832" s="4">
        <v>27.128</v>
      </c>
      <c r="Q1832" s="4">
        <v>5</v>
      </c>
      <c r="R1832" s="4">
        <v>5.1082999999999998</v>
      </c>
      <c r="S1832" s="2" t="s">
        <v>107</v>
      </c>
      <c r="T1832" s="2" t="s">
        <v>115</v>
      </c>
    </row>
    <row r="1833" spans="1:20" x14ac:dyDescent="0.25">
      <c r="A1833" s="2" t="s">
        <v>3016</v>
      </c>
      <c r="B1833" s="3">
        <v>42984</v>
      </c>
      <c r="C1833" s="3">
        <v>42985</v>
      </c>
      <c r="D1833" s="2" t="s">
        <v>55</v>
      </c>
      <c r="E1833" s="2" t="s">
        <v>1788</v>
      </c>
      <c r="F1833" s="2" t="s">
        <v>1789</v>
      </c>
      <c r="G1833" s="2" t="s">
        <v>58</v>
      </c>
      <c r="H1833" s="2" t="s">
        <v>25</v>
      </c>
      <c r="I1833" s="2" t="s">
        <v>533</v>
      </c>
      <c r="J1833" s="2" t="s">
        <v>72</v>
      </c>
      <c r="K1833" s="2" t="s">
        <v>61</v>
      </c>
      <c r="L1833" s="2" t="s">
        <v>73</v>
      </c>
      <c r="M1833" s="2" t="s">
        <v>30</v>
      </c>
      <c r="N1833" s="2" t="s">
        <v>42</v>
      </c>
      <c r="O1833" s="2" t="s">
        <v>74</v>
      </c>
      <c r="P1833" s="4">
        <v>958.94590000000005</v>
      </c>
      <c r="Q1833" s="4">
        <v>4</v>
      </c>
      <c r="R1833" s="4">
        <v>137.2396</v>
      </c>
      <c r="S1833" s="2" t="s">
        <v>33</v>
      </c>
      <c r="T1833" s="2" t="s">
        <v>148</v>
      </c>
    </row>
    <row r="1834" spans="1:20" x14ac:dyDescent="0.25">
      <c r="A1834" s="2" t="s">
        <v>3017</v>
      </c>
      <c r="B1834" s="3">
        <v>41829</v>
      </c>
      <c r="C1834" s="3">
        <v>41829</v>
      </c>
      <c r="D1834" s="2" t="s">
        <v>21</v>
      </c>
      <c r="E1834" s="2" t="s">
        <v>1864</v>
      </c>
      <c r="F1834" s="2" t="s">
        <v>1865</v>
      </c>
      <c r="G1834" s="2" t="s">
        <v>24</v>
      </c>
      <c r="H1834" s="2" t="s">
        <v>25</v>
      </c>
      <c r="I1834" s="2" t="s">
        <v>539</v>
      </c>
      <c r="J1834" s="2" t="s">
        <v>91</v>
      </c>
      <c r="K1834" s="2" t="s">
        <v>61</v>
      </c>
      <c r="L1834" s="2" t="s">
        <v>113</v>
      </c>
      <c r="M1834" s="2" t="s">
        <v>30</v>
      </c>
      <c r="N1834" s="2" t="s">
        <v>31</v>
      </c>
      <c r="O1834" s="2" t="s">
        <v>114</v>
      </c>
      <c r="P1834" s="4">
        <v>59.720999999999997</v>
      </c>
      <c r="Q1834" s="4">
        <v>2</v>
      </c>
      <c r="R1834" s="4">
        <v>43.311599999999999</v>
      </c>
      <c r="S1834" s="2" t="s">
        <v>121</v>
      </c>
      <c r="T1834" s="2" t="s">
        <v>86</v>
      </c>
    </row>
    <row r="1835" spans="1:20" x14ac:dyDescent="0.25">
      <c r="A1835" s="2" t="s">
        <v>3018</v>
      </c>
      <c r="B1835" s="3">
        <v>41670</v>
      </c>
      <c r="C1835" s="3">
        <v>41672</v>
      </c>
      <c r="D1835" s="2" t="s">
        <v>55</v>
      </c>
      <c r="E1835" s="2" t="s">
        <v>2612</v>
      </c>
      <c r="F1835" s="2" t="s">
        <v>2613</v>
      </c>
      <c r="G1835" s="2" t="s">
        <v>38</v>
      </c>
      <c r="H1835" s="2" t="s">
        <v>25</v>
      </c>
      <c r="I1835" s="2" t="s">
        <v>378</v>
      </c>
      <c r="J1835" s="2" t="s">
        <v>98</v>
      </c>
      <c r="K1835" s="2" t="s">
        <v>82</v>
      </c>
      <c r="L1835" s="2" t="s">
        <v>899</v>
      </c>
      <c r="M1835" s="2" t="s">
        <v>30</v>
      </c>
      <c r="N1835" s="2" t="s">
        <v>63</v>
      </c>
      <c r="O1835" s="2" t="s">
        <v>900</v>
      </c>
      <c r="P1835" s="4">
        <v>294.70729999999998</v>
      </c>
      <c r="Q1835" s="4">
        <v>5</v>
      </c>
      <c r="R1835" s="4">
        <v>-26.479700000000001</v>
      </c>
      <c r="S1835" s="2" t="s">
        <v>53</v>
      </c>
      <c r="T1835" s="2" t="s">
        <v>115</v>
      </c>
    </row>
    <row r="1836" spans="1:20" x14ac:dyDescent="0.25">
      <c r="A1836" s="2" t="s">
        <v>3019</v>
      </c>
      <c r="B1836" s="3">
        <v>42859</v>
      </c>
      <c r="C1836" s="3">
        <v>42865</v>
      </c>
      <c r="D1836" s="2" t="s">
        <v>55</v>
      </c>
      <c r="E1836" s="2" t="s">
        <v>3020</v>
      </c>
      <c r="F1836" s="2" t="s">
        <v>3021</v>
      </c>
      <c r="G1836" s="2" t="s">
        <v>24</v>
      </c>
      <c r="H1836" s="2" t="s">
        <v>25</v>
      </c>
      <c r="I1836" s="2" t="s">
        <v>259</v>
      </c>
      <c r="J1836" s="2" t="s">
        <v>260</v>
      </c>
      <c r="K1836" s="2" t="s">
        <v>147</v>
      </c>
      <c r="L1836" s="2" t="s">
        <v>235</v>
      </c>
      <c r="M1836" s="2" t="s">
        <v>30</v>
      </c>
      <c r="N1836" s="2" t="s">
        <v>31</v>
      </c>
      <c r="O1836" s="2" t="s">
        <v>236</v>
      </c>
      <c r="P1836" s="4">
        <v>450.78590000000003</v>
      </c>
      <c r="Q1836" s="4">
        <v>3</v>
      </c>
      <c r="R1836" s="4">
        <v>12.305300000000001</v>
      </c>
      <c r="S1836" s="2" t="s">
        <v>65</v>
      </c>
      <c r="T1836" s="2" t="s">
        <v>122</v>
      </c>
    </row>
    <row r="1837" spans="1:20" x14ac:dyDescent="0.25">
      <c r="A1837" s="2" t="s">
        <v>3022</v>
      </c>
      <c r="B1837" s="3">
        <v>42510</v>
      </c>
      <c r="C1837" s="3">
        <v>42513</v>
      </c>
      <c r="D1837" s="2" t="s">
        <v>55</v>
      </c>
      <c r="E1837" s="2" t="s">
        <v>2162</v>
      </c>
      <c r="F1837" s="2" t="s">
        <v>2163</v>
      </c>
      <c r="G1837" s="2" t="s">
        <v>38</v>
      </c>
      <c r="H1837" s="2" t="s">
        <v>25</v>
      </c>
      <c r="I1837" s="2" t="s">
        <v>423</v>
      </c>
      <c r="J1837" s="2" t="s">
        <v>424</v>
      </c>
      <c r="K1837" s="2" t="s">
        <v>28</v>
      </c>
      <c r="L1837" s="2" t="s">
        <v>186</v>
      </c>
      <c r="M1837" s="2" t="s">
        <v>30</v>
      </c>
      <c r="N1837" s="2" t="s">
        <v>31</v>
      </c>
      <c r="O1837" s="2" t="s">
        <v>187</v>
      </c>
      <c r="P1837" s="4">
        <v>430.02969999999999</v>
      </c>
      <c r="Q1837" s="4">
        <v>6</v>
      </c>
      <c r="R1837" s="4">
        <v>99.727599999999995</v>
      </c>
      <c r="S1837" s="2" t="s">
        <v>92</v>
      </c>
      <c r="T1837" s="2" t="s">
        <v>122</v>
      </c>
    </row>
    <row r="1838" spans="1:20" x14ac:dyDescent="0.25">
      <c r="A1838" s="2" t="s">
        <v>3023</v>
      </c>
      <c r="B1838" s="3">
        <v>42106</v>
      </c>
      <c r="C1838" s="3">
        <v>42111</v>
      </c>
      <c r="D1838" s="2" t="s">
        <v>55</v>
      </c>
      <c r="E1838" s="2" t="s">
        <v>2223</v>
      </c>
      <c r="F1838" s="2" t="s">
        <v>2224</v>
      </c>
      <c r="G1838" s="2" t="s">
        <v>38</v>
      </c>
      <c r="H1838" s="2" t="s">
        <v>25</v>
      </c>
      <c r="I1838" s="2" t="s">
        <v>191</v>
      </c>
      <c r="J1838" s="2" t="s">
        <v>192</v>
      </c>
      <c r="K1838" s="2" t="s">
        <v>82</v>
      </c>
      <c r="L1838" s="2" t="s">
        <v>186</v>
      </c>
      <c r="M1838" s="2" t="s">
        <v>30</v>
      </c>
      <c r="N1838" s="2" t="s">
        <v>31</v>
      </c>
      <c r="O1838" s="2" t="s">
        <v>187</v>
      </c>
      <c r="P1838" s="4">
        <v>69.683599999999998</v>
      </c>
      <c r="Q1838" s="4">
        <v>2</v>
      </c>
      <c r="R1838" s="4">
        <v>45.626199999999997</v>
      </c>
      <c r="S1838" s="2" t="s">
        <v>85</v>
      </c>
      <c r="T1838" s="2" t="s">
        <v>108</v>
      </c>
    </row>
    <row r="1839" spans="1:20" x14ac:dyDescent="0.25">
      <c r="A1839" s="2" t="s">
        <v>3023</v>
      </c>
      <c r="B1839" s="3">
        <v>42106</v>
      </c>
      <c r="C1839" s="3">
        <v>42111</v>
      </c>
      <c r="D1839" s="2" t="s">
        <v>55</v>
      </c>
      <c r="E1839" s="2" t="s">
        <v>2223</v>
      </c>
      <c r="F1839" s="2" t="s">
        <v>2224</v>
      </c>
      <c r="G1839" s="2" t="s">
        <v>38</v>
      </c>
      <c r="H1839" s="2" t="s">
        <v>25</v>
      </c>
      <c r="I1839" s="2" t="s">
        <v>191</v>
      </c>
      <c r="J1839" s="2" t="s">
        <v>192</v>
      </c>
      <c r="K1839" s="2" t="s">
        <v>82</v>
      </c>
      <c r="L1839" s="2" t="s">
        <v>113</v>
      </c>
      <c r="M1839" s="2" t="s">
        <v>30</v>
      </c>
      <c r="N1839" s="2" t="s">
        <v>31</v>
      </c>
      <c r="O1839" s="2" t="s">
        <v>114</v>
      </c>
      <c r="P1839" s="4">
        <v>12.1998</v>
      </c>
      <c r="Q1839" s="4">
        <v>6</v>
      </c>
      <c r="R1839" s="4">
        <v>3.1646000000000001</v>
      </c>
      <c r="S1839" s="2" t="s">
        <v>85</v>
      </c>
      <c r="T1839" s="2" t="s">
        <v>108</v>
      </c>
    </row>
    <row r="1840" spans="1:20" x14ac:dyDescent="0.25">
      <c r="A1840" s="2" t="s">
        <v>3023</v>
      </c>
      <c r="B1840" s="3">
        <v>42106</v>
      </c>
      <c r="C1840" s="3">
        <v>42111</v>
      </c>
      <c r="D1840" s="2" t="s">
        <v>55</v>
      </c>
      <c r="E1840" s="2" t="s">
        <v>2223</v>
      </c>
      <c r="F1840" s="2" t="s">
        <v>2224</v>
      </c>
      <c r="G1840" s="2" t="s">
        <v>38</v>
      </c>
      <c r="H1840" s="2" t="s">
        <v>25</v>
      </c>
      <c r="I1840" s="2" t="s">
        <v>191</v>
      </c>
      <c r="J1840" s="2" t="s">
        <v>192</v>
      </c>
      <c r="K1840" s="2" t="s">
        <v>82</v>
      </c>
      <c r="L1840" s="2" t="s">
        <v>316</v>
      </c>
      <c r="M1840" s="2" t="s">
        <v>30</v>
      </c>
      <c r="N1840" s="2" t="s">
        <v>42</v>
      </c>
      <c r="O1840" s="2" t="s">
        <v>317</v>
      </c>
      <c r="P1840" s="4">
        <v>181.6446</v>
      </c>
      <c r="Q1840" s="4">
        <v>1</v>
      </c>
      <c r="R1840" s="4">
        <v>-58.232900000000001</v>
      </c>
      <c r="S1840" s="2" t="s">
        <v>85</v>
      </c>
      <c r="T1840" s="2" t="s">
        <v>108</v>
      </c>
    </row>
    <row r="1841" spans="1:20" x14ac:dyDescent="0.25">
      <c r="A1841" s="2" t="s">
        <v>3024</v>
      </c>
      <c r="B1841" s="3">
        <v>41892</v>
      </c>
      <c r="C1841" s="3">
        <v>41898</v>
      </c>
      <c r="D1841" s="2" t="s">
        <v>55</v>
      </c>
      <c r="E1841" s="2" t="s">
        <v>1864</v>
      </c>
      <c r="F1841" s="2" t="s">
        <v>1865</v>
      </c>
      <c r="G1841" s="2" t="s">
        <v>58</v>
      </c>
      <c r="H1841" s="2" t="s">
        <v>25</v>
      </c>
      <c r="I1841" s="2" t="s">
        <v>505</v>
      </c>
      <c r="J1841" s="2" t="s">
        <v>244</v>
      </c>
      <c r="K1841" s="2" t="s">
        <v>61</v>
      </c>
      <c r="L1841" s="2" t="s">
        <v>131</v>
      </c>
      <c r="M1841" s="2" t="s">
        <v>30</v>
      </c>
      <c r="N1841" s="2" t="s">
        <v>31</v>
      </c>
      <c r="O1841" s="2" t="s">
        <v>132</v>
      </c>
      <c r="P1841" s="4">
        <v>11.0837</v>
      </c>
      <c r="Q1841" s="4">
        <v>9</v>
      </c>
      <c r="R1841" s="4">
        <v>4.8833000000000002</v>
      </c>
      <c r="S1841" s="2" t="s">
        <v>65</v>
      </c>
      <c r="T1841" s="2" t="s">
        <v>148</v>
      </c>
    </row>
    <row r="1842" spans="1:20" x14ac:dyDescent="0.25">
      <c r="A1842" s="2" t="s">
        <v>3025</v>
      </c>
      <c r="B1842" s="3">
        <v>42975</v>
      </c>
      <c r="C1842" s="3">
        <v>42978</v>
      </c>
      <c r="D1842" s="2" t="s">
        <v>55</v>
      </c>
      <c r="E1842" s="2" t="s">
        <v>1043</v>
      </c>
      <c r="F1842" s="2" t="s">
        <v>1044</v>
      </c>
      <c r="G1842" s="2" t="s">
        <v>38</v>
      </c>
      <c r="H1842" s="2" t="s">
        <v>25</v>
      </c>
      <c r="I1842" s="2" t="s">
        <v>26</v>
      </c>
      <c r="J1842" s="2" t="s">
        <v>27</v>
      </c>
      <c r="K1842" s="2" t="s">
        <v>28</v>
      </c>
      <c r="L1842" s="2" t="s">
        <v>66</v>
      </c>
      <c r="M1842" s="2" t="s">
        <v>30</v>
      </c>
      <c r="N1842" s="2" t="s">
        <v>31</v>
      </c>
      <c r="O1842" s="2" t="s">
        <v>67</v>
      </c>
      <c r="P1842" s="4">
        <v>27.526800000000001</v>
      </c>
      <c r="Q1842" s="4">
        <v>6</v>
      </c>
      <c r="R1842" s="4">
        <v>11.664400000000001</v>
      </c>
      <c r="S1842" s="2" t="s">
        <v>92</v>
      </c>
      <c r="T1842" s="2" t="s">
        <v>34</v>
      </c>
    </row>
    <row r="1843" spans="1:20" x14ac:dyDescent="0.25">
      <c r="A1843" s="2" t="s">
        <v>3026</v>
      </c>
      <c r="B1843" s="3">
        <v>42224</v>
      </c>
      <c r="C1843" s="3">
        <v>42225</v>
      </c>
      <c r="D1843" s="2" t="s">
        <v>48</v>
      </c>
      <c r="E1843" s="2" t="s">
        <v>2075</v>
      </c>
      <c r="F1843" s="2" t="s">
        <v>2076</v>
      </c>
      <c r="G1843" s="2" t="s">
        <v>24</v>
      </c>
      <c r="H1843" s="2" t="s">
        <v>25</v>
      </c>
      <c r="I1843" s="2" t="s">
        <v>184</v>
      </c>
      <c r="J1843" s="2" t="s">
        <v>185</v>
      </c>
      <c r="K1843" s="2" t="s">
        <v>147</v>
      </c>
      <c r="L1843" s="2" t="s">
        <v>83</v>
      </c>
      <c r="M1843" s="2" t="s">
        <v>30</v>
      </c>
      <c r="N1843" s="2" t="s">
        <v>42</v>
      </c>
      <c r="O1843" s="2" t="s">
        <v>84</v>
      </c>
      <c r="P1843" s="4">
        <v>216.20160000000001</v>
      </c>
      <c r="Q1843" s="4">
        <v>3</v>
      </c>
      <c r="R1843" s="4">
        <v>1.2052</v>
      </c>
      <c r="S1843" s="2" t="s">
        <v>33</v>
      </c>
      <c r="T1843" s="2" t="s">
        <v>34</v>
      </c>
    </row>
    <row r="1844" spans="1:20" x14ac:dyDescent="0.25">
      <c r="A1844" s="2" t="s">
        <v>3027</v>
      </c>
      <c r="B1844" s="3">
        <v>42961</v>
      </c>
      <c r="C1844" s="3">
        <v>42961</v>
      </c>
      <c r="D1844" s="2" t="s">
        <v>21</v>
      </c>
      <c r="E1844" s="2" t="s">
        <v>771</v>
      </c>
      <c r="F1844" s="2" t="s">
        <v>772</v>
      </c>
      <c r="G1844" s="2" t="s">
        <v>58</v>
      </c>
      <c r="H1844" s="2" t="s">
        <v>25</v>
      </c>
      <c r="I1844" s="2" t="s">
        <v>458</v>
      </c>
      <c r="J1844" s="2" t="s">
        <v>27</v>
      </c>
      <c r="K1844" s="2" t="s">
        <v>28</v>
      </c>
      <c r="L1844" s="2" t="s">
        <v>41</v>
      </c>
      <c r="M1844" s="2" t="s">
        <v>30</v>
      </c>
      <c r="N1844" s="2" t="s">
        <v>42</v>
      </c>
      <c r="O1844" s="2" t="s">
        <v>43</v>
      </c>
      <c r="P1844" s="4">
        <v>369.06290000000001</v>
      </c>
      <c r="Q1844" s="4">
        <v>2</v>
      </c>
      <c r="R1844" s="4">
        <v>-53.778599999999997</v>
      </c>
      <c r="S1844" s="2" t="s">
        <v>121</v>
      </c>
      <c r="T1844" s="2" t="s">
        <v>34</v>
      </c>
    </row>
    <row r="1845" spans="1:20" x14ac:dyDescent="0.25">
      <c r="A1845" s="2" t="s">
        <v>3027</v>
      </c>
      <c r="B1845" s="3">
        <v>42961</v>
      </c>
      <c r="C1845" s="3">
        <v>42961</v>
      </c>
      <c r="D1845" s="2" t="s">
        <v>21</v>
      </c>
      <c r="E1845" s="2" t="s">
        <v>771</v>
      </c>
      <c r="F1845" s="2" t="s">
        <v>772</v>
      </c>
      <c r="G1845" s="2" t="s">
        <v>58</v>
      </c>
      <c r="H1845" s="2" t="s">
        <v>25</v>
      </c>
      <c r="I1845" s="2" t="s">
        <v>458</v>
      </c>
      <c r="J1845" s="2" t="s">
        <v>27</v>
      </c>
      <c r="K1845" s="2" t="s">
        <v>28</v>
      </c>
      <c r="L1845" s="2" t="s">
        <v>174</v>
      </c>
      <c r="M1845" s="2" t="s">
        <v>30</v>
      </c>
      <c r="N1845" s="2" t="s">
        <v>31</v>
      </c>
      <c r="O1845" s="2" t="s">
        <v>175</v>
      </c>
      <c r="P1845" s="4">
        <v>114.7009</v>
      </c>
      <c r="Q1845" s="4">
        <v>3</v>
      </c>
      <c r="R1845" s="4">
        <v>36.686399999999999</v>
      </c>
      <c r="S1845" s="2" t="s">
        <v>121</v>
      </c>
      <c r="T1845" s="2" t="s">
        <v>34</v>
      </c>
    </row>
    <row r="1846" spans="1:20" x14ac:dyDescent="0.25">
      <c r="A1846" s="2" t="s">
        <v>3028</v>
      </c>
      <c r="B1846" s="3">
        <v>41777</v>
      </c>
      <c r="C1846" s="3">
        <v>41777</v>
      </c>
      <c r="D1846" s="2" t="s">
        <v>21</v>
      </c>
      <c r="E1846" s="2" t="s">
        <v>2678</v>
      </c>
      <c r="F1846" s="2" t="s">
        <v>2679</v>
      </c>
      <c r="G1846" s="2" t="s">
        <v>24</v>
      </c>
      <c r="H1846" s="2" t="s">
        <v>25</v>
      </c>
      <c r="I1846" s="2" t="s">
        <v>243</v>
      </c>
      <c r="J1846" s="2" t="s">
        <v>244</v>
      </c>
      <c r="K1846" s="2" t="s">
        <v>61</v>
      </c>
      <c r="L1846" s="2" t="s">
        <v>207</v>
      </c>
      <c r="M1846" s="2" t="s">
        <v>30</v>
      </c>
      <c r="N1846" s="2" t="s">
        <v>31</v>
      </c>
      <c r="O1846" s="2" t="s">
        <v>208</v>
      </c>
      <c r="P1846" s="4">
        <v>249.53219999999999</v>
      </c>
      <c r="Q1846" s="4">
        <v>7</v>
      </c>
      <c r="R1846" s="4">
        <v>135.77590000000001</v>
      </c>
      <c r="S1846" s="2" t="s">
        <v>121</v>
      </c>
      <c r="T1846" s="2" t="s">
        <v>122</v>
      </c>
    </row>
    <row r="1847" spans="1:20" x14ac:dyDescent="0.25">
      <c r="A1847" s="2" t="s">
        <v>3029</v>
      </c>
      <c r="B1847" s="3">
        <v>42305</v>
      </c>
      <c r="C1847" s="3">
        <v>42305</v>
      </c>
      <c r="D1847" s="2" t="s">
        <v>48</v>
      </c>
      <c r="E1847" s="2" t="s">
        <v>203</v>
      </c>
      <c r="F1847" s="2" t="s">
        <v>204</v>
      </c>
      <c r="G1847" s="2" t="s">
        <v>38</v>
      </c>
      <c r="H1847" s="2" t="s">
        <v>25</v>
      </c>
      <c r="I1847" s="2" t="s">
        <v>321</v>
      </c>
      <c r="J1847" s="2" t="s">
        <v>322</v>
      </c>
      <c r="K1847" s="2" t="s">
        <v>28</v>
      </c>
      <c r="L1847" s="2" t="s">
        <v>218</v>
      </c>
      <c r="M1847" s="2" t="s">
        <v>30</v>
      </c>
      <c r="N1847" s="2" t="s">
        <v>31</v>
      </c>
      <c r="O1847" s="2" t="s">
        <v>219</v>
      </c>
      <c r="P1847" s="4">
        <v>71.881500000000003</v>
      </c>
      <c r="Q1847" s="4">
        <v>3</v>
      </c>
      <c r="R1847" s="4">
        <v>19.648599999999998</v>
      </c>
      <c r="S1847" s="2" t="s">
        <v>121</v>
      </c>
      <c r="T1847" s="2" t="s">
        <v>224</v>
      </c>
    </row>
    <row r="1848" spans="1:20" x14ac:dyDescent="0.25">
      <c r="A1848" s="2" t="s">
        <v>3030</v>
      </c>
      <c r="B1848" s="3">
        <v>42939</v>
      </c>
      <c r="C1848" s="3">
        <v>42940</v>
      </c>
      <c r="D1848" s="2" t="s">
        <v>55</v>
      </c>
      <c r="E1848" s="2" t="s">
        <v>3031</v>
      </c>
      <c r="F1848" s="2" t="s">
        <v>3032</v>
      </c>
      <c r="G1848" s="2" t="s">
        <v>58</v>
      </c>
      <c r="H1848" s="2" t="s">
        <v>25</v>
      </c>
      <c r="I1848" s="2" t="s">
        <v>449</v>
      </c>
      <c r="J1848" s="2" t="s">
        <v>98</v>
      </c>
      <c r="K1848" s="2" t="s">
        <v>82</v>
      </c>
      <c r="L1848" s="2" t="s">
        <v>316</v>
      </c>
      <c r="M1848" s="2" t="s">
        <v>30</v>
      </c>
      <c r="N1848" s="2" t="s">
        <v>42</v>
      </c>
      <c r="O1848" s="2" t="s">
        <v>317</v>
      </c>
      <c r="P1848" s="4">
        <v>488.55709999999999</v>
      </c>
      <c r="Q1848" s="4">
        <v>9</v>
      </c>
      <c r="R1848" s="4">
        <v>-320.01060000000001</v>
      </c>
      <c r="S1848" s="2" t="s">
        <v>33</v>
      </c>
      <c r="T1848" s="2" t="s">
        <v>86</v>
      </c>
    </row>
    <row r="1849" spans="1:20" x14ac:dyDescent="0.25">
      <c r="A1849" s="2" t="s">
        <v>3030</v>
      </c>
      <c r="B1849" s="3">
        <v>42939</v>
      </c>
      <c r="C1849" s="3">
        <v>42940</v>
      </c>
      <c r="D1849" s="2" t="s">
        <v>55</v>
      </c>
      <c r="E1849" s="2" t="s">
        <v>3031</v>
      </c>
      <c r="F1849" s="2" t="s">
        <v>3032</v>
      </c>
      <c r="G1849" s="2" t="s">
        <v>58</v>
      </c>
      <c r="H1849" s="2" t="s">
        <v>25</v>
      </c>
      <c r="I1849" s="2" t="s">
        <v>449</v>
      </c>
      <c r="J1849" s="2" t="s">
        <v>98</v>
      </c>
      <c r="K1849" s="2" t="s">
        <v>82</v>
      </c>
      <c r="L1849" s="2" t="s">
        <v>83</v>
      </c>
      <c r="M1849" s="2" t="s">
        <v>30</v>
      </c>
      <c r="N1849" s="2" t="s">
        <v>42</v>
      </c>
      <c r="O1849" s="2" t="s">
        <v>84</v>
      </c>
      <c r="P1849" s="4">
        <v>2122.4178999999999</v>
      </c>
      <c r="Q1849" s="4">
        <v>1</v>
      </c>
      <c r="R1849" s="4">
        <v>233.51079999999999</v>
      </c>
      <c r="S1849" s="2" t="s">
        <v>33</v>
      </c>
      <c r="T1849" s="2" t="s">
        <v>86</v>
      </c>
    </row>
    <row r="1850" spans="1:20" x14ac:dyDescent="0.25">
      <c r="A1850" s="2" t="s">
        <v>3033</v>
      </c>
      <c r="B1850" s="3">
        <v>43012</v>
      </c>
      <c r="C1850" s="3">
        <v>43013</v>
      </c>
      <c r="D1850" s="2" t="s">
        <v>48</v>
      </c>
      <c r="E1850" s="2" t="s">
        <v>607</v>
      </c>
      <c r="F1850" s="2" t="s">
        <v>608</v>
      </c>
      <c r="G1850" s="2" t="s">
        <v>58</v>
      </c>
      <c r="H1850" s="2" t="s">
        <v>25</v>
      </c>
      <c r="I1850" s="2" t="s">
        <v>402</v>
      </c>
      <c r="J1850" s="2" t="s">
        <v>403</v>
      </c>
      <c r="K1850" s="2" t="s">
        <v>147</v>
      </c>
      <c r="L1850" s="2" t="s">
        <v>612</v>
      </c>
      <c r="M1850" s="2" t="s">
        <v>30</v>
      </c>
      <c r="N1850" s="2" t="s">
        <v>162</v>
      </c>
      <c r="O1850" s="2" t="s">
        <v>613</v>
      </c>
      <c r="P1850" s="4">
        <v>333.1875</v>
      </c>
      <c r="Q1850" s="4">
        <v>3</v>
      </c>
      <c r="R1850" s="4">
        <v>7.3777999999999997</v>
      </c>
      <c r="S1850" s="2" t="s">
        <v>33</v>
      </c>
      <c r="T1850" s="2" t="s">
        <v>224</v>
      </c>
    </row>
    <row r="1851" spans="1:20" x14ac:dyDescent="0.25">
      <c r="A1851" s="2" t="s">
        <v>3034</v>
      </c>
      <c r="B1851" s="3">
        <v>42085</v>
      </c>
      <c r="C1851" s="3">
        <v>42087</v>
      </c>
      <c r="D1851" s="2" t="s">
        <v>55</v>
      </c>
      <c r="E1851" s="2" t="s">
        <v>3035</v>
      </c>
      <c r="F1851" s="2" t="s">
        <v>3036</v>
      </c>
      <c r="G1851" s="2" t="s">
        <v>58</v>
      </c>
      <c r="H1851" s="2" t="s">
        <v>25</v>
      </c>
      <c r="I1851" s="2" t="s">
        <v>482</v>
      </c>
      <c r="J1851" s="2" t="s">
        <v>120</v>
      </c>
      <c r="K1851" s="2" t="s">
        <v>61</v>
      </c>
      <c r="L1851" s="2" t="s">
        <v>113</v>
      </c>
      <c r="M1851" s="2" t="s">
        <v>30</v>
      </c>
      <c r="N1851" s="2" t="s">
        <v>31</v>
      </c>
      <c r="O1851" s="2" t="s">
        <v>114</v>
      </c>
      <c r="P1851" s="4">
        <v>14.532299999999999</v>
      </c>
      <c r="Q1851" s="4">
        <v>4</v>
      </c>
      <c r="R1851" s="4">
        <v>1.8193999999999999</v>
      </c>
      <c r="S1851" s="2" t="s">
        <v>53</v>
      </c>
      <c r="T1851" s="2" t="s">
        <v>44</v>
      </c>
    </row>
    <row r="1852" spans="1:20" x14ac:dyDescent="0.25">
      <c r="A1852" s="2" t="s">
        <v>3037</v>
      </c>
      <c r="B1852" s="3">
        <v>42993</v>
      </c>
      <c r="C1852" s="3">
        <v>42995</v>
      </c>
      <c r="D1852" s="2" t="s">
        <v>55</v>
      </c>
      <c r="E1852" s="2" t="s">
        <v>3038</v>
      </c>
      <c r="F1852" s="2" t="s">
        <v>3039</v>
      </c>
      <c r="G1852" s="2" t="s">
        <v>38</v>
      </c>
      <c r="H1852" s="2" t="s">
        <v>25</v>
      </c>
      <c r="I1852" s="2" t="s">
        <v>137</v>
      </c>
      <c r="J1852" s="2" t="s">
        <v>138</v>
      </c>
      <c r="K1852" s="2" t="s">
        <v>82</v>
      </c>
      <c r="L1852" s="2" t="s">
        <v>29</v>
      </c>
      <c r="M1852" s="2" t="s">
        <v>30</v>
      </c>
      <c r="N1852" s="2" t="s">
        <v>31</v>
      </c>
      <c r="O1852" s="2" t="s">
        <v>32</v>
      </c>
      <c r="P1852" s="4">
        <v>68.900599999999997</v>
      </c>
      <c r="Q1852" s="4">
        <v>2</v>
      </c>
      <c r="R1852" s="4">
        <v>-0.70040000000000002</v>
      </c>
      <c r="S1852" s="2" t="s">
        <v>53</v>
      </c>
      <c r="T1852" s="2" t="s">
        <v>148</v>
      </c>
    </row>
    <row r="1853" spans="1:20" x14ac:dyDescent="0.25">
      <c r="A1853" s="2" t="s">
        <v>3037</v>
      </c>
      <c r="B1853" s="3">
        <v>42993</v>
      </c>
      <c r="C1853" s="3">
        <v>42995</v>
      </c>
      <c r="D1853" s="2" t="s">
        <v>55</v>
      </c>
      <c r="E1853" s="2" t="s">
        <v>3038</v>
      </c>
      <c r="F1853" s="2" t="s">
        <v>3039</v>
      </c>
      <c r="G1853" s="2" t="s">
        <v>38</v>
      </c>
      <c r="H1853" s="2" t="s">
        <v>25</v>
      </c>
      <c r="I1853" s="2" t="s">
        <v>137</v>
      </c>
      <c r="J1853" s="2" t="s">
        <v>138</v>
      </c>
      <c r="K1853" s="2" t="s">
        <v>82</v>
      </c>
      <c r="L1853" s="2" t="s">
        <v>62</v>
      </c>
      <c r="M1853" s="2" t="s">
        <v>30</v>
      </c>
      <c r="N1853" s="2" t="s">
        <v>63</v>
      </c>
      <c r="O1853" s="2" t="s">
        <v>64</v>
      </c>
      <c r="P1853" s="4">
        <v>1502.1554000000001</v>
      </c>
      <c r="Q1853" s="4">
        <v>6</v>
      </c>
      <c r="R1853" s="4">
        <v>-161.90979999999999</v>
      </c>
      <c r="S1853" s="2" t="s">
        <v>53</v>
      </c>
      <c r="T1853" s="2" t="s">
        <v>148</v>
      </c>
    </row>
    <row r="1854" spans="1:20" x14ac:dyDescent="0.25">
      <c r="A1854" s="2" t="s">
        <v>3040</v>
      </c>
      <c r="B1854" s="3">
        <v>42625</v>
      </c>
      <c r="C1854" s="3">
        <v>42628</v>
      </c>
      <c r="D1854" s="2" t="s">
        <v>55</v>
      </c>
      <c r="E1854" s="2" t="s">
        <v>664</v>
      </c>
      <c r="F1854" s="2" t="s">
        <v>665</v>
      </c>
      <c r="G1854" s="2" t="s">
        <v>58</v>
      </c>
      <c r="H1854" s="2" t="s">
        <v>25</v>
      </c>
      <c r="I1854" s="2" t="s">
        <v>338</v>
      </c>
      <c r="J1854" s="2" t="s">
        <v>339</v>
      </c>
      <c r="K1854" s="2" t="s">
        <v>82</v>
      </c>
      <c r="L1854" s="2" t="s">
        <v>793</v>
      </c>
      <c r="M1854" s="2" t="s">
        <v>30</v>
      </c>
      <c r="N1854" s="2" t="s">
        <v>63</v>
      </c>
      <c r="O1854" s="2" t="s">
        <v>794</v>
      </c>
      <c r="P1854" s="4">
        <v>726.92280000000005</v>
      </c>
      <c r="Q1854" s="4">
        <v>2</v>
      </c>
      <c r="R1854" s="4">
        <v>-469.93060000000003</v>
      </c>
      <c r="S1854" s="2" t="s">
        <v>92</v>
      </c>
      <c r="T1854" s="2" t="s">
        <v>148</v>
      </c>
    </row>
    <row r="1855" spans="1:20" x14ac:dyDescent="0.25">
      <c r="A1855" s="2" t="s">
        <v>3041</v>
      </c>
      <c r="B1855" s="3">
        <v>42865</v>
      </c>
      <c r="C1855" s="3">
        <v>42867</v>
      </c>
      <c r="D1855" s="2" t="s">
        <v>55</v>
      </c>
      <c r="E1855" s="2" t="s">
        <v>429</v>
      </c>
      <c r="F1855" s="2" t="s">
        <v>430</v>
      </c>
      <c r="G1855" s="2" t="s">
        <v>58</v>
      </c>
      <c r="H1855" s="2" t="s">
        <v>25</v>
      </c>
      <c r="I1855" s="2" t="s">
        <v>97</v>
      </c>
      <c r="J1855" s="2" t="s">
        <v>112</v>
      </c>
      <c r="K1855" s="2" t="s">
        <v>28</v>
      </c>
      <c r="L1855" s="2" t="s">
        <v>73</v>
      </c>
      <c r="M1855" s="2" t="s">
        <v>30</v>
      </c>
      <c r="N1855" s="2" t="s">
        <v>42</v>
      </c>
      <c r="O1855" s="2" t="s">
        <v>74</v>
      </c>
      <c r="P1855" s="4">
        <v>711.40269999999998</v>
      </c>
      <c r="Q1855" s="4">
        <v>2</v>
      </c>
      <c r="R1855" s="4">
        <v>-255.4135</v>
      </c>
      <c r="S1855" s="2" t="s">
        <v>53</v>
      </c>
      <c r="T1855" s="2" t="s">
        <v>122</v>
      </c>
    </row>
    <row r="1856" spans="1:20" x14ac:dyDescent="0.25">
      <c r="A1856" s="2" t="s">
        <v>3042</v>
      </c>
      <c r="B1856" s="3">
        <v>41949</v>
      </c>
      <c r="C1856" s="3">
        <v>41949</v>
      </c>
      <c r="D1856" s="2" t="s">
        <v>48</v>
      </c>
      <c r="E1856" s="2" t="s">
        <v>2682</v>
      </c>
      <c r="F1856" s="2" t="s">
        <v>2683</v>
      </c>
      <c r="G1856" s="2" t="s">
        <v>38</v>
      </c>
      <c r="H1856" s="2" t="s">
        <v>25</v>
      </c>
      <c r="I1856" s="2" t="s">
        <v>233</v>
      </c>
      <c r="J1856" s="2" t="s">
        <v>234</v>
      </c>
      <c r="K1856" s="2" t="s">
        <v>82</v>
      </c>
      <c r="L1856" s="2" t="s">
        <v>323</v>
      </c>
      <c r="M1856" s="2" t="s">
        <v>30</v>
      </c>
      <c r="N1856" s="2" t="s">
        <v>31</v>
      </c>
      <c r="O1856" s="2" t="s">
        <v>324</v>
      </c>
      <c r="P1856" s="4">
        <v>96.297899999999998</v>
      </c>
      <c r="Q1856" s="4">
        <v>1</v>
      </c>
      <c r="R1856" s="4">
        <v>35.906599999999997</v>
      </c>
      <c r="S1856" s="2" t="s">
        <v>121</v>
      </c>
      <c r="T1856" s="2" t="s">
        <v>93</v>
      </c>
    </row>
    <row r="1857" spans="1:20" x14ac:dyDescent="0.25">
      <c r="A1857" s="2" t="s">
        <v>3042</v>
      </c>
      <c r="B1857" s="3">
        <v>41949</v>
      </c>
      <c r="C1857" s="3">
        <v>41949</v>
      </c>
      <c r="D1857" s="2" t="s">
        <v>48</v>
      </c>
      <c r="E1857" s="2" t="s">
        <v>2682</v>
      </c>
      <c r="F1857" s="2" t="s">
        <v>2683</v>
      </c>
      <c r="G1857" s="2" t="s">
        <v>38</v>
      </c>
      <c r="H1857" s="2" t="s">
        <v>25</v>
      </c>
      <c r="I1857" s="2" t="s">
        <v>233</v>
      </c>
      <c r="J1857" s="2" t="s">
        <v>234</v>
      </c>
      <c r="K1857" s="2" t="s">
        <v>82</v>
      </c>
      <c r="L1857" s="2" t="s">
        <v>820</v>
      </c>
      <c r="M1857" s="2" t="s">
        <v>30</v>
      </c>
      <c r="N1857" s="2" t="s">
        <v>162</v>
      </c>
      <c r="O1857" s="2" t="s">
        <v>821</v>
      </c>
      <c r="P1857" s="4">
        <v>1022.0667</v>
      </c>
      <c r="Q1857" s="4">
        <v>4</v>
      </c>
      <c r="R1857" s="4">
        <v>-243.92769999999999</v>
      </c>
      <c r="S1857" s="2" t="s">
        <v>121</v>
      </c>
      <c r="T1857" s="2" t="s">
        <v>93</v>
      </c>
    </row>
    <row r="1858" spans="1:20" x14ac:dyDescent="0.25">
      <c r="A1858" s="2" t="s">
        <v>3043</v>
      </c>
      <c r="B1858" s="3">
        <v>41741</v>
      </c>
      <c r="C1858" s="3">
        <v>41743</v>
      </c>
      <c r="D1858" s="2" t="s">
        <v>55</v>
      </c>
      <c r="E1858" s="2" t="s">
        <v>1139</v>
      </c>
      <c r="F1858" s="2" t="s">
        <v>1140</v>
      </c>
      <c r="G1858" s="2" t="s">
        <v>58</v>
      </c>
      <c r="H1858" s="2" t="s">
        <v>25</v>
      </c>
      <c r="I1858" s="2" t="s">
        <v>1212</v>
      </c>
      <c r="J1858" s="2" t="s">
        <v>496</v>
      </c>
      <c r="K1858" s="2" t="s">
        <v>147</v>
      </c>
      <c r="L1858" s="2" t="s">
        <v>793</v>
      </c>
      <c r="M1858" s="2" t="s">
        <v>30</v>
      </c>
      <c r="N1858" s="2" t="s">
        <v>63</v>
      </c>
      <c r="O1858" s="2" t="s">
        <v>794</v>
      </c>
      <c r="P1858" s="4">
        <v>603.4117</v>
      </c>
      <c r="Q1858" s="4">
        <v>1</v>
      </c>
      <c r="R1858" s="4">
        <v>193.9503</v>
      </c>
      <c r="S1858" s="2" t="s">
        <v>53</v>
      </c>
      <c r="T1858" s="2" t="s">
        <v>108</v>
      </c>
    </row>
    <row r="1859" spans="1:20" x14ac:dyDescent="0.25">
      <c r="A1859" s="2" t="s">
        <v>3043</v>
      </c>
      <c r="B1859" s="3">
        <v>41741</v>
      </c>
      <c r="C1859" s="3">
        <v>41743</v>
      </c>
      <c r="D1859" s="2" t="s">
        <v>55</v>
      </c>
      <c r="E1859" s="2" t="s">
        <v>1139</v>
      </c>
      <c r="F1859" s="2" t="s">
        <v>1140</v>
      </c>
      <c r="G1859" s="2" t="s">
        <v>58</v>
      </c>
      <c r="H1859" s="2" t="s">
        <v>25</v>
      </c>
      <c r="I1859" s="2" t="s">
        <v>1212</v>
      </c>
      <c r="J1859" s="2" t="s">
        <v>496</v>
      </c>
      <c r="K1859" s="2" t="s">
        <v>147</v>
      </c>
      <c r="L1859" s="2" t="s">
        <v>200</v>
      </c>
      <c r="M1859" s="2" t="s">
        <v>30</v>
      </c>
      <c r="N1859" s="2" t="s">
        <v>162</v>
      </c>
      <c r="O1859" s="2" t="s">
        <v>201</v>
      </c>
      <c r="P1859" s="4">
        <v>2251.2303000000002</v>
      </c>
      <c r="Q1859" s="4">
        <v>5</v>
      </c>
      <c r="R1859" s="4">
        <v>178.17</v>
      </c>
      <c r="S1859" s="2" t="s">
        <v>53</v>
      </c>
      <c r="T1859" s="2" t="s">
        <v>108</v>
      </c>
    </row>
    <row r="1860" spans="1:20" x14ac:dyDescent="0.25">
      <c r="A1860" s="2" t="s">
        <v>3044</v>
      </c>
      <c r="B1860" s="3">
        <v>42528</v>
      </c>
      <c r="C1860" s="3">
        <v>42528</v>
      </c>
      <c r="D1860" s="2" t="s">
        <v>21</v>
      </c>
      <c r="E1860" s="2" t="s">
        <v>1101</v>
      </c>
      <c r="F1860" s="2" t="s">
        <v>1102</v>
      </c>
      <c r="G1860" s="2" t="s">
        <v>58</v>
      </c>
      <c r="H1860" s="2" t="s">
        <v>25</v>
      </c>
      <c r="I1860" s="2" t="s">
        <v>861</v>
      </c>
      <c r="J1860" s="2" t="s">
        <v>403</v>
      </c>
      <c r="K1860" s="2" t="s">
        <v>147</v>
      </c>
      <c r="L1860" s="2" t="s">
        <v>328</v>
      </c>
      <c r="M1860" s="2" t="s">
        <v>30</v>
      </c>
      <c r="N1860" s="2" t="s">
        <v>63</v>
      </c>
      <c r="O1860" s="2" t="s">
        <v>329</v>
      </c>
      <c r="P1860" s="4">
        <v>1507.1012000000001</v>
      </c>
      <c r="Q1860" s="4">
        <v>1</v>
      </c>
      <c r="R1860" s="4">
        <v>275.95569999999998</v>
      </c>
      <c r="S1860" s="2" t="s">
        <v>121</v>
      </c>
      <c r="T1860" s="2" t="s">
        <v>133</v>
      </c>
    </row>
    <row r="1861" spans="1:20" x14ac:dyDescent="0.25">
      <c r="A1861" s="2" t="s">
        <v>3045</v>
      </c>
      <c r="B1861" s="3">
        <v>42027</v>
      </c>
      <c r="C1861" s="3">
        <v>42031</v>
      </c>
      <c r="D1861" s="2" t="s">
        <v>55</v>
      </c>
      <c r="E1861" s="2" t="s">
        <v>879</v>
      </c>
      <c r="F1861" s="2" t="s">
        <v>880</v>
      </c>
      <c r="G1861" s="2" t="s">
        <v>38</v>
      </c>
      <c r="H1861" s="2" t="s">
        <v>25</v>
      </c>
      <c r="I1861" s="2" t="s">
        <v>1098</v>
      </c>
      <c r="J1861" s="2" t="s">
        <v>595</v>
      </c>
      <c r="K1861" s="2" t="s">
        <v>61</v>
      </c>
      <c r="L1861" s="2" t="s">
        <v>235</v>
      </c>
      <c r="M1861" s="2" t="s">
        <v>30</v>
      </c>
      <c r="N1861" s="2" t="s">
        <v>31</v>
      </c>
      <c r="O1861" s="2" t="s">
        <v>236</v>
      </c>
      <c r="P1861" s="4">
        <v>306.63810000000001</v>
      </c>
      <c r="Q1861" s="4">
        <v>1</v>
      </c>
      <c r="R1861" s="4">
        <v>124.06180000000001</v>
      </c>
      <c r="S1861" s="2" t="s">
        <v>75</v>
      </c>
      <c r="T1861" s="2" t="s">
        <v>115</v>
      </c>
    </row>
    <row r="1862" spans="1:20" x14ac:dyDescent="0.25">
      <c r="A1862" s="2" t="s">
        <v>3045</v>
      </c>
      <c r="B1862" s="3">
        <v>42027</v>
      </c>
      <c r="C1862" s="3">
        <v>42031</v>
      </c>
      <c r="D1862" s="2" t="s">
        <v>55</v>
      </c>
      <c r="E1862" s="2" t="s">
        <v>879</v>
      </c>
      <c r="F1862" s="2" t="s">
        <v>880</v>
      </c>
      <c r="G1862" s="2" t="s">
        <v>38</v>
      </c>
      <c r="H1862" s="2" t="s">
        <v>25</v>
      </c>
      <c r="I1862" s="2" t="s">
        <v>1098</v>
      </c>
      <c r="J1862" s="2" t="s">
        <v>595</v>
      </c>
      <c r="K1862" s="2" t="s">
        <v>61</v>
      </c>
      <c r="L1862" s="2" t="s">
        <v>29</v>
      </c>
      <c r="M1862" s="2" t="s">
        <v>30</v>
      </c>
      <c r="N1862" s="2" t="s">
        <v>31</v>
      </c>
      <c r="O1862" s="2" t="s">
        <v>32</v>
      </c>
      <c r="P1862" s="4">
        <v>229.22669999999999</v>
      </c>
      <c r="Q1862" s="4">
        <v>6</v>
      </c>
      <c r="R1862" s="4">
        <v>-20.518699999999999</v>
      </c>
      <c r="S1862" s="2" t="s">
        <v>75</v>
      </c>
      <c r="T1862" s="2" t="s">
        <v>115</v>
      </c>
    </row>
    <row r="1863" spans="1:20" x14ac:dyDescent="0.25">
      <c r="A1863" s="2" t="s">
        <v>3046</v>
      </c>
      <c r="B1863" s="3">
        <v>42685</v>
      </c>
      <c r="C1863" s="3">
        <v>42690</v>
      </c>
      <c r="D1863" s="2" t="s">
        <v>55</v>
      </c>
      <c r="E1863" s="2" t="s">
        <v>1944</v>
      </c>
      <c r="F1863" s="2" t="s">
        <v>1945</v>
      </c>
      <c r="G1863" s="2" t="s">
        <v>58</v>
      </c>
      <c r="H1863" s="2" t="s">
        <v>25</v>
      </c>
      <c r="I1863" s="2" t="s">
        <v>760</v>
      </c>
      <c r="J1863" s="2" t="s">
        <v>112</v>
      </c>
      <c r="K1863" s="2" t="s">
        <v>28</v>
      </c>
      <c r="L1863" s="2" t="s">
        <v>174</v>
      </c>
      <c r="M1863" s="2" t="s">
        <v>30</v>
      </c>
      <c r="N1863" s="2" t="s">
        <v>31</v>
      </c>
      <c r="O1863" s="2" t="s">
        <v>175</v>
      </c>
      <c r="P1863" s="4">
        <v>126.1164</v>
      </c>
      <c r="Q1863" s="4">
        <v>9</v>
      </c>
      <c r="R1863" s="4">
        <v>-17.435099999999998</v>
      </c>
      <c r="S1863" s="2" t="s">
        <v>85</v>
      </c>
      <c r="T1863" s="2" t="s">
        <v>93</v>
      </c>
    </row>
    <row r="1864" spans="1:20" x14ac:dyDescent="0.25">
      <c r="A1864" s="2" t="s">
        <v>3046</v>
      </c>
      <c r="B1864" s="3">
        <v>42685</v>
      </c>
      <c r="C1864" s="3">
        <v>42690</v>
      </c>
      <c r="D1864" s="2" t="s">
        <v>55</v>
      </c>
      <c r="E1864" s="2" t="s">
        <v>1944</v>
      </c>
      <c r="F1864" s="2" t="s">
        <v>1945</v>
      </c>
      <c r="G1864" s="2" t="s">
        <v>58</v>
      </c>
      <c r="H1864" s="2" t="s">
        <v>25</v>
      </c>
      <c r="I1864" s="2" t="s">
        <v>760</v>
      </c>
      <c r="J1864" s="2" t="s">
        <v>112</v>
      </c>
      <c r="K1864" s="2" t="s">
        <v>28</v>
      </c>
      <c r="L1864" s="2" t="s">
        <v>793</v>
      </c>
      <c r="M1864" s="2" t="s">
        <v>30</v>
      </c>
      <c r="N1864" s="2" t="s">
        <v>63</v>
      </c>
      <c r="O1864" s="2" t="s">
        <v>794</v>
      </c>
      <c r="P1864" s="4">
        <v>1329.8393000000001</v>
      </c>
      <c r="Q1864" s="4">
        <v>1</v>
      </c>
      <c r="R1864" s="4">
        <v>187.76079999999999</v>
      </c>
      <c r="S1864" s="2" t="s">
        <v>85</v>
      </c>
      <c r="T1864" s="2" t="s">
        <v>93</v>
      </c>
    </row>
    <row r="1865" spans="1:20" x14ac:dyDescent="0.25">
      <c r="A1865" s="2" t="s">
        <v>3047</v>
      </c>
      <c r="B1865" s="3">
        <v>41674</v>
      </c>
      <c r="C1865" s="3">
        <v>41674</v>
      </c>
      <c r="D1865" s="2" t="s">
        <v>142</v>
      </c>
      <c r="E1865" s="2" t="s">
        <v>1451</v>
      </c>
      <c r="F1865" s="2" t="s">
        <v>1452</v>
      </c>
      <c r="G1865" s="2" t="s">
        <v>24</v>
      </c>
      <c r="H1865" s="2" t="s">
        <v>25</v>
      </c>
      <c r="I1865" s="2" t="s">
        <v>350</v>
      </c>
      <c r="J1865" s="2" t="s">
        <v>351</v>
      </c>
      <c r="K1865" s="2" t="s">
        <v>147</v>
      </c>
      <c r="L1865" s="2" t="s">
        <v>66</v>
      </c>
      <c r="M1865" s="2" t="s">
        <v>30</v>
      </c>
      <c r="N1865" s="2" t="s">
        <v>31</v>
      </c>
      <c r="O1865" s="2" t="s">
        <v>67</v>
      </c>
      <c r="P1865" s="4">
        <v>37.053699999999999</v>
      </c>
      <c r="Q1865" s="4">
        <v>1</v>
      </c>
      <c r="R1865" s="4">
        <v>-8.7956000000000003</v>
      </c>
      <c r="S1865" s="2" t="s">
        <v>121</v>
      </c>
      <c r="T1865" s="2" t="s">
        <v>101</v>
      </c>
    </row>
    <row r="1866" spans="1:20" x14ac:dyDescent="0.25">
      <c r="A1866" s="2" t="s">
        <v>3047</v>
      </c>
      <c r="B1866" s="3">
        <v>41674</v>
      </c>
      <c r="C1866" s="3">
        <v>41674</v>
      </c>
      <c r="D1866" s="2" t="s">
        <v>142</v>
      </c>
      <c r="E1866" s="2" t="s">
        <v>1451</v>
      </c>
      <c r="F1866" s="2" t="s">
        <v>1452</v>
      </c>
      <c r="G1866" s="2" t="s">
        <v>24</v>
      </c>
      <c r="H1866" s="2" t="s">
        <v>25</v>
      </c>
      <c r="I1866" s="2" t="s">
        <v>350</v>
      </c>
      <c r="J1866" s="2" t="s">
        <v>351</v>
      </c>
      <c r="K1866" s="2" t="s">
        <v>147</v>
      </c>
      <c r="L1866" s="2" t="s">
        <v>186</v>
      </c>
      <c r="M1866" s="2" t="s">
        <v>30</v>
      </c>
      <c r="N1866" s="2" t="s">
        <v>31</v>
      </c>
      <c r="O1866" s="2" t="s">
        <v>187</v>
      </c>
      <c r="P1866" s="4">
        <v>55.460599999999999</v>
      </c>
      <c r="Q1866" s="4">
        <v>8</v>
      </c>
      <c r="R1866" s="4">
        <v>11.194800000000001</v>
      </c>
      <c r="S1866" s="2" t="s">
        <v>121</v>
      </c>
      <c r="T1866" s="2" t="s">
        <v>101</v>
      </c>
    </row>
    <row r="1867" spans="1:20" x14ac:dyDescent="0.25">
      <c r="A1867" s="2" t="s">
        <v>3047</v>
      </c>
      <c r="B1867" s="3">
        <v>41674</v>
      </c>
      <c r="C1867" s="3">
        <v>41674</v>
      </c>
      <c r="D1867" s="2" t="s">
        <v>142</v>
      </c>
      <c r="E1867" s="2" t="s">
        <v>1451</v>
      </c>
      <c r="F1867" s="2" t="s">
        <v>1452</v>
      </c>
      <c r="G1867" s="2" t="s">
        <v>24</v>
      </c>
      <c r="H1867" s="2" t="s">
        <v>25</v>
      </c>
      <c r="I1867" s="2" t="s">
        <v>350</v>
      </c>
      <c r="J1867" s="2" t="s">
        <v>351</v>
      </c>
      <c r="K1867" s="2" t="s">
        <v>147</v>
      </c>
      <c r="L1867" s="2" t="s">
        <v>793</v>
      </c>
      <c r="M1867" s="2" t="s">
        <v>30</v>
      </c>
      <c r="N1867" s="2" t="s">
        <v>63</v>
      </c>
      <c r="O1867" s="2" t="s">
        <v>794</v>
      </c>
      <c r="P1867" s="4">
        <v>74.701599999999999</v>
      </c>
      <c r="Q1867" s="4">
        <v>6</v>
      </c>
      <c r="R1867" s="4">
        <v>-3.7972000000000001</v>
      </c>
      <c r="S1867" s="2" t="s">
        <v>121</v>
      </c>
      <c r="T1867" s="2" t="s">
        <v>101</v>
      </c>
    </row>
    <row r="1868" spans="1:20" x14ac:dyDescent="0.25">
      <c r="A1868" s="2" t="s">
        <v>3048</v>
      </c>
      <c r="B1868" s="3">
        <v>41734</v>
      </c>
      <c r="C1868" s="3">
        <v>41734</v>
      </c>
      <c r="D1868" s="2" t="s">
        <v>55</v>
      </c>
      <c r="E1868" s="2" t="s">
        <v>2599</v>
      </c>
      <c r="F1868" s="2" t="s">
        <v>2600</v>
      </c>
      <c r="G1868" s="2" t="s">
        <v>24</v>
      </c>
      <c r="H1868" s="2" t="s">
        <v>25</v>
      </c>
      <c r="I1868" s="2" t="s">
        <v>829</v>
      </c>
      <c r="J1868" s="2" t="s">
        <v>199</v>
      </c>
      <c r="K1868" s="2" t="s">
        <v>82</v>
      </c>
      <c r="L1868" s="2" t="s">
        <v>245</v>
      </c>
      <c r="M1868" s="2" t="s">
        <v>30</v>
      </c>
      <c r="N1868" s="2" t="s">
        <v>42</v>
      </c>
      <c r="O1868" s="2" t="s">
        <v>246</v>
      </c>
      <c r="P1868" s="4">
        <v>3770.8132000000001</v>
      </c>
      <c r="Q1868" s="4">
        <v>1</v>
      </c>
      <c r="R1868" s="4">
        <v>936.327</v>
      </c>
      <c r="S1868" s="2" t="s">
        <v>121</v>
      </c>
      <c r="T1868" s="2" t="s">
        <v>108</v>
      </c>
    </row>
    <row r="1869" spans="1:20" x14ac:dyDescent="0.25">
      <c r="A1869" s="2" t="s">
        <v>3048</v>
      </c>
      <c r="B1869" s="3">
        <v>41734</v>
      </c>
      <c r="C1869" s="3">
        <v>41734</v>
      </c>
      <c r="D1869" s="2" t="s">
        <v>55</v>
      </c>
      <c r="E1869" s="2" t="s">
        <v>2599</v>
      </c>
      <c r="F1869" s="2" t="s">
        <v>2600</v>
      </c>
      <c r="G1869" s="2" t="s">
        <v>24</v>
      </c>
      <c r="H1869" s="2" t="s">
        <v>25</v>
      </c>
      <c r="I1869" s="2" t="s">
        <v>829</v>
      </c>
      <c r="J1869" s="2" t="s">
        <v>199</v>
      </c>
      <c r="K1869" s="2" t="s">
        <v>82</v>
      </c>
      <c r="L1869" s="2" t="s">
        <v>73</v>
      </c>
      <c r="M1869" s="2" t="s">
        <v>30</v>
      </c>
      <c r="N1869" s="2" t="s">
        <v>42</v>
      </c>
      <c r="O1869" s="2" t="s">
        <v>74</v>
      </c>
      <c r="P1869" s="4">
        <v>306.86500000000001</v>
      </c>
      <c r="Q1869" s="4">
        <v>3</v>
      </c>
      <c r="R1869" s="4">
        <v>-79.375399999999999</v>
      </c>
      <c r="S1869" s="2" t="s">
        <v>121</v>
      </c>
      <c r="T1869" s="2" t="s">
        <v>108</v>
      </c>
    </row>
    <row r="1870" spans="1:20" x14ac:dyDescent="0.25">
      <c r="A1870" s="2" t="s">
        <v>3049</v>
      </c>
      <c r="B1870" s="3">
        <v>43091</v>
      </c>
      <c r="C1870" s="3">
        <v>43095</v>
      </c>
      <c r="D1870" s="2" t="s">
        <v>55</v>
      </c>
      <c r="E1870" s="2" t="s">
        <v>210</v>
      </c>
      <c r="F1870" s="2" t="s">
        <v>211</v>
      </c>
      <c r="G1870" s="2" t="s">
        <v>24</v>
      </c>
      <c r="H1870" s="2" t="s">
        <v>25</v>
      </c>
      <c r="I1870" s="2" t="s">
        <v>184</v>
      </c>
      <c r="J1870" s="2" t="s">
        <v>185</v>
      </c>
      <c r="K1870" s="2" t="s">
        <v>147</v>
      </c>
      <c r="L1870" s="2" t="s">
        <v>820</v>
      </c>
      <c r="M1870" s="2" t="s">
        <v>30</v>
      </c>
      <c r="N1870" s="2" t="s">
        <v>162</v>
      </c>
      <c r="O1870" s="2" t="s">
        <v>821</v>
      </c>
      <c r="P1870" s="4">
        <v>951.96780000000001</v>
      </c>
      <c r="Q1870" s="4">
        <v>3</v>
      </c>
      <c r="R1870" s="4">
        <v>270.10579999999999</v>
      </c>
      <c r="S1870" s="2" t="s">
        <v>75</v>
      </c>
      <c r="T1870" s="2" t="s">
        <v>76</v>
      </c>
    </row>
    <row r="1871" spans="1:20" x14ac:dyDescent="0.25">
      <c r="A1871" s="2" t="s">
        <v>3050</v>
      </c>
      <c r="B1871" s="3">
        <v>42899</v>
      </c>
      <c r="C1871" s="3">
        <v>42903</v>
      </c>
      <c r="D1871" s="2" t="s">
        <v>55</v>
      </c>
      <c r="E1871" s="2" t="s">
        <v>1631</v>
      </c>
      <c r="F1871" s="2" t="s">
        <v>1632</v>
      </c>
      <c r="G1871" s="2" t="s">
        <v>38</v>
      </c>
      <c r="H1871" s="2" t="s">
        <v>25</v>
      </c>
      <c r="I1871" s="2" t="s">
        <v>1128</v>
      </c>
      <c r="J1871" s="2" t="s">
        <v>667</v>
      </c>
      <c r="K1871" s="2" t="s">
        <v>28</v>
      </c>
      <c r="L1871" s="2" t="s">
        <v>154</v>
      </c>
      <c r="M1871" s="2" t="s">
        <v>30</v>
      </c>
      <c r="N1871" s="2" t="s">
        <v>42</v>
      </c>
      <c r="O1871" s="2" t="s">
        <v>155</v>
      </c>
      <c r="P1871" s="4">
        <v>49.199100000000001</v>
      </c>
      <c r="Q1871" s="4">
        <v>4</v>
      </c>
      <c r="R1871" s="4">
        <v>-20.854199999999999</v>
      </c>
      <c r="S1871" s="2" t="s">
        <v>75</v>
      </c>
      <c r="T1871" s="2" t="s">
        <v>133</v>
      </c>
    </row>
    <row r="1872" spans="1:20" x14ac:dyDescent="0.25">
      <c r="A1872" s="2" t="s">
        <v>3051</v>
      </c>
      <c r="B1872" s="3">
        <v>42802</v>
      </c>
      <c r="C1872" s="3">
        <v>42808</v>
      </c>
      <c r="D1872" s="2" t="s">
        <v>55</v>
      </c>
      <c r="E1872" s="2" t="s">
        <v>544</v>
      </c>
      <c r="F1872" s="2" t="s">
        <v>545</v>
      </c>
      <c r="G1872" s="2" t="s">
        <v>58</v>
      </c>
      <c r="H1872" s="2" t="s">
        <v>25</v>
      </c>
      <c r="I1872" s="2" t="s">
        <v>297</v>
      </c>
      <c r="J1872" s="2" t="s">
        <v>234</v>
      </c>
      <c r="K1872" s="2" t="s">
        <v>82</v>
      </c>
      <c r="L1872" s="2" t="s">
        <v>161</v>
      </c>
      <c r="M1872" s="2" t="s">
        <v>30</v>
      </c>
      <c r="N1872" s="2" t="s">
        <v>162</v>
      </c>
      <c r="O1872" s="2" t="s">
        <v>163</v>
      </c>
      <c r="P1872" s="4">
        <v>225.63220000000001</v>
      </c>
      <c r="Q1872" s="4">
        <v>2</v>
      </c>
      <c r="R1872" s="4">
        <v>87.691299999999998</v>
      </c>
      <c r="S1872" s="2" t="s">
        <v>65</v>
      </c>
      <c r="T1872" s="2" t="s">
        <v>44</v>
      </c>
    </row>
    <row r="1873" spans="1:20" x14ac:dyDescent="0.25">
      <c r="A1873" s="2" t="s">
        <v>3052</v>
      </c>
      <c r="B1873" s="3">
        <v>42798</v>
      </c>
      <c r="C1873" s="3">
        <v>42803</v>
      </c>
      <c r="D1873" s="2" t="s">
        <v>55</v>
      </c>
      <c r="E1873" s="2" t="s">
        <v>588</v>
      </c>
      <c r="F1873" s="2" t="s">
        <v>589</v>
      </c>
      <c r="G1873" s="2" t="s">
        <v>38</v>
      </c>
      <c r="H1873" s="2" t="s">
        <v>25</v>
      </c>
      <c r="I1873" s="2" t="s">
        <v>1114</v>
      </c>
      <c r="J1873" s="2" t="s">
        <v>138</v>
      </c>
      <c r="K1873" s="2" t="s">
        <v>82</v>
      </c>
      <c r="L1873" s="2" t="s">
        <v>283</v>
      </c>
      <c r="M1873" s="2" t="s">
        <v>30</v>
      </c>
      <c r="N1873" s="2" t="s">
        <v>162</v>
      </c>
      <c r="O1873" s="2" t="s">
        <v>284</v>
      </c>
      <c r="P1873" s="4">
        <v>1917.9614999999999</v>
      </c>
      <c r="Q1873" s="4">
        <v>3</v>
      </c>
      <c r="R1873" s="4">
        <v>144.1816</v>
      </c>
      <c r="S1873" s="2" t="s">
        <v>85</v>
      </c>
      <c r="T1873" s="2" t="s">
        <v>44</v>
      </c>
    </row>
    <row r="1874" spans="1:20" x14ac:dyDescent="0.25">
      <c r="A1874" s="2" t="s">
        <v>3053</v>
      </c>
      <c r="B1874" s="3">
        <v>42568</v>
      </c>
      <c r="C1874" s="3">
        <v>42570</v>
      </c>
      <c r="D1874" s="2" t="s">
        <v>55</v>
      </c>
      <c r="E1874" s="2" t="s">
        <v>1262</v>
      </c>
      <c r="F1874" s="2" t="s">
        <v>1263</v>
      </c>
      <c r="G1874" s="2" t="s">
        <v>58</v>
      </c>
      <c r="H1874" s="2" t="s">
        <v>25</v>
      </c>
      <c r="I1874" s="2" t="s">
        <v>297</v>
      </c>
      <c r="J1874" s="2" t="s">
        <v>234</v>
      </c>
      <c r="K1874" s="2" t="s">
        <v>82</v>
      </c>
      <c r="L1874" s="2" t="s">
        <v>719</v>
      </c>
      <c r="M1874" s="2" t="s">
        <v>30</v>
      </c>
      <c r="N1874" s="2" t="s">
        <v>63</v>
      </c>
      <c r="O1874" s="2" t="s">
        <v>720</v>
      </c>
      <c r="P1874" s="4">
        <v>616.80650000000003</v>
      </c>
      <c r="Q1874" s="4">
        <v>2</v>
      </c>
      <c r="R1874" s="4">
        <v>-93.084500000000006</v>
      </c>
      <c r="S1874" s="2" t="s">
        <v>53</v>
      </c>
      <c r="T1874" s="2" t="s">
        <v>86</v>
      </c>
    </row>
    <row r="1875" spans="1:20" x14ac:dyDescent="0.25">
      <c r="A1875" s="2" t="s">
        <v>3054</v>
      </c>
      <c r="B1875" s="3">
        <v>43076</v>
      </c>
      <c r="C1875" s="3">
        <v>43077</v>
      </c>
      <c r="D1875" s="2" t="s">
        <v>55</v>
      </c>
      <c r="E1875" s="2" t="s">
        <v>1500</v>
      </c>
      <c r="F1875" s="2" t="s">
        <v>1501</v>
      </c>
      <c r="G1875" s="2" t="s">
        <v>24</v>
      </c>
      <c r="H1875" s="2" t="s">
        <v>25</v>
      </c>
      <c r="I1875" s="2" t="s">
        <v>666</v>
      </c>
      <c r="J1875" s="2" t="s">
        <v>667</v>
      </c>
      <c r="K1875" s="2" t="s">
        <v>28</v>
      </c>
      <c r="L1875" s="2" t="s">
        <v>899</v>
      </c>
      <c r="M1875" s="2" t="s">
        <v>30</v>
      </c>
      <c r="N1875" s="2" t="s">
        <v>63</v>
      </c>
      <c r="O1875" s="2" t="s">
        <v>900</v>
      </c>
      <c r="P1875" s="4">
        <v>195.4734</v>
      </c>
      <c r="Q1875" s="4">
        <v>3</v>
      </c>
      <c r="R1875" s="4">
        <v>30.420200000000001</v>
      </c>
      <c r="S1875" s="2" t="s">
        <v>33</v>
      </c>
      <c r="T1875" s="2" t="s">
        <v>76</v>
      </c>
    </row>
    <row r="1876" spans="1:20" x14ac:dyDescent="0.25">
      <c r="A1876" s="2" t="s">
        <v>3055</v>
      </c>
      <c r="B1876" s="3">
        <v>42394</v>
      </c>
      <c r="C1876" s="3">
        <v>42395</v>
      </c>
      <c r="D1876" s="2" t="s">
        <v>55</v>
      </c>
      <c r="E1876" s="2" t="s">
        <v>660</v>
      </c>
      <c r="F1876" s="2" t="s">
        <v>661</v>
      </c>
      <c r="G1876" s="2" t="s">
        <v>38</v>
      </c>
      <c r="H1876" s="2" t="s">
        <v>25</v>
      </c>
      <c r="I1876" s="2" t="s">
        <v>243</v>
      </c>
      <c r="J1876" s="2" t="s">
        <v>244</v>
      </c>
      <c r="K1876" s="2" t="s">
        <v>61</v>
      </c>
      <c r="L1876" s="2" t="s">
        <v>254</v>
      </c>
      <c r="M1876" s="2" t="s">
        <v>30</v>
      </c>
      <c r="N1876" s="2" t="s">
        <v>162</v>
      </c>
      <c r="O1876" s="2" t="s">
        <v>255</v>
      </c>
      <c r="P1876" s="4">
        <v>506.3064</v>
      </c>
      <c r="Q1876" s="4">
        <v>6</v>
      </c>
      <c r="R1876" s="4">
        <v>-31.477</v>
      </c>
      <c r="S1876" s="2" t="s">
        <v>33</v>
      </c>
      <c r="T1876" s="2" t="s">
        <v>115</v>
      </c>
    </row>
    <row r="1877" spans="1:20" x14ac:dyDescent="0.25">
      <c r="A1877" s="2" t="s">
        <v>3056</v>
      </c>
      <c r="B1877" s="3">
        <v>41824</v>
      </c>
      <c r="C1877" s="3">
        <v>41826</v>
      </c>
      <c r="D1877" s="2" t="s">
        <v>55</v>
      </c>
      <c r="E1877" s="2" t="s">
        <v>2991</v>
      </c>
      <c r="F1877" s="2" t="s">
        <v>2992</v>
      </c>
      <c r="G1877" s="2" t="s">
        <v>58</v>
      </c>
      <c r="H1877" s="2" t="s">
        <v>25</v>
      </c>
      <c r="I1877" s="2" t="s">
        <v>617</v>
      </c>
      <c r="J1877" s="2" t="s">
        <v>168</v>
      </c>
      <c r="K1877" s="2" t="s">
        <v>28</v>
      </c>
      <c r="L1877" s="2" t="s">
        <v>29</v>
      </c>
      <c r="M1877" s="2" t="s">
        <v>30</v>
      </c>
      <c r="N1877" s="2" t="s">
        <v>31</v>
      </c>
      <c r="O1877" s="2" t="s">
        <v>32</v>
      </c>
      <c r="P1877" s="4">
        <v>48.006399999999999</v>
      </c>
      <c r="Q1877" s="4">
        <v>3</v>
      </c>
      <c r="R1877" s="4">
        <v>-3.484</v>
      </c>
      <c r="S1877" s="2" t="s">
        <v>53</v>
      </c>
      <c r="T1877" s="2" t="s">
        <v>86</v>
      </c>
    </row>
    <row r="1878" spans="1:20" x14ac:dyDescent="0.25">
      <c r="A1878" s="2" t="s">
        <v>3057</v>
      </c>
      <c r="B1878" s="3">
        <v>42464</v>
      </c>
      <c r="C1878" s="3">
        <v>42465</v>
      </c>
      <c r="D1878" s="2" t="s">
        <v>55</v>
      </c>
      <c r="E1878" s="2" t="s">
        <v>2707</v>
      </c>
      <c r="F1878" s="2" t="s">
        <v>2708</v>
      </c>
      <c r="G1878" s="2" t="s">
        <v>58</v>
      </c>
      <c r="H1878" s="2" t="s">
        <v>25</v>
      </c>
      <c r="I1878" s="2" t="s">
        <v>138</v>
      </c>
      <c r="J1878" s="2" t="s">
        <v>407</v>
      </c>
      <c r="K1878" s="2" t="s">
        <v>28</v>
      </c>
      <c r="L1878" s="2" t="s">
        <v>131</v>
      </c>
      <c r="M1878" s="2" t="s">
        <v>30</v>
      </c>
      <c r="N1878" s="2" t="s">
        <v>31</v>
      </c>
      <c r="O1878" s="2" t="s">
        <v>132</v>
      </c>
      <c r="P1878" s="4">
        <v>24.219799999999999</v>
      </c>
      <c r="Q1878" s="4">
        <v>4</v>
      </c>
      <c r="R1878" s="4">
        <v>7.2704000000000004</v>
      </c>
      <c r="S1878" s="2" t="s">
        <v>33</v>
      </c>
      <c r="T1878" s="2" t="s">
        <v>108</v>
      </c>
    </row>
    <row r="1879" spans="1:20" x14ac:dyDescent="0.25">
      <c r="A1879" s="2" t="s">
        <v>3058</v>
      </c>
      <c r="B1879" s="3">
        <v>42390</v>
      </c>
      <c r="C1879" s="3">
        <v>42390</v>
      </c>
      <c r="D1879" s="2" t="s">
        <v>55</v>
      </c>
      <c r="E1879" s="2" t="s">
        <v>2879</v>
      </c>
      <c r="F1879" s="2" t="s">
        <v>2880</v>
      </c>
      <c r="G1879" s="2" t="s">
        <v>58</v>
      </c>
      <c r="H1879" s="2" t="s">
        <v>25</v>
      </c>
      <c r="I1879" s="2" t="s">
        <v>360</v>
      </c>
      <c r="J1879" s="2" t="s">
        <v>160</v>
      </c>
      <c r="K1879" s="2" t="s">
        <v>61</v>
      </c>
      <c r="L1879" s="2" t="s">
        <v>323</v>
      </c>
      <c r="M1879" s="2" t="s">
        <v>30</v>
      </c>
      <c r="N1879" s="2" t="s">
        <v>31</v>
      </c>
      <c r="O1879" s="2" t="s">
        <v>324</v>
      </c>
      <c r="P1879" s="4">
        <v>2</v>
      </c>
      <c r="Q1879" s="4">
        <v>4</v>
      </c>
      <c r="R1879" s="4">
        <v>-1.6899999999999998E-2</v>
      </c>
      <c r="S1879" s="2" t="s">
        <v>121</v>
      </c>
      <c r="T1879" s="2" t="s">
        <v>115</v>
      </c>
    </row>
    <row r="1880" spans="1:20" x14ac:dyDescent="0.25">
      <c r="A1880" s="2" t="s">
        <v>3059</v>
      </c>
      <c r="B1880" s="3">
        <v>41645</v>
      </c>
      <c r="C1880" s="3">
        <v>41645</v>
      </c>
      <c r="D1880" s="2" t="s">
        <v>21</v>
      </c>
      <c r="E1880" s="2" t="s">
        <v>124</v>
      </c>
      <c r="F1880" s="2" t="s">
        <v>125</v>
      </c>
      <c r="G1880" s="2" t="s">
        <v>24</v>
      </c>
      <c r="H1880" s="2" t="s">
        <v>25</v>
      </c>
      <c r="I1880" s="2" t="s">
        <v>1688</v>
      </c>
      <c r="J1880" s="2" t="s">
        <v>206</v>
      </c>
      <c r="K1880" s="2" t="s">
        <v>61</v>
      </c>
      <c r="L1880" s="2" t="s">
        <v>311</v>
      </c>
      <c r="M1880" s="2" t="s">
        <v>30</v>
      </c>
      <c r="N1880" s="2" t="s">
        <v>63</v>
      </c>
      <c r="O1880" s="2" t="s">
        <v>312</v>
      </c>
      <c r="P1880" s="4">
        <v>313.69990000000001</v>
      </c>
      <c r="Q1880" s="4">
        <v>2</v>
      </c>
      <c r="R1880" s="4">
        <v>144.34139999999999</v>
      </c>
      <c r="S1880" s="2" t="s">
        <v>121</v>
      </c>
      <c r="T1880" s="2" t="s">
        <v>115</v>
      </c>
    </row>
    <row r="1881" spans="1:20" x14ac:dyDescent="0.25">
      <c r="A1881" s="2" t="s">
        <v>3059</v>
      </c>
      <c r="B1881" s="3">
        <v>41645</v>
      </c>
      <c r="C1881" s="3">
        <v>41645</v>
      </c>
      <c r="D1881" s="2" t="s">
        <v>21</v>
      </c>
      <c r="E1881" s="2" t="s">
        <v>124</v>
      </c>
      <c r="F1881" s="2" t="s">
        <v>125</v>
      </c>
      <c r="G1881" s="2" t="s">
        <v>24</v>
      </c>
      <c r="H1881" s="2" t="s">
        <v>25</v>
      </c>
      <c r="I1881" s="2" t="s">
        <v>1688</v>
      </c>
      <c r="J1881" s="2" t="s">
        <v>206</v>
      </c>
      <c r="K1881" s="2" t="s">
        <v>61</v>
      </c>
      <c r="L1881" s="2" t="s">
        <v>254</v>
      </c>
      <c r="M1881" s="2" t="s">
        <v>30</v>
      </c>
      <c r="N1881" s="2" t="s">
        <v>162</v>
      </c>
      <c r="O1881" s="2" t="s">
        <v>255</v>
      </c>
      <c r="P1881" s="4">
        <v>1406.7317</v>
      </c>
      <c r="Q1881" s="4">
        <v>2</v>
      </c>
      <c r="R1881" s="4">
        <v>255.56489999999999</v>
      </c>
      <c r="S1881" s="2" t="s">
        <v>121</v>
      </c>
      <c r="T1881" s="2" t="s">
        <v>115</v>
      </c>
    </row>
    <row r="1882" spans="1:20" x14ac:dyDescent="0.25">
      <c r="A1882" s="2" t="s">
        <v>3060</v>
      </c>
      <c r="B1882" s="3">
        <v>42340</v>
      </c>
      <c r="C1882" s="3">
        <v>42341</v>
      </c>
      <c r="D1882" s="2" t="s">
        <v>48</v>
      </c>
      <c r="E1882" s="2" t="s">
        <v>3061</v>
      </c>
      <c r="F1882" s="2" t="s">
        <v>3062</v>
      </c>
      <c r="G1882" s="2" t="s">
        <v>24</v>
      </c>
      <c r="H1882" s="2" t="s">
        <v>25</v>
      </c>
      <c r="I1882" s="2" t="s">
        <v>631</v>
      </c>
      <c r="J1882" s="2" t="s">
        <v>632</v>
      </c>
      <c r="K1882" s="2" t="s">
        <v>82</v>
      </c>
      <c r="L1882" s="2" t="s">
        <v>677</v>
      </c>
      <c r="M1882" s="2" t="s">
        <v>30</v>
      </c>
      <c r="N1882" s="2" t="s">
        <v>162</v>
      </c>
      <c r="O1882" s="2" t="s">
        <v>678</v>
      </c>
      <c r="P1882" s="4">
        <v>992.46040000000005</v>
      </c>
      <c r="Q1882" s="4">
        <v>2</v>
      </c>
      <c r="R1882" s="4">
        <v>-457.03250000000003</v>
      </c>
      <c r="S1882" s="2" t="s">
        <v>33</v>
      </c>
      <c r="T1882" s="2" t="s">
        <v>76</v>
      </c>
    </row>
    <row r="1883" spans="1:20" x14ac:dyDescent="0.25">
      <c r="A1883" s="2" t="s">
        <v>3060</v>
      </c>
      <c r="B1883" s="3">
        <v>42340</v>
      </c>
      <c r="C1883" s="3">
        <v>42341</v>
      </c>
      <c r="D1883" s="2" t="s">
        <v>48</v>
      </c>
      <c r="E1883" s="2" t="s">
        <v>3061</v>
      </c>
      <c r="F1883" s="2" t="s">
        <v>3062</v>
      </c>
      <c r="G1883" s="2" t="s">
        <v>24</v>
      </c>
      <c r="H1883" s="2" t="s">
        <v>25</v>
      </c>
      <c r="I1883" s="2" t="s">
        <v>631</v>
      </c>
      <c r="J1883" s="2" t="s">
        <v>632</v>
      </c>
      <c r="K1883" s="2" t="s">
        <v>82</v>
      </c>
      <c r="L1883" s="2" t="s">
        <v>820</v>
      </c>
      <c r="M1883" s="2" t="s">
        <v>30</v>
      </c>
      <c r="N1883" s="2" t="s">
        <v>162</v>
      </c>
      <c r="O1883" s="2" t="s">
        <v>821</v>
      </c>
      <c r="P1883" s="4">
        <v>1199.6967999999999</v>
      </c>
      <c r="Q1883" s="4">
        <v>2</v>
      </c>
      <c r="R1883" s="4">
        <v>-220.46799999999999</v>
      </c>
      <c r="S1883" s="2" t="s">
        <v>33</v>
      </c>
      <c r="T1883" s="2" t="s">
        <v>76</v>
      </c>
    </row>
    <row r="1884" spans="1:20" x14ac:dyDescent="0.25">
      <c r="A1884" s="2" t="s">
        <v>3063</v>
      </c>
      <c r="B1884" s="3">
        <v>42891</v>
      </c>
      <c r="C1884" s="3">
        <v>42895</v>
      </c>
      <c r="D1884" s="2" t="s">
        <v>55</v>
      </c>
      <c r="E1884" s="2" t="s">
        <v>2023</v>
      </c>
      <c r="F1884" s="2" t="s">
        <v>2024</v>
      </c>
      <c r="G1884" s="2" t="s">
        <v>58</v>
      </c>
      <c r="H1884" s="2" t="s">
        <v>25</v>
      </c>
      <c r="I1884" s="2" t="s">
        <v>212</v>
      </c>
      <c r="J1884" s="2" t="s">
        <v>185</v>
      </c>
      <c r="K1884" s="2" t="s">
        <v>147</v>
      </c>
      <c r="L1884" s="2" t="s">
        <v>316</v>
      </c>
      <c r="M1884" s="2" t="s">
        <v>30</v>
      </c>
      <c r="N1884" s="2" t="s">
        <v>42</v>
      </c>
      <c r="O1884" s="2" t="s">
        <v>317</v>
      </c>
      <c r="P1884" s="4">
        <v>153.79470000000001</v>
      </c>
      <c r="Q1884" s="4">
        <v>1</v>
      </c>
      <c r="R1884" s="4">
        <v>95.042299999999997</v>
      </c>
      <c r="S1884" s="2" t="s">
        <v>75</v>
      </c>
      <c r="T1884" s="2" t="s">
        <v>133</v>
      </c>
    </row>
    <row r="1885" spans="1:20" x14ac:dyDescent="0.25">
      <c r="A1885" s="2" t="s">
        <v>3064</v>
      </c>
      <c r="B1885" s="3">
        <v>42499</v>
      </c>
      <c r="C1885" s="3">
        <v>42504</v>
      </c>
      <c r="D1885" s="2" t="s">
        <v>55</v>
      </c>
      <c r="E1885" s="2" t="s">
        <v>758</v>
      </c>
      <c r="F1885" s="2" t="s">
        <v>759</v>
      </c>
      <c r="G1885" s="2" t="s">
        <v>24</v>
      </c>
      <c r="H1885" s="2" t="s">
        <v>25</v>
      </c>
      <c r="I1885" s="2" t="s">
        <v>1243</v>
      </c>
      <c r="J1885" s="2" t="s">
        <v>595</v>
      </c>
      <c r="K1885" s="2" t="s">
        <v>61</v>
      </c>
      <c r="L1885" s="2" t="s">
        <v>174</v>
      </c>
      <c r="M1885" s="2" t="s">
        <v>30</v>
      </c>
      <c r="N1885" s="2" t="s">
        <v>31</v>
      </c>
      <c r="O1885" s="2" t="s">
        <v>175</v>
      </c>
      <c r="P1885" s="4">
        <v>423.38029999999998</v>
      </c>
      <c r="Q1885" s="4">
        <v>3</v>
      </c>
      <c r="R1885" s="4">
        <v>10.6251</v>
      </c>
      <c r="S1885" s="2" t="s">
        <v>85</v>
      </c>
      <c r="T1885" s="2" t="s">
        <v>122</v>
      </c>
    </row>
    <row r="1886" spans="1:20" x14ac:dyDescent="0.25">
      <c r="A1886" s="2" t="s">
        <v>3064</v>
      </c>
      <c r="B1886" s="3">
        <v>42499</v>
      </c>
      <c r="C1886" s="3">
        <v>42504</v>
      </c>
      <c r="D1886" s="2" t="s">
        <v>55</v>
      </c>
      <c r="E1886" s="2" t="s">
        <v>758</v>
      </c>
      <c r="F1886" s="2" t="s">
        <v>759</v>
      </c>
      <c r="G1886" s="2" t="s">
        <v>24</v>
      </c>
      <c r="H1886" s="2" t="s">
        <v>25</v>
      </c>
      <c r="I1886" s="2" t="s">
        <v>1243</v>
      </c>
      <c r="J1886" s="2" t="s">
        <v>595</v>
      </c>
      <c r="K1886" s="2" t="s">
        <v>61</v>
      </c>
      <c r="L1886" s="2" t="s">
        <v>899</v>
      </c>
      <c r="M1886" s="2" t="s">
        <v>30</v>
      </c>
      <c r="N1886" s="2" t="s">
        <v>63</v>
      </c>
      <c r="O1886" s="2" t="s">
        <v>900</v>
      </c>
      <c r="P1886" s="4">
        <v>611.36360000000002</v>
      </c>
      <c r="Q1886" s="4">
        <v>6</v>
      </c>
      <c r="R1886" s="4">
        <v>-388.37220000000002</v>
      </c>
      <c r="S1886" s="2" t="s">
        <v>85</v>
      </c>
      <c r="T1886" s="2" t="s">
        <v>122</v>
      </c>
    </row>
    <row r="1887" spans="1:20" x14ac:dyDescent="0.25">
      <c r="A1887" s="2" t="s">
        <v>3065</v>
      </c>
      <c r="B1887" s="3">
        <v>42401</v>
      </c>
      <c r="C1887" s="3">
        <v>42407</v>
      </c>
      <c r="D1887" s="2" t="s">
        <v>55</v>
      </c>
      <c r="E1887" s="2" t="s">
        <v>3066</v>
      </c>
      <c r="F1887" s="2" t="s">
        <v>3067</v>
      </c>
      <c r="G1887" s="2" t="s">
        <v>58</v>
      </c>
      <c r="H1887" s="2" t="s">
        <v>25</v>
      </c>
      <c r="I1887" s="2" t="s">
        <v>126</v>
      </c>
      <c r="J1887" s="2" t="s">
        <v>127</v>
      </c>
      <c r="K1887" s="2" t="s">
        <v>82</v>
      </c>
      <c r="L1887" s="2" t="s">
        <v>218</v>
      </c>
      <c r="M1887" s="2" t="s">
        <v>30</v>
      </c>
      <c r="N1887" s="2" t="s">
        <v>31</v>
      </c>
      <c r="O1887" s="2" t="s">
        <v>219</v>
      </c>
      <c r="P1887" s="4">
        <v>193.19200000000001</v>
      </c>
      <c r="Q1887" s="4">
        <v>2</v>
      </c>
      <c r="R1887" s="4">
        <v>-16.526499999999999</v>
      </c>
      <c r="S1887" s="2" t="s">
        <v>65</v>
      </c>
      <c r="T1887" s="2" t="s">
        <v>101</v>
      </c>
    </row>
    <row r="1888" spans="1:20" x14ac:dyDescent="0.25">
      <c r="A1888" s="2" t="s">
        <v>3068</v>
      </c>
      <c r="B1888" s="3">
        <v>42382</v>
      </c>
      <c r="C1888" s="3">
        <v>42383</v>
      </c>
      <c r="D1888" s="2" t="s">
        <v>55</v>
      </c>
      <c r="E1888" s="2" t="s">
        <v>3069</v>
      </c>
      <c r="F1888" s="2" t="s">
        <v>3070</v>
      </c>
      <c r="G1888" s="2" t="s">
        <v>58</v>
      </c>
      <c r="H1888" s="2" t="s">
        <v>25</v>
      </c>
      <c r="I1888" s="2" t="s">
        <v>97</v>
      </c>
      <c r="J1888" s="2" t="s">
        <v>112</v>
      </c>
      <c r="K1888" s="2" t="s">
        <v>28</v>
      </c>
      <c r="L1888" s="2" t="s">
        <v>235</v>
      </c>
      <c r="M1888" s="2" t="s">
        <v>30</v>
      </c>
      <c r="N1888" s="2" t="s">
        <v>31</v>
      </c>
      <c r="O1888" s="2" t="s">
        <v>236</v>
      </c>
      <c r="P1888" s="4">
        <v>31.867899999999999</v>
      </c>
      <c r="Q1888" s="4">
        <v>2</v>
      </c>
      <c r="R1888" s="4">
        <v>10.612</v>
      </c>
      <c r="S1888" s="2" t="s">
        <v>33</v>
      </c>
      <c r="T1888" s="2" t="s">
        <v>115</v>
      </c>
    </row>
    <row r="1889" spans="1:20" x14ac:dyDescent="0.25">
      <c r="A1889" s="2" t="s">
        <v>3071</v>
      </c>
      <c r="B1889" s="3">
        <v>41670</v>
      </c>
      <c r="C1889" s="3">
        <v>41675</v>
      </c>
      <c r="D1889" s="2" t="s">
        <v>55</v>
      </c>
      <c r="E1889" s="2" t="s">
        <v>1347</v>
      </c>
      <c r="F1889" s="2" t="s">
        <v>1348</v>
      </c>
      <c r="G1889" s="2" t="s">
        <v>58</v>
      </c>
      <c r="H1889" s="2" t="s">
        <v>25</v>
      </c>
      <c r="I1889" s="2" t="s">
        <v>861</v>
      </c>
      <c r="J1889" s="2" t="s">
        <v>403</v>
      </c>
      <c r="K1889" s="2" t="s">
        <v>147</v>
      </c>
      <c r="L1889" s="2" t="s">
        <v>99</v>
      </c>
      <c r="M1889" s="2" t="s">
        <v>30</v>
      </c>
      <c r="N1889" s="2" t="s">
        <v>42</v>
      </c>
      <c r="O1889" s="2" t="s">
        <v>100</v>
      </c>
      <c r="P1889" s="4">
        <v>383.99740000000003</v>
      </c>
      <c r="Q1889" s="4">
        <v>5</v>
      </c>
      <c r="R1889" s="4">
        <v>-174.31020000000001</v>
      </c>
      <c r="S1889" s="2" t="s">
        <v>85</v>
      </c>
      <c r="T1889" s="2" t="s">
        <v>115</v>
      </c>
    </row>
    <row r="1890" spans="1:20" x14ac:dyDescent="0.25">
      <c r="A1890" s="2" t="s">
        <v>3072</v>
      </c>
      <c r="B1890" s="3">
        <v>41928</v>
      </c>
      <c r="C1890" s="3">
        <v>41932</v>
      </c>
      <c r="D1890" s="2" t="s">
        <v>55</v>
      </c>
      <c r="E1890" s="2" t="s">
        <v>672</v>
      </c>
      <c r="F1890" s="2" t="s">
        <v>673</v>
      </c>
      <c r="G1890" s="2" t="s">
        <v>38</v>
      </c>
      <c r="H1890" s="2" t="s">
        <v>25</v>
      </c>
      <c r="I1890" s="2" t="s">
        <v>458</v>
      </c>
      <c r="J1890" s="2" t="s">
        <v>27</v>
      </c>
      <c r="K1890" s="2" t="s">
        <v>28</v>
      </c>
      <c r="L1890" s="2" t="s">
        <v>301</v>
      </c>
      <c r="M1890" s="2" t="s">
        <v>30</v>
      </c>
      <c r="N1890" s="2" t="s">
        <v>162</v>
      </c>
      <c r="O1890" s="2" t="s">
        <v>302</v>
      </c>
      <c r="P1890" s="4">
        <v>329.84199999999998</v>
      </c>
      <c r="Q1890" s="4">
        <v>2</v>
      </c>
      <c r="R1890" s="4">
        <v>205.76650000000001</v>
      </c>
      <c r="S1890" s="2" t="s">
        <v>75</v>
      </c>
      <c r="T1890" s="2" t="s">
        <v>224</v>
      </c>
    </row>
    <row r="1891" spans="1:20" x14ac:dyDescent="0.25">
      <c r="A1891" s="2" t="s">
        <v>3073</v>
      </c>
      <c r="B1891" s="3">
        <v>42486</v>
      </c>
      <c r="C1891" s="3">
        <v>42488</v>
      </c>
      <c r="D1891" s="2" t="s">
        <v>48</v>
      </c>
      <c r="E1891" s="2" t="s">
        <v>2041</v>
      </c>
      <c r="F1891" s="2" t="s">
        <v>2042</v>
      </c>
      <c r="G1891" s="2" t="s">
        <v>38</v>
      </c>
      <c r="H1891" s="2" t="s">
        <v>25</v>
      </c>
      <c r="I1891" s="2" t="s">
        <v>662</v>
      </c>
      <c r="J1891" s="2" t="s">
        <v>310</v>
      </c>
      <c r="K1891" s="2" t="s">
        <v>28</v>
      </c>
      <c r="L1891" s="2" t="s">
        <v>218</v>
      </c>
      <c r="M1891" s="2" t="s">
        <v>30</v>
      </c>
      <c r="N1891" s="2" t="s">
        <v>31</v>
      </c>
      <c r="O1891" s="2" t="s">
        <v>219</v>
      </c>
      <c r="P1891" s="4">
        <v>32.551400000000001</v>
      </c>
      <c r="Q1891" s="4">
        <v>3</v>
      </c>
      <c r="R1891" s="4">
        <v>13.055400000000001</v>
      </c>
      <c r="S1891" s="2" t="s">
        <v>53</v>
      </c>
      <c r="T1891" s="2" t="s">
        <v>108</v>
      </c>
    </row>
    <row r="1892" spans="1:20" x14ac:dyDescent="0.25">
      <c r="A1892" s="2" t="s">
        <v>3074</v>
      </c>
      <c r="B1892" s="3">
        <v>41784</v>
      </c>
      <c r="C1892" s="3">
        <v>41787</v>
      </c>
      <c r="D1892" s="2" t="s">
        <v>21</v>
      </c>
      <c r="E1892" s="2" t="s">
        <v>1090</v>
      </c>
      <c r="F1892" s="2" t="s">
        <v>1091</v>
      </c>
      <c r="G1892" s="2" t="s">
        <v>58</v>
      </c>
      <c r="H1892" s="2" t="s">
        <v>25</v>
      </c>
      <c r="I1892" s="2" t="s">
        <v>552</v>
      </c>
      <c r="J1892" s="2" t="s">
        <v>322</v>
      </c>
      <c r="K1892" s="2" t="s">
        <v>28</v>
      </c>
      <c r="L1892" s="2" t="s">
        <v>139</v>
      </c>
      <c r="M1892" s="2" t="s">
        <v>30</v>
      </c>
      <c r="N1892" s="2" t="s">
        <v>42</v>
      </c>
      <c r="O1892" s="2" t="s">
        <v>140</v>
      </c>
      <c r="P1892" s="4">
        <v>1681.4567</v>
      </c>
      <c r="Q1892" s="4">
        <v>1</v>
      </c>
      <c r="R1892" s="4">
        <v>200.45259999999999</v>
      </c>
      <c r="S1892" s="2" t="s">
        <v>92</v>
      </c>
      <c r="T1892" s="2" t="s">
        <v>122</v>
      </c>
    </row>
    <row r="1893" spans="1:20" x14ac:dyDescent="0.25">
      <c r="A1893" s="2" t="s">
        <v>3075</v>
      </c>
      <c r="B1893" s="3">
        <v>42247</v>
      </c>
      <c r="C1893" s="3">
        <v>42247</v>
      </c>
      <c r="D1893" s="2" t="s">
        <v>55</v>
      </c>
      <c r="E1893" s="2" t="s">
        <v>669</v>
      </c>
      <c r="F1893" s="2" t="s">
        <v>670</v>
      </c>
      <c r="G1893" s="2" t="s">
        <v>58</v>
      </c>
      <c r="H1893" s="2" t="s">
        <v>25</v>
      </c>
      <c r="I1893" s="2" t="s">
        <v>321</v>
      </c>
      <c r="J1893" s="2" t="s">
        <v>322</v>
      </c>
      <c r="K1893" s="2" t="s">
        <v>28</v>
      </c>
      <c r="L1893" s="2" t="s">
        <v>453</v>
      </c>
      <c r="M1893" s="2" t="s">
        <v>30</v>
      </c>
      <c r="N1893" s="2" t="s">
        <v>42</v>
      </c>
      <c r="O1893" s="2" t="s">
        <v>454</v>
      </c>
      <c r="P1893" s="4">
        <v>1541.4824000000001</v>
      </c>
      <c r="Q1893" s="4">
        <v>5</v>
      </c>
      <c r="R1893" s="4">
        <v>-180.4408</v>
      </c>
      <c r="S1893" s="2" t="s">
        <v>121</v>
      </c>
      <c r="T1893" s="2" t="s">
        <v>34</v>
      </c>
    </row>
    <row r="1894" spans="1:20" x14ac:dyDescent="0.25">
      <c r="A1894" s="2" t="s">
        <v>3076</v>
      </c>
      <c r="B1894" s="3">
        <v>42531</v>
      </c>
      <c r="C1894" s="3">
        <v>42533</v>
      </c>
      <c r="D1894" s="2" t="s">
        <v>48</v>
      </c>
      <c r="E1894" s="2" t="s">
        <v>366</v>
      </c>
      <c r="F1894" s="2" t="s">
        <v>367</v>
      </c>
      <c r="G1894" s="2" t="s">
        <v>58</v>
      </c>
      <c r="H1894" s="2" t="s">
        <v>25</v>
      </c>
      <c r="I1894" s="2" t="s">
        <v>977</v>
      </c>
      <c r="J1894" s="2" t="s">
        <v>475</v>
      </c>
      <c r="K1894" s="2" t="s">
        <v>28</v>
      </c>
      <c r="L1894" s="2" t="s">
        <v>677</v>
      </c>
      <c r="M1894" s="2" t="s">
        <v>30</v>
      </c>
      <c r="N1894" s="2" t="s">
        <v>162</v>
      </c>
      <c r="O1894" s="2" t="s">
        <v>678</v>
      </c>
      <c r="P1894" s="4">
        <v>170.01329999999999</v>
      </c>
      <c r="Q1894" s="4">
        <v>6</v>
      </c>
      <c r="R1894" s="4">
        <v>-94.251300000000001</v>
      </c>
      <c r="S1894" s="2" t="s">
        <v>53</v>
      </c>
      <c r="T1894" s="2" t="s">
        <v>133</v>
      </c>
    </row>
    <row r="1895" spans="1:20" x14ac:dyDescent="0.25">
      <c r="A1895" s="2" t="s">
        <v>3077</v>
      </c>
      <c r="B1895" s="3">
        <v>42291</v>
      </c>
      <c r="C1895" s="3">
        <v>42296</v>
      </c>
      <c r="D1895" s="2" t="s">
        <v>55</v>
      </c>
      <c r="E1895" s="2" t="s">
        <v>1742</v>
      </c>
      <c r="F1895" s="2" t="s">
        <v>1743</v>
      </c>
      <c r="G1895" s="2" t="s">
        <v>24</v>
      </c>
      <c r="H1895" s="2" t="s">
        <v>25</v>
      </c>
      <c r="I1895" s="2" t="s">
        <v>1055</v>
      </c>
      <c r="J1895" s="2" t="s">
        <v>106</v>
      </c>
      <c r="K1895" s="2" t="s">
        <v>61</v>
      </c>
      <c r="L1895" s="2" t="s">
        <v>200</v>
      </c>
      <c r="M1895" s="2" t="s">
        <v>30</v>
      </c>
      <c r="N1895" s="2" t="s">
        <v>162</v>
      </c>
      <c r="O1895" s="2" t="s">
        <v>201</v>
      </c>
      <c r="P1895" s="4">
        <v>1838.1132</v>
      </c>
      <c r="Q1895" s="4">
        <v>8</v>
      </c>
      <c r="R1895" s="4">
        <v>-104.7787</v>
      </c>
      <c r="S1895" s="2" t="s">
        <v>85</v>
      </c>
      <c r="T1895" s="2" t="s">
        <v>224</v>
      </c>
    </row>
    <row r="1896" spans="1:20" x14ac:dyDescent="0.25">
      <c r="A1896" s="2" t="s">
        <v>3078</v>
      </c>
      <c r="B1896" s="3">
        <v>42206</v>
      </c>
      <c r="C1896" s="3">
        <v>42212</v>
      </c>
      <c r="D1896" s="2" t="s">
        <v>55</v>
      </c>
      <c r="E1896" s="2" t="s">
        <v>731</v>
      </c>
      <c r="F1896" s="2" t="s">
        <v>732</v>
      </c>
      <c r="G1896" s="2" t="s">
        <v>58</v>
      </c>
      <c r="H1896" s="2" t="s">
        <v>25</v>
      </c>
      <c r="I1896" s="2" t="s">
        <v>1366</v>
      </c>
      <c r="J1896" s="2" t="s">
        <v>244</v>
      </c>
      <c r="K1896" s="2" t="s">
        <v>61</v>
      </c>
      <c r="L1896" s="2" t="s">
        <v>218</v>
      </c>
      <c r="M1896" s="2" t="s">
        <v>30</v>
      </c>
      <c r="N1896" s="2" t="s">
        <v>31</v>
      </c>
      <c r="O1896" s="2" t="s">
        <v>219</v>
      </c>
      <c r="P1896" s="4">
        <v>15.2287</v>
      </c>
      <c r="Q1896" s="4">
        <v>1</v>
      </c>
      <c r="R1896" s="4">
        <v>11.4221</v>
      </c>
      <c r="S1896" s="2" t="s">
        <v>65</v>
      </c>
      <c r="T1896" s="2" t="s">
        <v>86</v>
      </c>
    </row>
    <row r="1897" spans="1:20" x14ac:dyDescent="0.25">
      <c r="A1897" s="2" t="s">
        <v>3079</v>
      </c>
      <c r="B1897" s="3">
        <v>41659</v>
      </c>
      <c r="C1897" s="3">
        <v>41663</v>
      </c>
      <c r="D1897" s="2" t="s">
        <v>55</v>
      </c>
      <c r="E1897" s="2" t="s">
        <v>2487</v>
      </c>
      <c r="F1897" s="2" t="s">
        <v>2488</v>
      </c>
      <c r="G1897" s="2" t="s">
        <v>24</v>
      </c>
      <c r="H1897" s="2" t="s">
        <v>25</v>
      </c>
      <c r="I1897" s="2" t="s">
        <v>1300</v>
      </c>
      <c r="J1897" s="2" t="s">
        <v>60</v>
      </c>
      <c r="K1897" s="2" t="s">
        <v>61</v>
      </c>
      <c r="L1897" s="2" t="s">
        <v>29</v>
      </c>
      <c r="M1897" s="2" t="s">
        <v>30</v>
      </c>
      <c r="N1897" s="2" t="s">
        <v>31</v>
      </c>
      <c r="O1897" s="2" t="s">
        <v>32</v>
      </c>
      <c r="P1897" s="4">
        <v>506.29480000000001</v>
      </c>
      <c r="Q1897" s="4">
        <v>1</v>
      </c>
      <c r="R1897" s="4">
        <v>70.567099999999996</v>
      </c>
      <c r="S1897" s="2" t="s">
        <v>75</v>
      </c>
      <c r="T1897" s="2" t="s">
        <v>115</v>
      </c>
    </row>
    <row r="1898" spans="1:20" x14ac:dyDescent="0.25">
      <c r="A1898" s="2" t="s">
        <v>3080</v>
      </c>
      <c r="B1898" s="3">
        <v>41848</v>
      </c>
      <c r="C1898" s="3">
        <v>41848</v>
      </c>
      <c r="D1898" s="2" t="s">
        <v>55</v>
      </c>
      <c r="E1898" s="2" t="s">
        <v>117</v>
      </c>
      <c r="F1898" s="2" t="s">
        <v>118</v>
      </c>
      <c r="G1898" s="2" t="s">
        <v>24</v>
      </c>
      <c r="H1898" s="2" t="s">
        <v>25</v>
      </c>
      <c r="I1898" s="2" t="s">
        <v>184</v>
      </c>
      <c r="J1898" s="2" t="s">
        <v>185</v>
      </c>
      <c r="K1898" s="2" t="s">
        <v>147</v>
      </c>
      <c r="L1898" s="2" t="s">
        <v>218</v>
      </c>
      <c r="M1898" s="2" t="s">
        <v>30</v>
      </c>
      <c r="N1898" s="2" t="s">
        <v>31</v>
      </c>
      <c r="O1898" s="2" t="s">
        <v>219</v>
      </c>
      <c r="P1898" s="4">
        <v>48.9129</v>
      </c>
      <c r="Q1898" s="4">
        <v>3</v>
      </c>
      <c r="R1898" s="4">
        <v>31.000599999999999</v>
      </c>
      <c r="S1898" s="2" t="s">
        <v>121</v>
      </c>
      <c r="T1898" s="2" t="s">
        <v>86</v>
      </c>
    </row>
    <row r="1899" spans="1:20" x14ac:dyDescent="0.25">
      <c r="A1899" s="2" t="s">
        <v>3081</v>
      </c>
      <c r="B1899" s="3">
        <v>42551</v>
      </c>
      <c r="C1899" s="3">
        <v>42556</v>
      </c>
      <c r="D1899" s="2" t="s">
        <v>55</v>
      </c>
      <c r="E1899" s="2" t="s">
        <v>1293</v>
      </c>
      <c r="F1899" s="2" t="s">
        <v>1294</v>
      </c>
      <c r="G1899" s="2" t="s">
        <v>38</v>
      </c>
      <c r="H1899" s="2" t="s">
        <v>25</v>
      </c>
      <c r="I1899" s="2" t="s">
        <v>138</v>
      </c>
      <c r="J1899" s="2" t="s">
        <v>407</v>
      </c>
      <c r="K1899" s="2" t="s">
        <v>28</v>
      </c>
      <c r="L1899" s="2" t="s">
        <v>83</v>
      </c>
      <c r="M1899" s="2" t="s">
        <v>30</v>
      </c>
      <c r="N1899" s="2" t="s">
        <v>42</v>
      </c>
      <c r="O1899" s="2" t="s">
        <v>84</v>
      </c>
      <c r="P1899" s="4">
        <v>928.41139999999996</v>
      </c>
      <c r="Q1899" s="4">
        <v>5</v>
      </c>
      <c r="R1899" s="4">
        <v>26.5261</v>
      </c>
      <c r="S1899" s="2" t="s">
        <v>85</v>
      </c>
      <c r="T1899" s="2" t="s">
        <v>133</v>
      </c>
    </row>
    <row r="1900" spans="1:20" x14ac:dyDescent="0.25">
      <c r="A1900" s="2" t="s">
        <v>3081</v>
      </c>
      <c r="B1900" s="3">
        <v>42551</v>
      </c>
      <c r="C1900" s="3">
        <v>42556</v>
      </c>
      <c r="D1900" s="2" t="s">
        <v>55</v>
      </c>
      <c r="E1900" s="2" t="s">
        <v>1293</v>
      </c>
      <c r="F1900" s="2" t="s">
        <v>1294</v>
      </c>
      <c r="G1900" s="2" t="s">
        <v>38</v>
      </c>
      <c r="H1900" s="2" t="s">
        <v>25</v>
      </c>
      <c r="I1900" s="2" t="s">
        <v>138</v>
      </c>
      <c r="J1900" s="2" t="s">
        <v>407</v>
      </c>
      <c r="K1900" s="2" t="s">
        <v>28</v>
      </c>
      <c r="L1900" s="2" t="s">
        <v>252</v>
      </c>
      <c r="M1900" s="2" t="s">
        <v>30</v>
      </c>
      <c r="N1900" s="2" t="s">
        <v>31</v>
      </c>
      <c r="O1900" s="2" t="s">
        <v>253</v>
      </c>
      <c r="P1900" s="4">
        <v>26.050799999999999</v>
      </c>
      <c r="Q1900" s="4">
        <v>6</v>
      </c>
      <c r="R1900" s="4">
        <v>6.1874000000000002</v>
      </c>
      <c r="S1900" s="2" t="s">
        <v>85</v>
      </c>
      <c r="T1900" s="2" t="s">
        <v>133</v>
      </c>
    </row>
    <row r="1901" spans="1:20" x14ac:dyDescent="0.25">
      <c r="A1901" s="2" t="s">
        <v>3082</v>
      </c>
      <c r="B1901" s="3">
        <v>43037</v>
      </c>
      <c r="C1901" s="3">
        <v>43039</v>
      </c>
      <c r="D1901" s="2" t="s">
        <v>48</v>
      </c>
      <c r="E1901" s="2" t="s">
        <v>801</v>
      </c>
      <c r="F1901" s="2" t="s">
        <v>802</v>
      </c>
      <c r="G1901" s="2" t="s">
        <v>24</v>
      </c>
      <c r="H1901" s="2" t="s">
        <v>25</v>
      </c>
      <c r="I1901" s="2" t="s">
        <v>138</v>
      </c>
      <c r="J1901" s="2" t="s">
        <v>407</v>
      </c>
      <c r="K1901" s="2" t="s">
        <v>28</v>
      </c>
      <c r="L1901" s="2" t="s">
        <v>174</v>
      </c>
      <c r="M1901" s="2" t="s">
        <v>30</v>
      </c>
      <c r="N1901" s="2" t="s">
        <v>31</v>
      </c>
      <c r="O1901" s="2" t="s">
        <v>175</v>
      </c>
      <c r="P1901" s="4">
        <v>71.633799999999994</v>
      </c>
      <c r="Q1901" s="4">
        <v>2</v>
      </c>
      <c r="R1901" s="4">
        <v>-6.4810999999999996</v>
      </c>
      <c r="S1901" s="2" t="s">
        <v>53</v>
      </c>
      <c r="T1901" s="2" t="s">
        <v>224</v>
      </c>
    </row>
    <row r="1902" spans="1:20" x14ac:dyDescent="0.25">
      <c r="A1902" s="2" t="s">
        <v>3083</v>
      </c>
      <c r="B1902" s="3">
        <v>41963</v>
      </c>
      <c r="C1902" s="3">
        <v>41963</v>
      </c>
      <c r="D1902" s="2" t="s">
        <v>48</v>
      </c>
      <c r="E1902" s="2" t="s">
        <v>541</v>
      </c>
      <c r="F1902" s="2" t="s">
        <v>542</v>
      </c>
      <c r="G1902" s="2" t="s">
        <v>58</v>
      </c>
      <c r="H1902" s="2" t="s">
        <v>25</v>
      </c>
      <c r="I1902" s="2" t="s">
        <v>462</v>
      </c>
      <c r="J1902" s="2" t="s">
        <v>351</v>
      </c>
      <c r="K1902" s="2" t="s">
        <v>147</v>
      </c>
      <c r="L1902" s="2" t="s">
        <v>99</v>
      </c>
      <c r="M1902" s="2" t="s">
        <v>30</v>
      </c>
      <c r="N1902" s="2" t="s">
        <v>42</v>
      </c>
      <c r="O1902" s="2" t="s">
        <v>100</v>
      </c>
      <c r="P1902" s="4">
        <v>665.53679999999997</v>
      </c>
      <c r="Q1902" s="4">
        <v>2</v>
      </c>
      <c r="R1902" s="4">
        <v>20.107299999999999</v>
      </c>
      <c r="S1902" s="2" t="s">
        <v>121</v>
      </c>
      <c r="T1902" s="2" t="s">
        <v>93</v>
      </c>
    </row>
    <row r="1903" spans="1:20" x14ac:dyDescent="0.25">
      <c r="A1903" s="2" t="s">
        <v>3083</v>
      </c>
      <c r="B1903" s="3">
        <v>41963</v>
      </c>
      <c r="C1903" s="3">
        <v>41963</v>
      </c>
      <c r="D1903" s="2" t="s">
        <v>48</v>
      </c>
      <c r="E1903" s="2" t="s">
        <v>541</v>
      </c>
      <c r="F1903" s="2" t="s">
        <v>542</v>
      </c>
      <c r="G1903" s="2" t="s">
        <v>58</v>
      </c>
      <c r="H1903" s="2" t="s">
        <v>25</v>
      </c>
      <c r="I1903" s="2" t="s">
        <v>462</v>
      </c>
      <c r="J1903" s="2" t="s">
        <v>351</v>
      </c>
      <c r="K1903" s="2" t="s">
        <v>147</v>
      </c>
      <c r="L1903" s="2" t="s">
        <v>29</v>
      </c>
      <c r="M1903" s="2" t="s">
        <v>30</v>
      </c>
      <c r="N1903" s="2" t="s">
        <v>31</v>
      </c>
      <c r="O1903" s="2" t="s">
        <v>32</v>
      </c>
      <c r="P1903" s="4">
        <v>35.307899999999997</v>
      </c>
      <c r="Q1903" s="4">
        <v>2</v>
      </c>
      <c r="R1903" s="4">
        <v>-2.3456999999999999</v>
      </c>
      <c r="S1903" s="2" t="s">
        <v>121</v>
      </c>
      <c r="T1903" s="2" t="s">
        <v>93</v>
      </c>
    </row>
    <row r="1904" spans="1:20" x14ac:dyDescent="0.25">
      <c r="A1904" s="2" t="s">
        <v>3084</v>
      </c>
      <c r="B1904" s="3">
        <v>42171</v>
      </c>
      <c r="C1904" s="3">
        <v>42178</v>
      </c>
      <c r="D1904" s="2" t="s">
        <v>55</v>
      </c>
      <c r="E1904" s="2" t="s">
        <v>990</v>
      </c>
      <c r="F1904" s="2" t="s">
        <v>991</v>
      </c>
      <c r="G1904" s="2" t="s">
        <v>24</v>
      </c>
      <c r="H1904" s="2" t="s">
        <v>25</v>
      </c>
      <c r="I1904" s="2" t="s">
        <v>1243</v>
      </c>
      <c r="J1904" s="2" t="s">
        <v>595</v>
      </c>
      <c r="K1904" s="2" t="s">
        <v>61</v>
      </c>
      <c r="L1904" s="2" t="s">
        <v>333</v>
      </c>
      <c r="M1904" s="2" t="s">
        <v>30</v>
      </c>
      <c r="N1904" s="2" t="s">
        <v>162</v>
      </c>
      <c r="O1904" s="2" t="s">
        <v>334</v>
      </c>
      <c r="P1904" s="4">
        <v>428.23849999999999</v>
      </c>
      <c r="Q1904" s="4">
        <v>3</v>
      </c>
      <c r="R1904" s="4">
        <v>-172.94900000000001</v>
      </c>
      <c r="S1904" s="2" t="s">
        <v>107</v>
      </c>
      <c r="T1904" s="2" t="s">
        <v>133</v>
      </c>
    </row>
    <row r="1905" spans="1:20" x14ac:dyDescent="0.25">
      <c r="A1905" s="2" t="s">
        <v>3085</v>
      </c>
      <c r="B1905" s="3">
        <v>41904</v>
      </c>
      <c r="C1905" s="3">
        <v>41905</v>
      </c>
      <c r="D1905" s="2" t="s">
        <v>21</v>
      </c>
      <c r="E1905" s="2" t="s">
        <v>931</v>
      </c>
      <c r="F1905" s="2" t="s">
        <v>932</v>
      </c>
      <c r="G1905" s="2" t="s">
        <v>38</v>
      </c>
      <c r="H1905" s="2" t="s">
        <v>25</v>
      </c>
      <c r="I1905" s="2" t="s">
        <v>270</v>
      </c>
      <c r="J1905" s="2" t="s">
        <v>72</v>
      </c>
      <c r="K1905" s="2" t="s">
        <v>61</v>
      </c>
      <c r="L1905" s="2" t="s">
        <v>174</v>
      </c>
      <c r="M1905" s="2" t="s">
        <v>30</v>
      </c>
      <c r="N1905" s="2" t="s">
        <v>31</v>
      </c>
      <c r="O1905" s="2" t="s">
        <v>175</v>
      </c>
      <c r="P1905" s="4">
        <v>40.738500000000002</v>
      </c>
      <c r="Q1905" s="4">
        <v>6</v>
      </c>
      <c r="R1905" s="4">
        <v>18.464200000000002</v>
      </c>
      <c r="S1905" s="2" t="s">
        <v>33</v>
      </c>
      <c r="T1905" s="2" t="s">
        <v>148</v>
      </c>
    </row>
    <row r="1906" spans="1:20" x14ac:dyDescent="0.25">
      <c r="A1906" s="2" t="s">
        <v>3086</v>
      </c>
      <c r="B1906" s="3">
        <v>41659</v>
      </c>
      <c r="C1906" s="3">
        <v>41660</v>
      </c>
      <c r="D1906" s="2" t="s">
        <v>55</v>
      </c>
      <c r="E1906" s="2" t="s">
        <v>582</v>
      </c>
      <c r="F1906" s="2" t="s">
        <v>583</v>
      </c>
      <c r="G1906" s="2" t="s">
        <v>24</v>
      </c>
      <c r="H1906" s="2" t="s">
        <v>25</v>
      </c>
      <c r="I1906" s="2" t="s">
        <v>576</v>
      </c>
      <c r="J1906" s="2" t="s">
        <v>470</v>
      </c>
      <c r="K1906" s="2" t="s">
        <v>28</v>
      </c>
      <c r="L1906" s="2" t="s">
        <v>41</v>
      </c>
      <c r="M1906" s="2" t="s">
        <v>30</v>
      </c>
      <c r="N1906" s="2" t="s">
        <v>42</v>
      </c>
      <c r="O1906" s="2" t="s">
        <v>43</v>
      </c>
      <c r="P1906" s="4">
        <v>683.33669999999995</v>
      </c>
      <c r="Q1906" s="4">
        <v>8</v>
      </c>
      <c r="R1906" s="4">
        <v>443.75450000000001</v>
      </c>
      <c r="S1906" s="2" t="s">
        <v>33</v>
      </c>
      <c r="T1906" s="2" t="s">
        <v>115</v>
      </c>
    </row>
    <row r="1907" spans="1:20" x14ac:dyDescent="0.25">
      <c r="A1907" s="2" t="s">
        <v>3087</v>
      </c>
      <c r="B1907" s="3">
        <v>42079</v>
      </c>
      <c r="C1907" s="3">
        <v>42080</v>
      </c>
      <c r="D1907" s="2" t="s">
        <v>55</v>
      </c>
      <c r="E1907" s="2" t="s">
        <v>550</v>
      </c>
      <c r="F1907" s="2" t="s">
        <v>551</v>
      </c>
      <c r="G1907" s="2" t="s">
        <v>58</v>
      </c>
      <c r="H1907" s="2" t="s">
        <v>25</v>
      </c>
      <c r="I1907" s="2" t="s">
        <v>1300</v>
      </c>
      <c r="J1907" s="2" t="s">
        <v>60</v>
      </c>
      <c r="K1907" s="2" t="s">
        <v>61</v>
      </c>
      <c r="L1907" s="2" t="s">
        <v>186</v>
      </c>
      <c r="M1907" s="2" t="s">
        <v>30</v>
      </c>
      <c r="N1907" s="2" t="s">
        <v>31</v>
      </c>
      <c r="O1907" s="2" t="s">
        <v>187</v>
      </c>
      <c r="P1907" s="4">
        <v>13.708500000000001</v>
      </c>
      <c r="Q1907" s="4">
        <v>5</v>
      </c>
      <c r="R1907" s="4">
        <v>1.7769999999999999</v>
      </c>
      <c r="S1907" s="2" t="s">
        <v>33</v>
      </c>
      <c r="T1907" s="2" t="s">
        <v>44</v>
      </c>
    </row>
    <row r="1908" spans="1:20" x14ac:dyDescent="0.25">
      <c r="A1908" s="2" t="s">
        <v>3087</v>
      </c>
      <c r="B1908" s="3">
        <v>42079</v>
      </c>
      <c r="C1908" s="3">
        <v>42080</v>
      </c>
      <c r="D1908" s="2" t="s">
        <v>55</v>
      </c>
      <c r="E1908" s="2" t="s">
        <v>550</v>
      </c>
      <c r="F1908" s="2" t="s">
        <v>551</v>
      </c>
      <c r="G1908" s="2" t="s">
        <v>58</v>
      </c>
      <c r="H1908" s="2" t="s">
        <v>25</v>
      </c>
      <c r="I1908" s="2" t="s">
        <v>1300</v>
      </c>
      <c r="J1908" s="2" t="s">
        <v>60</v>
      </c>
      <c r="K1908" s="2" t="s">
        <v>61</v>
      </c>
      <c r="L1908" s="2" t="s">
        <v>29</v>
      </c>
      <c r="M1908" s="2" t="s">
        <v>30</v>
      </c>
      <c r="N1908" s="2" t="s">
        <v>31</v>
      </c>
      <c r="O1908" s="2" t="s">
        <v>32</v>
      </c>
      <c r="P1908" s="4">
        <v>465.4092</v>
      </c>
      <c r="Q1908" s="4">
        <v>3</v>
      </c>
      <c r="R1908" s="4">
        <v>182.4829</v>
      </c>
      <c r="S1908" s="2" t="s">
        <v>33</v>
      </c>
      <c r="T1908" s="2" t="s">
        <v>44</v>
      </c>
    </row>
    <row r="1909" spans="1:20" x14ac:dyDescent="0.25">
      <c r="A1909" s="2" t="s">
        <v>3087</v>
      </c>
      <c r="B1909" s="3">
        <v>42079</v>
      </c>
      <c r="C1909" s="3">
        <v>42080</v>
      </c>
      <c r="D1909" s="2" t="s">
        <v>55</v>
      </c>
      <c r="E1909" s="2" t="s">
        <v>550</v>
      </c>
      <c r="F1909" s="2" t="s">
        <v>551</v>
      </c>
      <c r="G1909" s="2" t="s">
        <v>58</v>
      </c>
      <c r="H1909" s="2" t="s">
        <v>25</v>
      </c>
      <c r="I1909" s="2" t="s">
        <v>1300</v>
      </c>
      <c r="J1909" s="2" t="s">
        <v>60</v>
      </c>
      <c r="K1909" s="2" t="s">
        <v>61</v>
      </c>
      <c r="L1909" s="2" t="s">
        <v>113</v>
      </c>
      <c r="M1909" s="2" t="s">
        <v>30</v>
      </c>
      <c r="N1909" s="2" t="s">
        <v>31</v>
      </c>
      <c r="O1909" s="2" t="s">
        <v>114</v>
      </c>
      <c r="P1909" s="4">
        <v>62.815899999999999</v>
      </c>
      <c r="Q1909" s="4">
        <v>3</v>
      </c>
      <c r="R1909" s="4">
        <v>7.6654999999999998</v>
      </c>
      <c r="S1909" s="2" t="s">
        <v>33</v>
      </c>
      <c r="T1909" s="2" t="s">
        <v>44</v>
      </c>
    </row>
    <row r="1910" spans="1:20" x14ac:dyDescent="0.25">
      <c r="A1910" s="2" t="s">
        <v>3088</v>
      </c>
      <c r="B1910" s="3">
        <v>42375</v>
      </c>
      <c r="C1910" s="3">
        <v>42376</v>
      </c>
      <c r="D1910" s="2" t="s">
        <v>55</v>
      </c>
      <c r="E1910" s="2" t="s">
        <v>78</v>
      </c>
      <c r="F1910" s="2" t="s">
        <v>79</v>
      </c>
      <c r="G1910" s="2" t="s">
        <v>24</v>
      </c>
      <c r="H1910" s="2" t="s">
        <v>25</v>
      </c>
      <c r="I1910" s="2" t="s">
        <v>434</v>
      </c>
      <c r="J1910" s="2" t="s">
        <v>435</v>
      </c>
      <c r="K1910" s="2" t="s">
        <v>61</v>
      </c>
      <c r="L1910" s="2" t="s">
        <v>200</v>
      </c>
      <c r="M1910" s="2" t="s">
        <v>30</v>
      </c>
      <c r="N1910" s="2" t="s">
        <v>162</v>
      </c>
      <c r="O1910" s="2" t="s">
        <v>201</v>
      </c>
      <c r="P1910" s="4">
        <v>948.04790000000003</v>
      </c>
      <c r="Q1910" s="4">
        <v>3</v>
      </c>
      <c r="R1910" s="4">
        <v>199.8458</v>
      </c>
      <c r="S1910" s="2" t="s">
        <v>33</v>
      </c>
      <c r="T1910" s="2" t="s">
        <v>115</v>
      </c>
    </row>
    <row r="1911" spans="1:20" x14ac:dyDescent="0.25">
      <c r="A1911" s="2" t="s">
        <v>3089</v>
      </c>
      <c r="B1911" s="3">
        <v>42806</v>
      </c>
      <c r="C1911" s="3">
        <v>42812</v>
      </c>
      <c r="D1911" s="2" t="s">
        <v>55</v>
      </c>
      <c r="E1911" s="2" t="s">
        <v>1576</v>
      </c>
      <c r="F1911" s="2" t="s">
        <v>1577</v>
      </c>
      <c r="G1911" s="2" t="s">
        <v>58</v>
      </c>
      <c r="H1911" s="2" t="s">
        <v>25</v>
      </c>
      <c r="I1911" s="2" t="s">
        <v>191</v>
      </c>
      <c r="J1911" s="2" t="s">
        <v>192</v>
      </c>
      <c r="K1911" s="2" t="s">
        <v>82</v>
      </c>
      <c r="L1911" s="2" t="s">
        <v>933</v>
      </c>
      <c r="M1911" s="2" t="s">
        <v>30</v>
      </c>
      <c r="N1911" s="2" t="s">
        <v>162</v>
      </c>
      <c r="O1911" s="2" t="s">
        <v>934</v>
      </c>
      <c r="P1911" s="4">
        <v>3289.1116999999999</v>
      </c>
      <c r="Q1911" s="4">
        <v>4</v>
      </c>
      <c r="R1911" s="4">
        <v>-597.02329999999995</v>
      </c>
      <c r="S1911" s="2" t="s">
        <v>65</v>
      </c>
      <c r="T1911" s="2" t="s">
        <v>44</v>
      </c>
    </row>
    <row r="1912" spans="1:20" x14ac:dyDescent="0.25">
      <c r="A1912" s="2" t="s">
        <v>3090</v>
      </c>
      <c r="B1912" s="3">
        <v>43064</v>
      </c>
      <c r="C1912" s="3">
        <v>43068</v>
      </c>
      <c r="D1912" s="2" t="s">
        <v>21</v>
      </c>
      <c r="E1912" s="2" t="s">
        <v>664</v>
      </c>
      <c r="F1912" s="2" t="s">
        <v>665</v>
      </c>
      <c r="G1912" s="2" t="s">
        <v>58</v>
      </c>
      <c r="H1912" s="2" t="s">
        <v>25</v>
      </c>
      <c r="I1912" s="2" t="s">
        <v>474</v>
      </c>
      <c r="J1912" s="2" t="s">
        <v>475</v>
      </c>
      <c r="K1912" s="2" t="s">
        <v>28</v>
      </c>
      <c r="L1912" s="2" t="s">
        <v>154</v>
      </c>
      <c r="M1912" s="2" t="s">
        <v>30</v>
      </c>
      <c r="N1912" s="2" t="s">
        <v>42</v>
      </c>
      <c r="O1912" s="2" t="s">
        <v>155</v>
      </c>
      <c r="P1912" s="4">
        <v>800.59990000000005</v>
      </c>
      <c r="Q1912" s="4">
        <v>3</v>
      </c>
      <c r="R1912" s="4">
        <v>27.206</v>
      </c>
      <c r="S1912" s="2" t="s">
        <v>75</v>
      </c>
      <c r="T1912" s="2" t="s">
        <v>93</v>
      </c>
    </row>
    <row r="1913" spans="1:20" x14ac:dyDescent="0.25">
      <c r="A1913" s="2" t="s">
        <v>3090</v>
      </c>
      <c r="B1913" s="3">
        <v>43064</v>
      </c>
      <c r="C1913" s="3">
        <v>43068</v>
      </c>
      <c r="D1913" s="2" t="s">
        <v>21</v>
      </c>
      <c r="E1913" s="2" t="s">
        <v>664</v>
      </c>
      <c r="F1913" s="2" t="s">
        <v>665</v>
      </c>
      <c r="G1913" s="2" t="s">
        <v>58</v>
      </c>
      <c r="H1913" s="2" t="s">
        <v>25</v>
      </c>
      <c r="I1913" s="2" t="s">
        <v>474</v>
      </c>
      <c r="J1913" s="2" t="s">
        <v>475</v>
      </c>
      <c r="K1913" s="2" t="s">
        <v>28</v>
      </c>
      <c r="L1913" s="2" t="s">
        <v>186</v>
      </c>
      <c r="M1913" s="2" t="s">
        <v>30</v>
      </c>
      <c r="N1913" s="2" t="s">
        <v>31</v>
      </c>
      <c r="O1913" s="2" t="s">
        <v>187</v>
      </c>
      <c r="P1913" s="4">
        <v>345.67529999999999</v>
      </c>
      <c r="Q1913" s="4">
        <v>7</v>
      </c>
      <c r="R1913" s="4">
        <v>14.846399999999999</v>
      </c>
      <c r="S1913" s="2" t="s">
        <v>75</v>
      </c>
      <c r="T1913" s="2" t="s">
        <v>93</v>
      </c>
    </row>
    <row r="1914" spans="1:20" x14ac:dyDescent="0.25">
      <c r="A1914" s="2" t="s">
        <v>3091</v>
      </c>
      <c r="B1914" s="3">
        <v>42100</v>
      </c>
      <c r="C1914" s="3">
        <v>42100</v>
      </c>
      <c r="D1914" s="2" t="s">
        <v>55</v>
      </c>
      <c r="E1914" s="2" t="s">
        <v>3092</v>
      </c>
      <c r="F1914" s="2" t="s">
        <v>3093</v>
      </c>
      <c r="G1914" s="2" t="s">
        <v>58</v>
      </c>
      <c r="H1914" s="2" t="s">
        <v>25</v>
      </c>
      <c r="I1914" s="2" t="s">
        <v>198</v>
      </c>
      <c r="J1914" s="2" t="s">
        <v>199</v>
      </c>
      <c r="K1914" s="2" t="s">
        <v>82</v>
      </c>
      <c r="L1914" s="2" t="s">
        <v>174</v>
      </c>
      <c r="M1914" s="2" t="s">
        <v>30</v>
      </c>
      <c r="N1914" s="2" t="s">
        <v>31</v>
      </c>
      <c r="O1914" s="2" t="s">
        <v>175</v>
      </c>
      <c r="P1914" s="4">
        <v>456.90030000000002</v>
      </c>
      <c r="Q1914" s="4">
        <v>3</v>
      </c>
      <c r="R1914" s="4">
        <v>214.25700000000001</v>
      </c>
      <c r="S1914" s="2" t="s">
        <v>121</v>
      </c>
      <c r="T1914" s="2" t="s">
        <v>108</v>
      </c>
    </row>
    <row r="1915" spans="1:20" x14ac:dyDescent="0.25">
      <c r="A1915" s="2" t="s">
        <v>3094</v>
      </c>
      <c r="B1915" s="3">
        <v>41789</v>
      </c>
      <c r="C1915" s="3">
        <v>41789</v>
      </c>
      <c r="D1915" s="2" t="s">
        <v>48</v>
      </c>
      <c r="E1915" s="2" t="s">
        <v>3095</v>
      </c>
      <c r="F1915" s="2" t="s">
        <v>3096</v>
      </c>
      <c r="G1915" s="2" t="s">
        <v>24</v>
      </c>
      <c r="H1915" s="2" t="s">
        <v>25</v>
      </c>
      <c r="I1915" s="2" t="s">
        <v>580</v>
      </c>
      <c r="J1915" s="2" t="s">
        <v>387</v>
      </c>
      <c r="K1915" s="2" t="s">
        <v>61</v>
      </c>
      <c r="L1915" s="2" t="s">
        <v>169</v>
      </c>
      <c r="M1915" s="2" t="s">
        <v>30</v>
      </c>
      <c r="N1915" s="2" t="s">
        <v>162</v>
      </c>
      <c r="O1915" s="2" t="s">
        <v>170</v>
      </c>
      <c r="P1915" s="4">
        <v>1111.5513000000001</v>
      </c>
      <c r="Q1915" s="4">
        <v>3</v>
      </c>
      <c r="R1915" s="4">
        <v>619.44979999999998</v>
      </c>
      <c r="S1915" s="2" t="s">
        <v>121</v>
      </c>
      <c r="T1915" s="2" t="s">
        <v>122</v>
      </c>
    </row>
    <row r="1916" spans="1:20" x14ac:dyDescent="0.25">
      <c r="A1916" s="2" t="s">
        <v>3097</v>
      </c>
      <c r="B1916" s="3">
        <v>42016</v>
      </c>
      <c r="C1916" s="3">
        <v>42017</v>
      </c>
      <c r="D1916" s="2" t="s">
        <v>55</v>
      </c>
      <c r="E1916" s="2" t="s">
        <v>2793</v>
      </c>
      <c r="F1916" s="2" t="s">
        <v>2794</v>
      </c>
      <c r="G1916" s="2" t="s">
        <v>58</v>
      </c>
      <c r="H1916" s="2" t="s">
        <v>25</v>
      </c>
      <c r="I1916" s="2" t="s">
        <v>97</v>
      </c>
      <c r="J1916" s="2" t="s">
        <v>112</v>
      </c>
      <c r="K1916" s="2" t="s">
        <v>28</v>
      </c>
      <c r="L1916" s="2" t="s">
        <v>174</v>
      </c>
      <c r="M1916" s="2" t="s">
        <v>30</v>
      </c>
      <c r="N1916" s="2" t="s">
        <v>31</v>
      </c>
      <c r="O1916" s="2" t="s">
        <v>175</v>
      </c>
      <c r="P1916" s="4">
        <v>2</v>
      </c>
      <c r="Q1916" s="4">
        <v>2</v>
      </c>
      <c r="R1916" s="4">
        <v>0.1905</v>
      </c>
      <c r="S1916" s="2" t="s">
        <v>33</v>
      </c>
      <c r="T1916" s="2" t="s">
        <v>115</v>
      </c>
    </row>
    <row r="1917" spans="1:20" x14ac:dyDescent="0.25">
      <c r="A1917" s="2" t="s">
        <v>3098</v>
      </c>
      <c r="B1917" s="3">
        <v>42810</v>
      </c>
      <c r="C1917" s="3">
        <v>42810</v>
      </c>
      <c r="D1917" s="2" t="s">
        <v>55</v>
      </c>
      <c r="E1917" s="2" t="s">
        <v>3099</v>
      </c>
      <c r="F1917" s="2" t="s">
        <v>3100</v>
      </c>
      <c r="G1917" s="2" t="s">
        <v>24</v>
      </c>
      <c r="H1917" s="2" t="s">
        <v>25</v>
      </c>
      <c r="I1917" s="2" t="s">
        <v>338</v>
      </c>
      <c r="J1917" s="2" t="s">
        <v>339</v>
      </c>
      <c r="K1917" s="2" t="s">
        <v>82</v>
      </c>
      <c r="L1917" s="2" t="s">
        <v>113</v>
      </c>
      <c r="M1917" s="2" t="s">
        <v>30</v>
      </c>
      <c r="N1917" s="2" t="s">
        <v>31</v>
      </c>
      <c r="O1917" s="2" t="s">
        <v>114</v>
      </c>
      <c r="P1917" s="4">
        <v>48.478099999999998</v>
      </c>
      <c r="Q1917" s="4">
        <v>1</v>
      </c>
      <c r="R1917" s="4">
        <v>17.120699999999999</v>
      </c>
      <c r="S1917" s="2" t="s">
        <v>121</v>
      </c>
      <c r="T1917" s="2" t="s">
        <v>44</v>
      </c>
    </row>
    <row r="1918" spans="1:20" x14ac:dyDescent="0.25">
      <c r="A1918" s="2" t="s">
        <v>3101</v>
      </c>
      <c r="B1918" s="3">
        <v>42487</v>
      </c>
      <c r="C1918" s="3">
        <v>42490</v>
      </c>
      <c r="D1918" s="2" t="s">
        <v>55</v>
      </c>
      <c r="E1918" s="2" t="s">
        <v>2365</v>
      </c>
      <c r="F1918" s="2" t="s">
        <v>2366</v>
      </c>
      <c r="G1918" s="2" t="s">
        <v>58</v>
      </c>
      <c r="H1918" s="2" t="s">
        <v>25</v>
      </c>
      <c r="I1918" s="2" t="s">
        <v>495</v>
      </c>
      <c r="J1918" s="2" t="s">
        <v>496</v>
      </c>
      <c r="K1918" s="2" t="s">
        <v>147</v>
      </c>
      <c r="L1918" s="2" t="s">
        <v>174</v>
      </c>
      <c r="M1918" s="2" t="s">
        <v>30</v>
      </c>
      <c r="N1918" s="2" t="s">
        <v>31</v>
      </c>
      <c r="O1918" s="2" t="s">
        <v>175</v>
      </c>
      <c r="P1918" s="4">
        <v>23.655999999999999</v>
      </c>
      <c r="Q1918" s="4">
        <v>6</v>
      </c>
      <c r="R1918" s="4">
        <v>6.8756000000000004</v>
      </c>
      <c r="S1918" s="2" t="s">
        <v>92</v>
      </c>
      <c r="T1918" s="2" t="s">
        <v>108</v>
      </c>
    </row>
    <row r="1919" spans="1:20" x14ac:dyDescent="0.25">
      <c r="A1919" s="2" t="s">
        <v>3102</v>
      </c>
      <c r="B1919" s="3">
        <v>42216</v>
      </c>
      <c r="C1919" s="3">
        <v>42222</v>
      </c>
      <c r="D1919" s="2" t="s">
        <v>55</v>
      </c>
      <c r="E1919" s="2" t="s">
        <v>3103</v>
      </c>
      <c r="F1919" s="2" t="s">
        <v>3104</v>
      </c>
      <c r="G1919" s="2" t="s">
        <v>58</v>
      </c>
      <c r="H1919" s="2" t="s">
        <v>25</v>
      </c>
      <c r="I1919" s="2" t="s">
        <v>80</v>
      </c>
      <c r="J1919" s="2" t="s">
        <v>81</v>
      </c>
      <c r="K1919" s="2" t="s">
        <v>82</v>
      </c>
      <c r="L1919" s="2" t="s">
        <v>228</v>
      </c>
      <c r="M1919" s="2" t="s">
        <v>30</v>
      </c>
      <c r="N1919" s="2" t="s">
        <v>42</v>
      </c>
      <c r="O1919" s="2" t="s">
        <v>229</v>
      </c>
      <c r="P1919" s="4">
        <v>222.6052</v>
      </c>
      <c r="Q1919" s="4">
        <v>3</v>
      </c>
      <c r="R1919" s="4">
        <v>-46.4876</v>
      </c>
      <c r="S1919" s="2" t="s">
        <v>65</v>
      </c>
      <c r="T1919" s="2" t="s">
        <v>86</v>
      </c>
    </row>
    <row r="1920" spans="1:20" x14ac:dyDescent="0.25">
      <c r="A1920" s="2" t="s">
        <v>3105</v>
      </c>
      <c r="B1920" s="3">
        <v>42132</v>
      </c>
      <c r="C1920" s="3">
        <v>42132</v>
      </c>
      <c r="D1920" s="2" t="s">
        <v>48</v>
      </c>
      <c r="E1920" s="2" t="s">
        <v>1609</v>
      </c>
      <c r="F1920" s="2" t="s">
        <v>1610</v>
      </c>
      <c r="G1920" s="2" t="s">
        <v>38</v>
      </c>
      <c r="H1920" s="2" t="s">
        <v>25</v>
      </c>
      <c r="I1920" s="2" t="s">
        <v>617</v>
      </c>
      <c r="J1920" s="2" t="s">
        <v>168</v>
      </c>
      <c r="K1920" s="2" t="s">
        <v>28</v>
      </c>
      <c r="L1920" s="2" t="s">
        <v>316</v>
      </c>
      <c r="M1920" s="2" t="s">
        <v>30</v>
      </c>
      <c r="N1920" s="2" t="s">
        <v>42</v>
      </c>
      <c r="O1920" s="2" t="s">
        <v>317</v>
      </c>
      <c r="P1920" s="4">
        <v>884.31700000000001</v>
      </c>
      <c r="Q1920" s="4">
        <v>7</v>
      </c>
      <c r="R1920" s="4">
        <v>61.630200000000002</v>
      </c>
      <c r="S1920" s="2" t="s">
        <v>121</v>
      </c>
      <c r="T1920" s="2" t="s">
        <v>122</v>
      </c>
    </row>
    <row r="1921" spans="1:20" x14ac:dyDescent="0.25">
      <c r="A1921" s="2" t="s">
        <v>3106</v>
      </c>
      <c r="B1921" s="3">
        <v>41799</v>
      </c>
      <c r="C1921" s="3">
        <v>41806</v>
      </c>
      <c r="D1921" s="2" t="s">
        <v>55</v>
      </c>
      <c r="E1921" s="2" t="s">
        <v>755</v>
      </c>
      <c r="F1921" s="2" t="s">
        <v>756</v>
      </c>
      <c r="G1921" s="2" t="s">
        <v>24</v>
      </c>
      <c r="H1921" s="2" t="s">
        <v>25</v>
      </c>
      <c r="I1921" s="2" t="s">
        <v>355</v>
      </c>
      <c r="J1921" s="2" t="s">
        <v>356</v>
      </c>
      <c r="K1921" s="2" t="s">
        <v>147</v>
      </c>
      <c r="L1921" s="2" t="s">
        <v>323</v>
      </c>
      <c r="M1921" s="2" t="s">
        <v>30</v>
      </c>
      <c r="N1921" s="2" t="s">
        <v>31</v>
      </c>
      <c r="O1921" s="2" t="s">
        <v>324</v>
      </c>
      <c r="P1921" s="4">
        <v>46.993699999999997</v>
      </c>
      <c r="Q1921" s="4">
        <v>2</v>
      </c>
      <c r="R1921" s="4">
        <v>0.32240000000000002</v>
      </c>
      <c r="S1921" s="2" t="s">
        <v>107</v>
      </c>
      <c r="T1921" s="2" t="s">
        <v>133</v>
      </c>
    </row>
    <row r="1922" spans="1:20" x14ac:dyDescent="0.25">
      <c r="A1922" s="2" t="s">
        <v>3107</v>
      </c>
      <c r="B1922" s="3">
        <v>42102</v>
      </c>
      <c r="C1922" s="3">
        <v>42103</v>
      </c>
      <c r="D1922" s="2" t="s">
        <v>55</v>
      </c>
      <c r="E1922" s="2" t="s">
        <v>369</v>
      </c>
      <c r="F1922" s="2" t="s">
        <v>370</v>
      </c>
      <c r="G1922" s="2" t="s">
        <v>58</v>
      </c>
      <c r="H1922" s="2" t="s">
        <v>25</v>
      </c>
      <c r="I1922" s="2" t="s">
        <v>1697</v>
      </c>
      <c r="J1922" s="2" t="s">
        <v>52</v>
      </c>
      <c r="K1922" s="2" t="s">
        <v>28</v>
      </c>
      <c r="L1922" s="2" t="s">
        <v>218</v>
      </c>
      <c r="M1922" s="2" t="s">
        <v>30</v>
      </c>
      <c r="N1922" s="2" t="s">
        <v>31</v>
      </c>
      <c r="O1922" s="2" t="s">
        <v>219</v>
      </c>
      <c r="P1922" s="4">
        <v>66.724000000000004</v>
      </c>
      <c r="Q1922" s="4">
        <v>1</v>
      </c>
      <c r="R1922" s="4">
        <v>38.814399999999999</v>
      </c>
      <c r="S1922" s="2" t="s">
        <v>33</v>
      </c>
      <c r="T1922" s="2" t="s">
        <v>108</v>
      </c>
    </row>
    <row r="1923" spans="1:20" x14ac:dyDescent="0.25">
      <c r="A1923" s="2" t="s">
        <v>3108</v>
      </c>
      <c r="B1923" s="3">
        <v>41648</v>
      </c>
      <c r="C1923" s="3">
        <v>41653</v>
      </c>
      <c r="D1923" s="2" t="s">
        <v>55</v>
      </c>
      <c r="E1923" s="2" t="s">
        <v>797</v>
      </c>
      <c r="F1923" s="2" t="s">
        <v>798</v>
      </c>
      <c r="G1923" s="2" t="s">
        <v>58</v>
      </c>
      <c r="H1923" s="2" t="s">
        <v>25</v>
      </c>
      <c r="I1923" s="2" t="s">
        <v>527</v>
      </c>
      <c r="J1923" s="2" t="s">
        <v>496</v>
      </c>
      <c r="K1923" s="2" t="s">
        <v>147</v>
      </c>
      <c r="L1923" s="2" t="s">
        <v>218</v>
      </c>
      <c r="M1923" s="2" t="s">
        <v>30</v>
      </c>
      <c r="N1923" s="2" t="s">
        <v>31</v>
      </c>
      <c r="O1923" s="2" t="s">
        <v>219</v>
      </c>
      <c r="P1923" s="4">
        <v>21.691400000000002</v>
      </c>
      <c r="Q1923" s="4">
        <v>1</v>
      </c>
      <c r="R1923" s="4">
        <v>-3.2826</v>
      </c>
      <c r="S1923" s="2" t="s">
        <v>85</v>
      </c>
      <c r="T1923" s="2" t="s">
        <v>115</v>
      </c>
    </row>
    <row r="1924" spans="1:20" x14ac:dyDescent="0.25">
      <c r="A1924" s="2" t="s">
        <v>3109</v>
      </c>
      <c r="B1924" s="3">
        <v>42845</v>
      </c>
      <c r="C1924" s="3">
        <v>42845</v>
      </c>
      <c r="D1924" s="2" t="s">
        <v>55</v>
      </c>
      <c r="E1924" s="2" t="s">
        <v>1275</v>
      </c>
      <c r="F1924" s="2" t="s">
        <v>1276</v>
      </c>
      <c r="G1924" s="2" t="s">
        <v>38</v>
      </c>
      <c r="H1924" s="2" t="s">
        <v>25</v>
      </c>
      <c r="I1924" s="2" t="s">
        <v>682</v>
      </c>
      <c r="J1924" s="2" t="s">
        <v>632</v>
      </c>
      <c r="K1924" s="2" t="s">
        <v>82</v>
      </c>
      <c r="L1924" s="2" t="s">
        <v>186</v>
      </c>
      <c r="M1924" s="2" t="s">
        <v>30</v>
      </c>
      <c r="N1924" s="2" t="s">
        <v>31</v>
      </c>
      <c r="O1924" s="2" t="s">
        <v>187</v>
      </c>
      <c r="P1924" s="4">
        <v>105.0744</v>
      </c>
      <c r="Q1924" s="4">
        <v>3</v>
      </c>
      <c r="R1924" s="4">
        <v>37.057899999999997</v>
      </c>
      <c r="S1924" s="2" t="s">
        <v>121</v>
      </c>
      <c r="T1924" s="2" t="s">
        <v>108</v>
      </c>
    </row>
    <row r="1925" spans="1:20" x14ac:dyDescent="0.25">
      <c r="A1925" s="2" t="s">
        <v>3110</v>
      </c>
      <c r="B1925" s="3">
        <v>42124</v>
      </c>
      <c r="C1925" s="3">
        <v>42125</v>
      </c>
      <c r="D1925" s="2" t="s">
        <v>21</v>
      </c>
      <c r="E1925" s="2" t="s">
        <v>2799</v>
      </c>
      <c r="F1925" s="2" t="s">
        <v>2800</v>
      </c>
      <c r="G1925" s="2" t="s">
        <v>38</v>
      </c>
      <c r="H1925" s="2" t="s">
        <v>25</v>
      </c>
      <c r="I1925" s="2" t="s">
        <v>51</v>
      </c>
      <c r="J1925" s="2" t="s">
        <v>52</v>
      </c>
      <c r="K1925" s="2" t="s">
        <v>28</v>
      </c>
      <c r="L1925" s="2" t="s">
        <v>323</v>
      </c>
      <c r="M1925" s="2" t="s">
        <v>30</v>
      </c>
      <c r="N1925" s="2" t="s">
        <v>31</v>
      </c>
      <c r="O1925" s="2" t="s">
        <v>324</v>
      </c>
      <c r="P1925" s="4">
        <v>264.13200000000001</v>
      </c>
      <c r="Q1925" s="4">
        <v>3</v>
      </c>
      <c r="R1925" s="4">
        <v>133.82089999999999</v>
      </c>
      <c r="S1925" s="2" t="s">
        <v>33</v>
      </c>
      <c r="T1925" s="2" t="s">
        <v>108</v>
      </c>
    </row>
    <row r="1926" spans="1:20" x14ac:dyDescent="0.25">
      <c r="A1926" s="2" t="s">
        <v>3111</v>
      </c>
      <c r="B1926" s="3">
        <v>42682</v>
      </c>
      <c r="C1926" s="3">
        <v>42684</v>
      </c>
      <c r="D1926" s="2" t="s">
        <v>55</v>
      </c>
      <c r="E1926" s="2" t="s">
        <v>3112</v>
      </c>
      <c r="F1926" s="2" t="s">
        <v>3113</v>
      </c>
      <c r="G1926" s="2" t="s">
        <v>24</v>
      </c>
      <c r="H1926" s="2" t="s">
        <v>25</v>
      </c>
      <c r="I1926" s="2" t="s">
        <v>1098</v>
      </c>
      <c r="J1926" s="2" t="s">
        <v>595</v>
      </c>
      <c r="K1926" s="2" t="s">
        <v>61</v>
      </c>
      <c r="L1926" s="2" t="s">
        <v>323</v>
      </c>
      <c r="M1926" s="2" t="s">
        <v>30</v>
      </c>
      <c r="N1926" s="2" t="s">
        <v>31</v>
      </c>
      <c r="O1926" s="2" t="s">
        <v>324</v>
      </c>
      <c r="P1926" s="4">
        <v>1341.9942000000001</v>
      </c>
      <c r="Q1926" s="4">
        <v>5</v>
      </c>
      <c r="R1926" s="4">
        <v>439.81029999999998</v>
      </c>
      <c r="S1926" s="2" t="s">
        <v>53</v>
      </c>
      <c r="T1926" s="2" t="s">
        <v>93</v>
      </c>
    </row>
    <row r="1927" spans="1:20" x14ac:dyDescent="0.25">
      <c r="A1927" s="2" t="s">
        <v>3114</v>
      </c>
      <c r="B1927" s="3">
        <v>41642</v>
      </c>
      <c r="C1927" s="3">
        <v>41643</v>
      </c>
      <c r="D1927" s="2" t="s">
        <v>21</v>
      </c>
      <c r="E1927" s="2" t="s">
        <v>1322</v>
      </c>
      <c r="F1927" s="2" t="s">
        <v>1323</v>
      </c>
      <c r="G1927" s="2" t="s">
        <v>38</v>
      </c>
      <c r="H1927" s="2" t="s">
        <v>25</v>
      </c>
      <c r="I1927" s="2" t="s">
        <v>90</v>
      </c>
      <c r="J1927" s="2" t="s">
        <v>91</v>
      </c>
      <c r="K1927" s="2" t="s">
        <v>61</v>
      </c>
      <c r="L1927" s="2" t="s">
        <v>174</v>
      </c>
      <c r="M1927" s="2" t="s">
        <v>30</v>
      </c>
      <c r="N1927" s="2" t="s">
        <v>31</v>
      </c>
      <c r="O1927" s="2" t="s">
        <v>175</v>
      </c>
      <c r="P1927" s="4">
        <v>57.541200000000003</v>
      </c>
      <c r="Q1927" s="4">
        <v>3</v>
      </c>
      <c r="R1927" s="4">
        <v>0.16200000000000001</v>
      </c>
      <c r="S1927" s="2" t="s">
        <v>33</v>
      </c>
      <c r="T1927" s="2" t="s">
        <v>115</v>
      </c>
    </row>
    <row r="1928" spans="1:20" x14ac:dyDescent="0.25">
      <c r="A1928" s="2" t="s">
        <v>3115</v>
      </c>
      <c r="B1928" s="3">
        <v>42156</v>
      </c>
      <c r="C1928" s="3">
        <v>42160</v>
      </c>
      <c r="D1928" s="2" t="s">
        <v>21</v>
      </c>
      <c r="E1928" s="2" t="s">
        <v>1028</v>
      </c>
      <c r="F1928" s="2" t="s">
        <v>1029</v>
      </c>
      <c r="G1928" s="2" t="s">
        <v>58</v>
      </c>
      <c r="H1928" s="2" t="s">
        <v>25</v>
      </c>
      <c r="I1928" s="2" t="s">
        <v>799</v>
      </c>
      <c r="J1928" s="2" t="s">
        <v>160</v>
      </c>
      <c r="K1928" s="2" t="s">
        <v>61</v>
      </c>
      <c r="L1928" s="2" t="s">
        <v>62</v>
      </c>
      <c r="M1928" s="2" t="s">
        <v>30</v>
      </c>
      <c r="N1928" s="2" t="s">
        <v>63</v>
      </c>
      <c r="O1928" s="2" t="s">
        <v>64</v>
      </c>
      <c r="P1928" s="4">
        <v>317.61700000000002</v>
      </c>
      <c r="Q1928" s="4">
        <v>6</v>
      </c>
      <c r="R1928" s="4">
        <v>-51.438400000000001</v>
      </c>
      <c r="S1928" s="2" t="s">
        <v>75</v>
      </c>
      <c r="T1928" s="2" t="s">
        <v>133</v>
      </c>
    </row>
    <row r="1929" spans="1:20" x14ac:dyDescent="0.25">
      <c r="A1929" s="2" t="s">
        <v>3116</v>
      </c>
      <c r="B1929" s="3">
        <v>42822</v>
      </c>
      <c r="C1929" s="3">
        <v>42822</v>
      </c>
      <c r="D1929" s="2" t="s">
        <v>21</v>
      </c>
      <c r="E1929" s="2" t="s">
        <v>1701</v>
      </c>
      <c r="F1929" s="2" t="s">
        <v>1702</v>
      </c>
      <c r="G1929" s="2" t="s">
        <v>38</v>
      </c>
      <c r="H1929" s="2" t="s">
        <v>25</v>
      </c>
      <c r="I1929" s="2" t="s">
        <v>152</v>
      </c>
      <c r="J1929" s="2" t="s">
        <v>153</v>
      </c>
      <c r="K1929" s="2" t="s">
        <v>147</v>
      </c>
      <c r="L1929" s="2" t="s">
        <v>323</v>
      </c>
      <c r="M1929" s="2" t="s">
        <v>30</v>
      </c>
      <c r="N1929" s="2" t="s">
        <v>31</v>
      </c>
      <c r="O1929" s="2" t="s">
        <v>324</v>
      </c>
      <c r="P1929" s="4">
        <v>26.834399999999999</v>
      </c>
      <c r="Q1929" s="4">
        <v>2</v>
      </c>
      <c r="R1929" s="4">
        <v>7.9494999999999996</v>
      </c>
      <c r="S1929" s="2" t="s">
        <v>121</v>
      </c>
      <c r="T1929" s="2" t="s">
        <v>44</v>
      </c>
    </row>
    <row r="1930" spans="1:20" x14ac:dyDescent="0.25">
      <c r="A1930" s="2" t="s">
        <v>3117</v>
      </c>
      <c r="B1930" s="3">
        <v>42088</v>
      </c>
      <c r="C1930" s="3">
        <v>42088</v>
      </c>
      <c r="D1930" s="2" t="s">
        <v>21</v>
      </c>
      <c r="E1930" s="2" t="s">
        <v>3118</v>
      </c>
      <c r="F1930" s="2" t="s">
        <v>3119</v>
      </c>
      <c r="G1930" s="2" t="s">
        <v>38</v>
      </c>
      <c r="H1930" s="2" t="s">
        <v>25</v>
      </c>
      <c r="I1930" s="2" t="s">
        <v>80</v>
      </c>
      <c r="J1930" s="2" t="s">
        <v>81</v>
      </c>
      <c r="K1930" s="2" t="s">
        <v>82</v>
      </c>
      <c r="L1930" s="2" t="s">
        <v>174</v>
      </c>
      <c r="M1930" s="2" t="s">
        <v>30</v>
      </c>
      <c r="N1930" s="2" t="s">
        <v>31</v>
      </c>
      <c r="O1930" s="2" t="s">
        <v>175</v>
      </c>
      <c r="P1930" s="4">
        <v>21.0289</v>
      </c>
      <c r="Q1930" s="4">
        <v>1</v>
      </c>
      <c r="R1930" s="4">
        <v>8.4285999999999994</v>
      </c>
      <c r="S1930" s="2" t="s">
        <v>121</v>
      </c>
      <c r="T1930" s="2" t="s">
        <v>44</v>
      </c>
    </row>
    <row r="1931" spans="1:20" x14ac:dyDescent="0.25">
      <c r="A1931" s="2" t="s">
        <v>3120</v>
      </c>
      <c r="B1931" s="3">
        <v>41907</v>
      </c>
      <c r="C1931" s="3">
        <v>41907</v>
      </c>
      <c r="D1931" s="2" t="s">
        <v>55</v>
      </c>
      <c r="E1931" s="2" t="s">
        <v>1554</v>
      </c>
      <c r="F1931" s="2" t="s">
        <v>1555</v>
      </c>
      <c r="G1931" s="2" t="s">
        <v>58</v>
      </c>
      <c r="H1931" s="2" t="s">
        <v>25</v>
      </c>
      <c r="I1931" s="2" t="s">
        <v>727</v>
      </c>
      <c r="J1931" s="2" t="s">
        <v>728</v>
      </c>
      <c r="K1931" s="2" t="s">
        <v>147</v>
      </c>
      <c r="L1931" s="2" t="s">
        <v>186</v>
      </c>
      <c r="M1931" s="2" t="s">
        <v>30</v>
      </c>
      <c r="N1931" s="2" t="s">
        <v>31</v>
      </c>
      <c r="O1931" s="2" t="s">
        <v>187</v>
      </c>
      <c r="P1931" s="4">
        <v>5.3455000000000004</v>
      </c>
      <c r="Q1931" s="4">
        <v>7</v>
      </c>
      <c r="R1931" s="4">
        <v>-1.2779</v>
      </c>
      <c r="S1931" s="2" t="s">
        <v>121</v>
      </c>
      <c r="T1931" s="2" t="s">
        <v>148</v>
      </c>
    </row>
    <row r="1932" spans="1:20" x14ac:dyDescent="0.25">
      <c r="A1932" s="2" t="s">
        <v>3121</v>
      </c>
      <c r="B1932" s="3">
        <v>42858</v>
      </c>
      <c r="C1932" s="3">
        <v>42859</v>
      </c>
      <c r="D1932" s="2" t="s">
        <v>21</v>
      </c>
      <c r="E1932" s="2" t="s">
        <v>3122</v>
      </c>
      <c r="F1932" s="2" t="s">
        <v>3123</v>
      </c>
      <c r="G1932" s="2" t="s">
        <v>58</v>
      </c>
      <c r="H1932" s="2" t="s">
        <v>25</v>
      </c>
      <c r="I1932" s="2" t="s">
        <v>1055</v>
      </c>
      <c r="J1932" s="2" t="s">
        <v>106</v>
      </c>
      <c r="K1932" s="2" t="s">
        <v>61</v>
      </c>
      <c r="L1932" s="2" t="s">
        <v>839</v>
      </c>
      <c r="M1932" s="2" t="s">
        <v>30</v>
      </c>
      <c r="N1932" s="2" t="s">
        <v>63</v>
      </c>
      <c r="O1932" s="2" t="s">
        <v>840</v>
      </c>
      <c r="P1932" s="4">
        <v>421.09300000000002</v>
      </c>
      <c r="Q1932" s="4">
        <v>3</v>
      </c>
      <c r="R1932" s="4">
        <v>-184.8784</v>
      </c>
      <c r="S1932" s="2" t="s">
        <v>33</v>
      </c>
      <c r="T1932" s="2" t="s">
        <v>122</v>
      </c>
    </row>
    <row r="1933" spans="1:20" x14ac:dyDescent="0.25">
      <c r="A1933" s="2" t="s">
        <v>3124</v>
      </c>
      <c r="B1933" s="3">
        <v>42974</v>
      </c>
      <c r="C1933" s="3">
        <v>42974</v>
      </c>
      <c r="D1933" s="2" t="s">
        <v>55</v>
      </c>
      <c r="E1933" s="2" t="s">
        <v>2428</v>
      </c>
      <c r="F1933" s="2" t="s">
        <v>2429</v>
      </c>
      <c r="G1933" s="2" t="s">
        <v>58</v>
      </c>
      <c r="H1933" s="2" t="s">
        <v>25</v>
      </c>
      <c r="I1933" s="2" t="s">
        <v>184</v>
      </c>
      <c r="J1933" s="2" t="s">
        <v>185</v>
      </c>
      <c r="K1933" s="2" t="s">
        <v>147</v>
      </c>
      <c r="L1933" s="2" t="s">
        <v>154</v>
      </c>
      <c r="M1933" s="2" t="s">
        <v>30</v>
      </c>
      <c r="N1933" s="2" t="s">
        <v>42</v>
      </c>
      <c r="O1933" s="2" t="s">
        <v>155</v>
      </c>
      <c r="P1933" s="4">
        <v>289.88290000000001</v>
      </c>
      <c r="Q1933" s="4">
        <v>2</v>
      </c>
      <c r="R1933" s="4">
        <v>-63.412199999999999</v>
      </c>
      <c r="S1933" s="2" t="s">
        <v>121</v>
      </c>
      <c r="T1933" s="2" t="s">
        <v>34</v>
      </c>
    </row>
    <row r="1934" spans="1:20" x14ac:dyDescent="0.25">
      <c r="A1934" s="2" t="s">
        <v>3124</v>
      </c>
      <c r="B1934" s="3">
        <v>42974</v>
      </c>
      <c r="C1934" s="3">
        <v>42974</v>
      </c>
      <c r="D1934" s="2" t="s">
        <v>55</v>
      </c>
      <c r="E1934" s="2" t="s">
        <v>2428</v>
      </c>
      <c r="F1934" s="2" t="s">
        <v>2429</v>
      </c>
      <c r="G1934" s="2" t="s">
        <v>58</v>
      </c>
      <c r="H1934" s="2" t="s">
        <v>25</v>
      </c>
      <c r="I1934" s="2" t="s">
        <v>184</v>
      </c>
      <c r="J1934" s="2" t="s">
        <v>185</v>
      </c>
      <c r="K1934" s="2" t="s">
        <v>147</v>
      </c>
      <c r="L1934" s="2" t="s">
        <v>207</v>
      </c>
      <c r="M1934" s="2" t="s">
        <v>30</v>
      </c>
      <c r="N1934" s="2" t="s">
        <v>31</v>
      </c>
      <c r="O1934" s="2" t="s">
        <v>208</v>
      </c>
      <c r="P1934" s="4">
        <v>163.88210000000001</v>
      </c>
      <c r="Q1934" s="4">
        <v>5</v>
      </c>
      <c r="R1934" s="4">
        <v>-15.3574</v>
      </c>
      <c r="S1934" s="2" t="s">
        <v>121</v>
      </c>
      <c r="T1934" s="2" t="s">
        <v>34</v>
      </c>
    </row>
    <row r="1935" spans="1:20" x14ac:dyDescent="0.25">
      <c r="A1935" s="2" t="s">
        <v>3125</v>
      </c>
      <c r="B1935" s="3">
        <v>41884</v>
      </c>
      <c r="C1935" s="3">
        <v>41886</v>
      </c>
      <c r="D1935" s="2" t="s">
        <v>55</v>
      </c>
      <c r="E1935" s="2" t="s">
        <v>1126</v>
      </c>
      <c r="F1935" s="2" t="s">
        <v>1127</v>
      </c>
      <c r="G1935" s="2" t="s">
        <v>58</v>
      </c>
      <c r="H1935" s="2" t="s">
        <v>25</v>
      </c>
      <c r="I1935" s="2" t="s">
        <v>59</v>
      </c>
      <c r="J1935" s="2" t="s">
        <v>60</v>
      </c>
      <c r="K1935" s="2" t="s">
        <v>61</v>
      </c>
      <c r="L1935" s="2" t="s">
        <v>207</v>
      </c>
      <c r="M1935" s="2" t="s">
        <v>30</v>
      </c>
      <c r="N1935" s="2" t="s">
        <v>31</v>
      </c>
      <c r="O1935" s="2" t="s">
        <v>208</v>
      </c>
      <c r="P1935" s="4">
        <v>272.43329999999997</v>
      </c>
      <c r="Q1935" s="4">
        <v>4</v>
      </c>
      <c r="R1935" s="4">
        <v>-61.316600000000001</v>
      </c>
      <c r="S1935" s="2" t="s">
        <v>53</v>
      </c>
      <c r="T1935" s="2" t="s">
        <v>148</v>
      </c>
    </row>
    <row r="1936" spans="1:20" x14ac:dyDescent="0.25">
      <c r="A1936" s="2" t="s">
        <v>3126</v>
      </c>
      <c r="B1936" s="3">
        <v>41882</v>
      </c>
      <c r="C1936" s="3">
        <v>41887</v>
      </c>
      <c r="D1936" s="2" t="s">
        <v>55</v>
      </c>
      <c r="E1936" s="2" t="s">
        <v>1081</v>
      </c>
      <c r="F1936" s="2" t="s">
        <v>1082</v>
      </c>
      <c r="G1936" s="2" t="s">
        <v>58</v>
      </c>
      <c r="H1936" s="2" t="s">
        <v>25</v>
      </c>
      <c r="I1936" s="2" t="s">
        <v>350</v>
      </c>
      <c r="J1936" s="2" t="s">
        <v>351</v>
      </c>
      <c r="K1936" s="2" t="s">
        <v>147</v>
      </c>
      <c r="L1936" s="2" t="s">
        <v>372</v>
      </c>
      <c r="M1936" s="2" t="s">
        <v>30</v>
      </c>
      <c r="N1936" s="2" t="s">
        <v>162</v>
      </c>
      <c r="O1936" s="2" t="s">
        <v>373</v>
      </c>
      <c r="P1936" s="4">
        <v>343.31970000000001</v>
      </c>
      <c r="Q1936" s="4">
        <v>1</v>
      </c>
      <c r="R1936" s="4">
        <v>111.1463</v>
      </c>
      <c r="S1936" s="2" t="s">
        <v>85</v>
      </c>
      <c r="T1936" s="2" t="s">
        <v>34</v>
      </c>
    </row>
    <row r="1937" spans="1:20" x14ac:dyDescent="0.25">
      <c r="A1937" s="2" t="s">
        <v>3126</v>
      </c>
      <c r="B1937" s="3">
        <v>41882</v>
      </c>
      <c r="C1937" s="3">
        <v>41887</v>
      </c>
      <c r="D1937" s="2" t="s">
        <v>55</v>
      </c>
      <c r="E1937" s="2" t="s">
        <v>1081</v>
      </c>
      <c r="F1937" s="2" t="s">
        <v>1082</v>
      </c>
      <c r="G1937" s="2" t="s">
        <v>58</v>
      </c>
      <c r="H1937" s="2" t="s">
        <v>25</v>
      </c>
      <c r="I1937" s="2" t="s">
        <v>350</v>
      </c>
      <c r="J1937" s="2" t="s">
        <v>351</v>
      </c>
      <c r="K1937" s="2" t="s">
        <v>147</v>
      </c>
      <c r="L1937" s="2" t="s">
        <v>933</v>
      </c>
      <c r="M1937" s="2" t="s">
        <v>30</v>
      </c>
      <c r="N1937" s="2" t="s">
        <v>162</v>
      </c>
      <c r="O1937" s="2" t="s">
        <v>934</v>
      </c>
      <c r="P1937" s="4">
        <v>528.84619999999995</v>
      </c>
      <c r="Q1937" s="4">
        <v>4</v>
      </c>
      <c r="R1937" s="4">
        <v>116.56319999999999</v>
      </c>
      <c r="S1937" s="2" t="s">
        <v>85</v>
      </c>
      <c r="T1937" s="2" t="s">
        <v>34</v>
      </c>
    </row>
    <row r="1938" spans="1:20" x14ac:dyDescent="0.25">
      <c r="A1938" s="2" t="s">
        <v>3126</v>
      </c>
      <c r="B1938" s="3">
        <v>41882</v>
      </c>
      <c r="C1938" s="3">
        <v>41887</v>
      </c>
      <c r="D1938" s="2" t="s">
        <v>55</v>
      </c>
      <c r="E1938" s="2" t="s">
        <v>1081</v>
      </c>
      <c r="F1938" s="2" t="s">
        <v>1082</v>
      </c>
      <c r="G1938" s="2" t="s">
        <v>58</v>
      </c>
      <c r="H1938" s="2" t="s">
        <v>25</v>
      </c>
      <c r="I1938" s="2" t="s">
        <v>350</v>
      </c>
      <c r="J1938" s="2" t="s">
        <v>351</v>
      </c>
      <c r="K1938" s="2" t="s">
        <v>147</v>
      </c>
      <c r="L1938" s="2" t="s">
        <v>154</v>
      </c>
      <c r="M1938" s="2" t="s">
        <v>30</v>
      </c>
      <c r="N1938" s="2" t="s">
        <v>42</v>
      </c>
      <c r="O1938" s="2" t="s">
        <v>155</v>
      </c>
      <c r="P1938" s="4">
        <v>283.56</v>
      </c>
      <c r="Q1938" s="4">
        <v>2</v>
      </c>
      <c r="R1938" s="4">
        <v>63.673299999999998</v>
      </c>
      <c r="S1938" s="2" t="s">
        <v>85</v>
      </c>
      <c r="T1938" s="2" t="s">
        <v>34</v>
      </c>
    </row>
    <row r="1939" spans="1:20" x14ac:dyDescent="0.25">
      <c r="A1939" s="2" t="s">
        <v>3127</v>
      </c>
      <c r="B1939" s="3">
        <v>42446</v>
      </c>
      <c r="C1939" s="3">
        <v>42450</v>
      </c>
      <c r="D1939" s="2" t="s">
        <v>55</v>
      </c>
      <c r="E1939" s="2" t="s">
        <v>421</v>
      </c>
      <c r="F1939" s="2" t="s">
        <v>422</v>
      </c>
      <c r="G1939" s="2" t="s">
        <v>38</v>
      </c>
      <c r="H1939" s="2" t="s">
        <v>25</v>
      </c>
      <c r="I1939" s="2" t="s">
        <v>223</v>
      </c>
      <c r="J1939" s="2" t="s">
        <v>81</v>
      </c>
      <c r="K1939" s="2" t="s">
        <v>82</v>
      </c>
      <c r="L1939" s="2" t="s">
        <v>131</v>
      </c>
      <c r="M1939" s="2" t="s">
        <v>30</v>
      </c>
      <c r="N1939" s="2" t="s">
        <v>31</v>
      </c>
      <c r="O1939" s="2" t="s">
        <v>132</v>
      </c>
      <c r="P1939" s="4">
        <v>86.261899999999997</v>
      </c>
      <c r="Q1939" s="4">
        <v>4</v>
      </c>
      <c r="R1939" s="4">
        <v>6.9875999999999996</v>
      </c>
      <c r="S1939" s="2" t="s">
        <v>75</v>
      </c>
      <c r="T1939" s="2" t="s">
        <v>44</v>
      </c>
    </row>
    <row r="1940" spans="1:20" x14ac:dyDescent="0.25">
      <c r="A1940" s="2" t="s">
        <v>3128</v>
      </c>
      <c r="B1940" s="3">
        <v>42983</v>
      </c>
      <c r="C1940" s="3">
        <v>42984</v>
      </c>
      <c r="D1940" s="2" t="s">
        <v>21</v>
      </c>
      <c r="E1940" s="2" t="s">
        <v>3069</v>
      </c>
      <c r="F1940" s="2" t="s">
        <v>3070</v>
      </c>
      <c r="G1940" s="2" t="s">
        <v>24</v>
      </c>
      <c r="H1940" s="2" t="s">
        <v>25</v>
      </c>
      <c r="I1940" s="2" t="s">
        <v>216</v>
      </c>
      <c r="J1940" s="2" t="s">
        <v>217</v>
      </c>
      <c r="K1940" s="2" t="s">
        <v>82</v>
      </c>
      <c r="L1940" s="2" t="s">
        <v>186</v>
      </c>
      <c r="M1940" s="2" t="s">
        <v>30</v>
      </c>
      <c r="N1940" s="2" t="s">
        <v>31</v>
      </c>
      <c r="O1940" s="2" t="s">
        <v>187</v>
      </c>
      <c r="P1940" s="4">
        <v>214.72030000000001</v>
      </c>
      <c r="Q1940" s="4">
        <v>3</v>
      </c>
      <c r="R1940" s="4">
        <v>-9.4243000000000006</v>
      </c>
      <c r="S1940" s="2" t="s">
        <v>33</v>
      </c>
      <c r="T1940" s="2" t="s">
        <v>148</v>
      </c>
    </row>
    <row r="1941" spans="1:20" x14ac:dyDescent="0.25">
      <c r="A1941" s="2" t="s">
        <v>3129</v>
      </c>
      <c r="B1941" s="3">
        <v>41657</v>
      </c>
      <c r="C1941" s="3">
        <v>41659</v>
      </c>
      <c r="D1941" s="2" t="s">
        <v>55</v>
      </c>
      <c r="E1941" s="2" t="s">
        <v>1695</v>
      </c>
      <c r="F1941" s="2" t="s">
        <v>1696</v>
      </c>
      <c r="G1941" s="2" t="s">
        <v>38</v>
      </c>
      <c r="H1941" s="2" t="s">
        <v>25</v>
      </c>
      <c r="I1941" s="2" t="s">
        <v>662</v>
      </c>
      <c r="J1941" s="2" t="s">
        <v>310</v>
      </c>
      <c r="K1941" s="2" t="s">
        <v>28</v>
      </c>
      <c r="L1941" s="2" t="s">
        <v>301</v>
      </c>
      <c r="M1941" s="2" t="s">
        <v>30</v>
      </c>
      <c r="N1941" s="2" t="s">
        <v>162</v>
      </c>
      <c r="O1941" s="2" t="s">
        <v>302</v>
      </c>
      <c r="P1941" s="4">
        <v>232.2159</v>
      </c>
      <c r="Q1941" s="4">
        <v>4</v>
      </c>
      <c r="R1941" s="4">
        <v>91.140500000000003</v>
      </c>
      <c r="S1941" s="2" t="s">
        <v>53</v>
      </c>
      <c r="T1941" s="2" t="s">
        <v>115</v>
      </c>
    </row>
    <row r="1942" spans="1:20" x14ac:dyDescent="0.25">
      <c r="A1942" s="2" t="s">
        <v>3130</v>
      </c>
      <c r="B1942" s="3">
        <v>41821</v>
      </c>
      <c r="C1942" s="3">
        <v>41823</v>
      </c>
      <c r="D1942" s="2" t="s">
        <v>48</v>
      </c>
      <c r="E1942" s="2" t="s">
        <v>2162</v>
      </c>
      <c r="F1942" s="2" t="s">
        <v>2163</v>
      </c>
      <c r="G1942" s="2" t="s">
        <v>58</v>
      </c>
      <c r="H1942" s="2" t="s">
        <v>25</v>
      </c>
      <c r="I1942" s="2" t="s">
        <v>338</v>
      </c>
      <c r="J1942" s="2" t="s">
        <v>339</v>
      </c>
      <c r="K1942" s="2" t="s">
        <v>82</v>
      </c>
      <c r="L1942" s="2" t="s">
        <v>218</v>
      </c>
      <c r="M1942" s="2" t="s">
        <v>30</v>
      </c>
      <c r="N1942" s="2" t="s">
        <v>31</v>
      </c>
      <c r="O1942" s="2" t="s">
        <v>219</v>
      </c>
      <c r="P1942" s="4">
        <v>81.7393</v>
      </c>
      <c r="Q1942" s="4">
        <v>5</v>
      </c>
      <c r="R1942" s="4">
        <v>-14.351000000000001</v>
      </c>
      <c r="S1942" s="2" t="s">
        <v>53</v>
      </c>
      <c r="T1942" s="2" t="s">
        <v>86</v>
      </c>
    </row>
    <row r="1943" spans="1:20" x14ac:dyDescent="0.25">
      <c r="A1943" s="2" t="s">
        <v>3131</v>
      </c>
      <c r="B1943" s="3">
        <v>42296</v>
      </c>
      <c r="C1943" s="3">
        <v>42296</v>
      </c>
      <c r="D1943" s="2" t="s">
        <v>142</v>
      </c>
      <c r="E1943" s="2" t="s">
        <v>765</v>
      </c>
      <c r="F1943" s="2" t="s">
        <v>766</v>
      </c>
      <c r="G1943" s="2" t="s">
        <v>58</v>
      </c>
      <c r="H1943" s="2" t="s">
        <v>25</v>
      </c>
      <c r="I1943" s="2" t="s">
        <v>861</v>
      </c>
      <c r="J1943" s="2" t="s">
        <v>403</v>
      </c>
      <c r="K1943" s="2" t="s">
        <v>147</v>
      </c>
      <c r="L1943" s="2" t="s">
        <v>252</v>
      </c>
      <c r="M1943" s="2" t="s">
        <v>30</v>
      </c>
      <c r="N1943" s="2" t="s">
        <v>31</v>
      </c>
      <c r="O1943" s="2" t="s">
        <v>253</v>
      </c>
      <c r="P1943" s="4">
        <v>34.4298</v>
      </c>
      <c r="Q1943" s="4">
        <v>5</v>
      </c>
      <c r="R1943" s="4">
        <v>11.827400000000001</v>
      </c>
      <c r="S1943" s="2" t="s">
        <v>121</v>
      </c>
      <c r="T1943" s="2" t="s">
        <v>224</v>
      </c>
    </row>
    <row r="1944" spans="1:20" x14ac:dyDescent="0.25">
      <c r="A1944" s="2" t="s">
        <v>3132</v>
      </c>
      <c r="B1944" s="3">
        <v>42915</v>
      </c>
      <c r="C1944" s="3">
        <v>42918</v>
      </c>
      <c r="D1944" s="2" t="s">
        <v>55</v>
      </c>
      <c r="E1944" s="2" t="s">
        <v>564</v>
      </c>
      <c r="F1944" s="2" t="s">
        <v>565</v>
      </c>
      <c r="G1944" s="2" t="s">
        <v>38</v>
      </c>
      <c r="H1944" s="2" t="s">
        <v>25</v>
      </c>
      <c r="I1944" s="2" t="s">
        <v>59</v>
      </c>
      <c r="J1944" s="2" t="s">
        <v>60</v>
      </c>
      <c r="K1944" s="2" t="s">
        <v>61</v>
      </c>
      <c r="L1944" s="2" t="s">
        <v>323</v>
      </c>
      <c r="M1944" s="2" t="s">
        <v>30</v>
      </c>
      <c r="N1944" s="2" t="s">
        <v>31</v>
      </c>
      <c r="O1944" s="2" t="s">
        <v>324</v>
      </c>
      <c r="P1944" s="4">
        <v>7.8479999999999999</v>
      </c>
      <c r="Q1944" s="4">
        <v>4</v>
      </c>
      <c r="R1944" s="4">
        <v>-4.1638999999999999</v>
      </c>
      <c r="S1944" s="2" t="s">
        <v>92</v>
      </c>
      <c r="T1944" s="2" t="s">
        <v>133</v>
      </c>
    </row>
    <row r="1945" spans="1:20" x14ac:dyDescent="0.25">
      <c r="A1945" s="2" t="s">
        <v>3133</v>
      </c>
      <c r="B1945" s="3">
        <v>42216</v>
      </c>
      <c r="C1945" s="3">
        <v>42219</v>
      </c>
      <c r="D1945" s="2" t="s">
        <v>55</v>
      </c>
      <c r="E1945" s="2" t="s">
        <v>1196</v>
      </c>
      <c r="F1945" s="2" t="s">
        <v>1197</v>
      </c>
      <c r="G1945" s="2" t="s">
        <v>24</v>
      </c>
      <c r="H1945" s="2" t="s">
        <v>25</v>
      </c>
      <c r="I1945" s="2" t="s">
        <v>805</v>
      </c>
      <c r="J1945" s="2" t="s">
        <v>351</v>
      </c>
      <c r="K1945" s="2" t="s">
        <v>147</v>
      </c>
      <c r="L1945" s="2" t="s">
        <v>41</v>
      </c>
      <c r="M1945" s="2" t="s">
        <v>30</v>
      </c>
      <c r="N1945" s="2" t="s">
        <v>42</v>
      </c>
      <c r="O1945" s="2" t="s">
        <v>43</v>
      </c>
      <c r="P1945" s="4">
        <v>305.0591</v>
      </c>
      <c r="Q1945" s="4">
        <v>4</v>
      </c>
      <c r="R1945" s="4">
        <v>76.850499999999997</v>
      </c>
      <c r="S1945" s="2" t="s">
        <v>92</v>
      </c>
      <c r="T1945" s="2" t="s">
        <v>86</v>
      </c>
    </row>
    <row r="1946" spans="1:20" x14ac:dyDescent="0.25">
      <c r="A1946" s="2" t="s">
        <v>3134</v>
      </c>
      <c r="B1946" s="3">
        <v>43052</v>
      </c>
      <c r="C1946" s="3">
        <v>43052</v>
      </c>
      <c r="D1946" s="2" t="s">
        <v>55</v>
      </c>
      <c r="E1946" s="2" t="s">
        <v>1850</v>
      </c>
      <c r="F1946" s="2" t="s">
        <v>1851</v>
      </c>
      <c r="G1946" s="2" t="s">
        <v>58</v>
      </c>
      <c r="H1946" s="2" t="s">
        <v>25</v>
      </c>
      <c r="I1946" s="2" t="s">
        <v>159</v>
      </c>
      <c r="J1946" s="2" t="s">
        <v>160</v>
      </c>
      <c r="K1946" s="2" t="s">
        <v>61</v>
      </c>
      <c r="L1946" s="2" t="s">
        <v>186</v>
      </c>
      <c r="M1946" s="2" t="s">
        <v>30</v>
      </c>
      <c r="N1946" s="2" t="s">
        <v>31</v>
      </c>
      <c r="O1946" s="2" t="s">
        <v>187</v>
      </c>
      <c r="P1946" s="4">
        <v>56.252800000000001</v>
      </c>
      <c r="Q1946" s="4">
        <v>2</v>
      </c>
      <c r="R1946" s="4">
        <v>32.194699999999997</v>
      </c>
      <c r="S1946" s="2" t="s">
        <v>121</v>
      </c>
      <c r="T1946" s="2" t="s">
        <v>93</v>
      </c>
    </row>
    <row r="1947" spans="1:20" x14ac:dyDescent="0.25">
      <c r="A1947" s="2" t="s">
        <v>3135</v>
      </c>
      <c r="B1947" s="3">
        <v>42596</v>
      </c>
      <c r="C1947" s="3">
        <v>42597</v>
      </c>
      <c r="D1947" s="2" t="s">
        <v>48</v>
      </c>
      <c r="E1947" s="2" t="s">
        <v>2453</v>
      </c>
      <c r="F1947" s="2" t="s">
        <v>2454</v>
      </c>
      <c r="G1947" s="2" t="s">
        <v>38</v>
      </c>
      <c r="H1947" s="2" t="s">
        <v>25</v>
      </c>
      <c r="I1947" s="2" t="s">
        <v>414</v>
      </c>
      <c r="J1947" s="2" t="s">
        <v>206</v>
      </c>
      <c r="K1947" s="2" t="s">
        <v>61</v>
      </c>
      <c r="L1947" s="2" t="s">
        <v>131</v>
      </c>
      <c r="M1947" s="2" t="s">
        <v>30</v>
      </c>
      <c r="N1947" s="2" t="s">
        <v>31</v>
      </c>
      <c r="O1947" s="2" t="s">
        <v>132</v>
      </c>
      <c r="P1947" s="4">
        <v>50.9788</v>
      </c>
      <c r="Q1947" s="4">
        <v>3</v>
      </c>
      <c r="R1947" s="4">
        <v>15.0943</v>
      </c>
      <c r="S1947" s="2" t="s">
        <v>33</v>
      </c>
      <c r="T1947" s="2" t="s">
        <v>34</v>
      </c>
    </row>
    <row r="1948" spans="1:20" x14ac:dyDescent="0.25">
      <c r="A1948" s="2" t="s">
        <v>3136</v>
      </c>
      <c r="B1948" s="3">
        <v>42941</v>
      </c>
      <c r="C1948" s="3">
        <v>42945</v>
      </c>
      <c r="D1948" s="2" t="s">
        <v>55</v>
      </c>
      <c r="E1948" s="2" t="s">
        <v>920</v>
      </c>
      <c r="F1948" s="2" t="s">
        <v>921</v>
      </c>
      <c r="G1948" s="2" t="s">
        <v>58</v>
      </c>
      <c r="H1948" s="2" t="s">
        <v>25</v>
      </c>
      <c r="I1948" s="2" t="s">
        <v>1128</v>
      </c>
      <c r="J1948" s="2" t="s">
        <v>667</v>
      </c>
      <c r="K1948" s="2" t="s">
        <v>28</v>
      </c>
      <c r="L1948" s="2" t="s">
        <v>29</v>
      </c>
      <c r="M1948" s="2" t="s">
        <v>30</v>
      </c>
      <c r="N1948" s="2" t="s">
        <v>31</v>
      </c>
      <c r="O1948" s="2" t="s">
        <v>32</v>
      </c>
      <c r="P1948" s="4">
        <v>7.4145000000000003</v>
      </c>
      <c r="Q1948" s="4">
        <v>2</v>
      </c>
      <c r="R1948" s="4">
        <v>-9.7900000000000001E-2</v>
      </c>
      <c r="S1948" s="2" t="s">
        <v>75</v>
      </c>
      <c r="T1948" s="2" t="s">
        <v>86</v>
      </c>
    </row>
    <row r="1949" spans="1:20" x14ac:dyDescent="0.25">
      <c r="A1949" s="2" t="s">
        <v>3137</v>
      </c>
      <c r="B1949" s="3">
        <v>42669</v>
      </c>
      <c r="C1949" s="3">
        <v>42673</v>
      </c>
      <c r="D1949" s="2" t="s">
        <v>55</v>
      </c>
      <c r="E1949" s="2" t="s">
        <v>2206</v>
      </c>
      <c r="F1949" s="2" t="s">
        <v>2207</v>
      </c>
      <c r="G1949" s="2" t="s">
        <v>58</v>
      </c>
      <c r="H1949" s="2" t="s">
        <v>25</v>
      </c>
      <c r="I1949" s="2" t="s">
        <v>434</v>
      </c>
      <c r="J1949" s="2" t="s">
        <v>435</v>
      </c>
      <c r="K1949" s="2" t="s">
        <v>61</v>
      </c>
      <c r="L1949" s="2" t="s">
        <v>933</v>
      </c>
      <c r="M1949" s="2" t="s">
        <v>30</v>
      </c>
      <c r="N1949" s="2" t="s">
        <v>162</v>
      </c>
      <c r="O1949" s="2" t="s">
        <v>934</v>
      </c>
      <c r="P1949" s="4">
        <v>553.44680000000005</v>
      </c>
      <c r="Q1949" s="4">
        <v>1</v>
      </c>
      <c r="R1949" s="4">
        <v>-278.81180000000001</v>
      </c>
      <c r="S1949" s="2" t="s">
        <v>75</v>
      </c>
      <c r="T1949" s="2" t="s">
        <v>224</v>
      </c>
    </row>
    <row r="1950" spans="1:20" x14ac:dyDescent="0.25">
      <c r="A1950" s="2" t="s">
        <v>3138</v>
      </c>
      <c r="B1950" s="3">
        <v>42812</v>
      </c>
      <c r="C1950" s="3">
        <v>42812</v>
      </c>
      <c r="D1950" s="2" t="s">
        <v>48</v>
      </c>
      <c r="E1950" s="2" t="s">
        <v>714</v>
      </c>
      <c r="F1950" s="2" t="s">
        <v>715</v>
      </c>
      <c r="G1950" s="2" t="s">
        <v>24</v>
      </c>
      <c r="H1950" s="2" t="s">
        <v>25</v>
      </c>
      <c r="I1950" s="2" t="s">
        <v>90</v>
      </c>
      <c r="J1950" s="2" t="s">
        <v>91</v>
      </c>
      <c r="K1950" s="2" t="s">
        <v>61</v>
      </c>
      <c r="L1950" s="2" t="s">
        <v>186</v>
      </c>
      <c r="M1950" s="2" t="s">
        <v>30</v>
      </c>
      <c r="N1950" s="2" t="s">
        <v>31</v>
      </c>
      <c r="O1950" s="2" t="s">
        <v>187</v>
      </c>
      <c r="P1950" s="4">
        <v>53.875300000000003</v>
      </c>
      <c r="Q1950" s="4">
        <v>6</v>
      </c>
      <c r="R1950" s="4">
        <v>20.295500000000001</v>
      </c>
      <c r="S1950" s="2" t="s">
        <v>121</v>
      </c>
      <c r="T1950" s="2" t="s">
        <v>44</v>
      </c>
    </row>
    <row r="1951" spans="1:20" x14ac:dyDescent="0.25">
      <c r="A1951" s="2" t="s">
        <v>3139</v>
      </c>
      <c r="B1951" s="3">
        <v>42400</v>
      </c>
      <c r="C1951" s="3">
        <v>42400</v>
      </c>
      <c r="D1951" s="2" t="s">
        <v>48</v>
      </c>
      <c r="E1951" s="2" t="s">
        <v>2630</v>
      </c>
      <c r="F1951" s="2" t="s">
        <v>2631</v>
      </c>
      <c r="G1951" s="2" t="s">
        <v>58</v>
      </c>
      <c r="H1951" s="2" t="s">
        <v>25</v>
      </c>
      <c r="I1951" s="2" t="s">
        <v>682</v>
      </c>
      <c r="J1951" s="2" t="s">
        <v>632</v>
      </c>
      <c r="K1951" s="2" t="s">
        <v>82</v>
      </c>
      <c r="L1951" s="2" t="s">
        <v>131</v>
      </c>
      <c r="M1951" s="2" t="s">
        <v>30</v>
      </c>
      <c r="N1951" s="2" t="s">
        <v>31</v>
      </c>
      <c r="O1951" s="2" t="s">
        <v>132</v>
      </c>
      <c r="P1951" s="4">
        <v>22.212800000000001</v>
      </c>
      <c r="Q1951" s="4">
        <v>3</v>
      </c>
      <c r="R1951" s="4">
        <v>4.4945000000000004</v>
      </c>
      <c r="S1951" s="2" t="s">
        <v>121</v>
      </c>
      <c r="T1951" s="2" t="s">
        <v>115</v>
      </c>
    </row>
    <row r="1952" spans="1:20" x14ac:dyDescent="0.25">
      <c r="A1952" s="2" t="s">
        <v>3140</v>
      </c>
      <c r="B1952" s="3">
        <v>41919</v>
      </c>
      <c r="C1952" s="3">
        <v>41923</v>
      </c>
      <c r="D1952" s="2" t="s">
        <v>55</v>
      </c>
      <c r="E1952" s="2" t="s">
        <v>1631</v>
      </c>
      <c r="F1952" s="2" t="s">
        <v>1632</v>
      </c>
      <c r="G1952" s="2" t="s">
        <v>38</v>
      </c>
      <c r="H1952" s="2" t="s">
        <v>25</v>
      </c>
      <c r="I1952" s="2" t="s">
        <v>910</v>
      </c>
      <c r="J1952" s="2" t="s">
        <v>260</v>
      </c>
      <c r="K1952" s="2" t="s">
        <v>147</v>
      </c>
      <c r="L1952" s="2" t="s">
        <v>131</v>
      </c>
      <c r="M1952" s="2" t="s">
        <v>30</v>
      </c>
      <c r="N1952" s="2" t="s">
        <v>31</v>
      </c>
      <c r="O1952" s="2" t="s">
        <v>132</v>
      </c>
      <c r="P1952" s="4">
        <v>7.8465999999999996</v>
      </c>
      <c r="Q1952" s="4">
        <v>5</v>
      </c>
      <c r="R1952" s="4">
        <v>1.1923999999999999</v>
      </c>
      <c r="S1952" s="2" t="s">
        <v>75</v>
      </c>
      <c r="T1952" s="2" t="s">
        <v>224</v>
      </c>
    </row>
    <row r="1953" spans="1:20" x14ac:dyDescent="0.25">
      <c r="A1953" s="2" t="s">
        <v>3141</v>
      </c>
      <c r="B1953" s="3">
        <v>42972</v>
      </c>
      <c r="C1953" s="3">
        <v>42977</v>
      </c>
      <c r="D1953" s="2" t="s">
        <v>55</v>
      </c>
      <c r="E1953" s="2" t="s">
        <v>3142</v>
      </c>
      <c r="F1953" s="2" t="s">
        <v>3143</v>
      </c>
      <c r="G1953" s="2" t="s">
        <v>38</v>
      </c>
      <c r="H1953" s="2" t="s">
        <v>25</v>
      </c>
      <c r="I1953" s="2" t="s">
        <v>666</v>
      </c>
      <c r="J1953" s="2" t="s">
        <v>667</v>
      </c>
      <c r="K1953" s="2" t="s">
        <v>28</v>
      </c>
      <c r="L1953" s="2" t="s">
        <v>41</v>
      </c>
      <c r="M1953" s="2" t="s">
        <v>30</v>
      </c>
      <c r="N1953" s="2" t="s">
        <v>42</v>
      </c>
      <c r="O1953" s="2" t="s">
        <v>43</v>
      </c>
      <c r="P1953" s="4">
        <v>81.135300000000001</v>
      </c>
      <c r="Q1953" s="4">
        <v>7</v>
      </c>
      <c r="R1953" s="4">
        <v>-9.4110999999999994</v>
      </c>
      <c r="S1953" s="2" t="s">
        <v>85</v>
      </c>
      <c r="T1953" s="2" t="s">
        <v>34</v>
      </c>
    </row>
    <row r="1954" spans="1:20" x14ac:dyDescent="0.25">
      <c r="A1954" s="2" t="s">
        <v>3141</v>
      </c>
      <c r="B1954" s="3">
        <v>42972</v>
      </c>
      <c r="C1954" s="3">
        <v>42977</v>
      </c>
      <c r="D1954" s="2" t="s">
        <v>55</v>
      </c>
      <c r="E1954" s="2" t="s">
        <v>3142</v>
      </c>
      <c r="F1954" s="2" t="s">
        <v>3143</v>
      </c>
      <c r="G1954" s="2" t="s">
        <v>38</v>
      </c>
      <c r="H1954" s="2" t="s">
        <v>25</v>
      </c>
      <c r="I1954" s="2" t="s">
        <v>666</v>
      </c>
      <c r="J1954" s="2" t="s">
        <v>667</v>
      </c>
      <c r="K1954" s="2" t="s">
        <v>28</v>
      </c>
      <c r="L1954" s="2" t="s">
        <v>372</v>
      </c>
      <c r="M1954" s="2" t="s">
        <v>30</v>
      </c>
      <c r="N1954" s="2" t="s">
        <v>162</v>
      </c>
      <c r="O1954" s="2" t="s">
        <v>373</v>
      </c>
      <c r="P1954" s="4">
        <v>1001.4837</v>
      </c>
      <c r="Q1954" s="4">
        <v>3</v>
      </c>
      <c r="R1954" s="4">
        <v>311.70580000000001</v>
      </c>
      <c r="S1954" s="2" t="s">
        <v>85</v>
      </c>
      <c r="T1954" s="2" t="s">
        <v>34</v>
      </c>
    </row>
    <row r="1955" spans="1:20" x14ac:dyDescent="0.25">
      <c r="A1955" s="2" t="s">
        <v>3144</v>
      </c>
      <c r="B1955" s="3">
        <v>42090</v>
      </c>
      <c r="C1955" s="3">
        <v>42095</v>
      </c>
      <c r="D1955" s="2" t="s">
        <v>55</v>
      </c>
      <c r="E1955" s="2" t="s">
        <v>924</v>
      </c>
      <c r="F1955" s="2" t="s">
        <v>925</v>
      </c>
      <c r="G1955" s="2" t="s">
        <v>58</v>
      </c>
      <c r="H1955" s="2" t="s">
        <v>25</v>
      </c>
      <c r="I1955" s="2" t="s">
        <v>825</v>
      </c>
      <c r="J1955" s="2" t="s">
        <v>753</v>
      </c>
      <c r="K1955" s="2" t="s">
        <v>147</v>
      </c>
      <c r="L1955" s="2" t="s">
        <v>73</v>
      </c>
      <c r="M1955" s="2" t="s">
        <v>30</v>
      </c>
      <c r="N1955" s="2" t="s">
        <v>42</v>
      </c>
      <c r="O1955" s="2" t="s">
        <v>74</v>
      </c>
      <c r="P1955" s="4">
        <v>250.51689999999999</v>
      </c>
      <c r="Q1955" s="4">
        <v>4</v>
      </c>
      <c r="R1955" s="4">
        <v>-48.844999999999999</v>
      </c>
      <c r="S1955" s="2" t="s">
        <v>85</v>
      </c>
      <c r="T1955" s="2" t="s">
        <v>44</v>
      </c>
    </row>
    <row r="1956" spans="1:20" x14ac:dyDescent="0.25">
      <c r="A1956" s="2" t="s">
        <v>3144</v>
      </c>
      <c r="B1956" s="3">
        <v>42090</v>
      </c>
      <c r="C1956" s="3">
        <v>42095</v>
      </c>
      <c r="D1956" s="2" t="s">
        <v>55</v>
      </c>
      <c r="E1956" s="2" t="s">
        <v>924</v>
      </c>
      <c r="F1956" s="2" t="s">
        <v>925</v>
      </c>
      <c r="G1956" s="2" t="s">
        <v>58</v>
      </c>
      <c r="H1956" s="2" t="s">
        <v>25</v>
      </c>
      <c r="I1956" s="2" t="s">
        <v>825</v>
      </c>
      <c r="J1956" s="2" t="s">
        <v>753</v>
      </c>
      <c r="K1956" s="2" t="s">
        <v>147</v>
      </c>
      <c r="L1956" s="2" t="s">
        <v>793</v>
      </c>
      <c r="M1956" s="2" t="s">
        <v>30</v>
      </c>
      <c r="N1956" s="2" t="s">
        <v>63</v>
      </c>
      <c r="O1956" s="2" t="s">
        <v>794</v>
      </c>
      <c r="P1956" s="4">
        <v>110.9158</v>
      </c>
      <c r="Q1956" s="4">
        <v>6</v>
      </c>
      <c r="R1956" s="4">
        <v>-36.893999999999998</v>
      </c>
      <c r="S1956" s="2" t="s">
        <v>85</v>
      </c>
      <c r="T1956" s="2" t="s">
        <v>44</v>
      </c>
    </row>
    <row r="1957" spans="1:20" x14ac:dyDescent="0.25">
      <c r="A1957" s="2" t="s">
        <v>3145</v>
      </c>
      <c r="B1957" s="3">
        <v>42764</v>
      </c>
      <c r="C1957" s="3">
        <v>42768</v>
      </c>
      <c r="D1957" s="2" t="s">
        <v>55</v>
      </c>
      <c r="E1957" s="2" t="s">
        <v>1719</v>
      </c>
      <c r="F1957" s="2" t="s">
        <v>1720</v>
      </c>
      <c r="G1957" s="2" t="s">
        <v>24</v>
      </c>
      <c r="H1957" s="2" t="s">
        <v>25</v>
      </c>
      <c r="I1957" s="2" t="s">
        <v>1366</v>
      </c>
      <c r="J1957" s="2" t="s">
        <v>244</v>
      </c>
      <c r="K1957" s="2" t="s">
        <v>61</v>
      </c>
      <c r="L1957" s="2" t="s">
        <v>453</v>
      </c>
      <c r="M1957" s="2" t="s">
        <v>30</v>
      </c>
      <c r="N1957" s="2" t="s">
        <v>42</v>
      </c>
      <c r="O1957" s="2" t="s">
        <v>454</v>
      </c>
      <c r="P1957" s="4">
        <v>218.81020000000001</v>
      </c>
      <c r="Q1957" s="4">
        <v>1</v>
      </c>
      <c r="R1957" s="4">
        <v>-39.398499999999999</v>
      </c>
      <c r="S1957" s="2" t="s">
        <v>75</v>
      </c>
      <c r="T1957" s="2" t="s">
        <v>115</v>
      </c>
    </row>
    <row r="1958" spans="1:20" x14ac:dyDescent="0.25">
      <c r="A1958" s="2" t="s">
        <v>3146</v>
      </c>
      <c r="B1958" s="3">
        <v>42583</v>
      </c>
      <c r="C1958" s="3">
        <v>42585</v>
      </c>
      <c r="D1958" s="2" t="s">
        <v>55</v>
      </c>
      <c r="E1958" s="2" t="s">
        <v>203</v>
      </c>
      <c r="F1958" s="2" t="s">
        <v>204</v>
      </c>
      <c r="G1958" s="2" t="s">
        <v>24</v>
      </c>
      <c r="H1958" s="2" t="s">
        <v>25</v>
      </c>
      <c r="I1958" s="2" t="s">
        <v>501</v>
      </c>
      <c r="J1958" s="2" t="s">
        <v>234</v>
      </c>
      <c r="K1958" s="2" t="s">
        <v>82</v>
      </c>
      <c r="L1958" s="2" t="s">
        <v>235</v>
      </c>
      <c r="M1958" s="2" t="s">
        <v>30</v>
      </c>
      <c r="N1958" s="2" t="s">
        <v>31</v>
      </c>
      <c r="O1958" s="2" t="s">
        <v>236</v>
      </c>
      <c r="P1958" s="4">
        <v>192.0196</v>
      </c>
      <c r="Q1958" s="4">
        <v>2</v>
      </c>
      <c r="R1958" s="4">
        <v>-82.212599999999995</v>
      </c>
      <c r="S1958" s="2" t="s">
        <v>53</v>
      </c>
      <c r="T1958" s="2" t="s">
        <v>34</v>
      </c>
    </row>
    <row r="1959" spans="1:20" x14ac:dyDescent="0.25">
      <c r="A1959" s="2" t="s">
        <v>3146</v>
      </c>
      <c r="B1959" s="3">
        <v>42583</v>
      </c>
      <c r="C1959" s="3">
        <v>42585</v>
      </c>
      <c r="D1959" s="2" t="s">
        <v>55</v>
      </c>
      <c r="E1959" s="2" t="s">
        <v>203</v>
      </c>
      <c r="F1959" s="2" t="s">
        <v>204</v>
      </c>
      <c r="G1959" s="2" t="s">
        <v>24</v>
      </c>
      <c r="H1959" s="2" t="s">
        <v>25</v>
      </c>
      <c r="I1959" s="2" t="s">
        <v>501</v>
      </c>
      <c r="J1959" s="2" t="s">
        <v>234</v>
      </c>
      <c r="K1959" s="2" t="s">
        <v>82</v>
      </c>
      <c r="L1959" s="2" t="s">
        <v>513</v>
      </c>
      <c r="M1959" s="2" t="s">
        <v>30</v>
      </c>
      <c r="N1959" s="2" t="s">
        <v>63</v>
      </c>
      <c r="O1959" s="2" t="s">
        <v>514</v>
      </c>
      <c r="P1959" s="4">
        <v>227.4556</v>
      </c>
      <c r="Q1959" s="4">
        <v>3</v>
      </c>
      <c r="R1959" s="4">
        <v>-56.987900000000003</v>
      </c>
      <c r="S1959" s="2" t="s">
        <v>53</v>
      </c>
      <c r="T1959" s="2" t="s">
        <v>34</v>
      </c>
    </row>
    <row r="1960" spans="1:20" x14ac:dyDescent="0.25">
      <c r="A1960" s="2" t="s">
        <v>3147</v>
      </c>
      <c r="B1960" s="3">
        <v>42481</v>
      </c>
      <c r="C1960" s="3">
        <v>42487</v>
      </c>
      <c r="D1960" s="2" t="s">
        <v>55</v>
      </c>
      <c r="E1960" s="2" t="s">
        <v>564</v>
      </c>
      <c r="F1960" s="2" t="s">
        <v>565</v>
      </c>
      <c r="G1960" s="2" t="s">
        <v>58</v>
      </c>
      <c r="H1960" s="2" t="s">
        <v>25</v>
      </c>
      <c r="I1960" s="2" t="s">
        <v>449</v>
      </c>
      <c r="J1960" s="2" t="s">
        <v>98</v>
      </c>
      <c r="K1960" s="2" t="s">
        <v>82</v>
      </c>
      <c r="L1960" s="2" t="s">
        <v>228</v>
      </c>
      <c r="M1960" s="2" t="s">
        <v>30</v>
      </c>
      <c r="N1960" s="2" t="s">
        <v>42</v>
      </c>
      <c r="O1960" s="2" t="s">
        <v>229</v>
      </c>
      <c r="P1960" s="4">
        <v>112.0223</v>
      </c>
      <c r="Q1960" s="4">
        <v>4</v>
      </c>
      <c r="R1960" s="4">
        <v>34.4161</v>
      </c>
      <c r="S1960" s="2" t="s">
        <v>65</v>
      </c>
      <c r="T1960" s="2" t="s">
        <v>108</v>
      </c>
    </row>
    <row r="1961" spans="1:20" x14ac:dyDescent="0.25">
      <c r="A1961" s="2" t="s">
        <v>3148</v>
      </c>
      <c r="B1961" s="3">
        <v>42039</v>
      </c>
      <c r="C1961" s="3">
        <v>42041</v>
      </c>
      <c r="D1961" s="2" t="s">
        <v>48</v>
      </c>
      <c r="E1961" s="2" t="s">
        <v>2700</v>
      </c>
      <c r="F1961" s="2" t="s">
        <v>2701</v>
      </c>
      <c r="G1961" s="2" t="s">
        <v>58</v>
      </c>
      <c r="H1961" s="2" t="s">
        <v>25</v>
      </c>
      <c r="I1961" s="2" t="s">
        <v>695</v>
      </c>
      <c r="J1961" s="2" t="s">
        <v>180</v>
      </c>
      <c r="K1961" s="2" t="s">
        <v>147</v>
      </c>
      <c r="L1961" s="2" t="s">
        <v>66</v>
      </c>
      <c r="M1961" s="2" t="s">
        <v>30</v>
      </c>
      <c r="N1961" s="2" t="s">
        <v>31</v>
      </c>
      <c r="O1961" s="2" t="s">
        <v>67</v>
      </c>
      <c r="P1961" s="4">
        <v>46.906700000000001</v>
      </c>
      <c r="Q1961" s="4">
        <v>8</v>
      </c>
      <c r="R1961" s="4">
        <v>7.0347</v>
      </c>
      <c r="S1961" s="2" t="s">
        <v>53</v>
      </c>
      <c r="T1961" s="2" t="s">
        <v>101</v>
      </c>
    </row>
    <row r="1962" spans="1:20" x14ac:dyDescent="0.25">
      <c r="A1962" s="2" t="s">
        <v>3149</v>
      </c>
      <c r="B1962" s="3">
        <v>42739</v>
      </c>
      <c r="C1962" s="3">
        <v>42739</v>
      </c>
      <c r="D1962" s="2" t="s">
        <v>55</v>
      </c>
      <c r="E1962" s="2" t="s">
        <v>3150</v>
      </c>
      <c r="F1962" s="2" t="s">
        <v>3151</v>
      </c>
      <c r="G1962" s="2" t="s">
        <v>24</v>
      </c>
      <c r="H1962" s="2" t="s">
        <v>25</v>
      </c>
      <c r="I1962" s="2" t="s">
        <v>243</v>
      </c>
      <c r="J1962" s="2" t="s">
        <v>244</v>
      </c>
      <c r="K1962" s="2" t="s">
        <v>61</v>
      </c>
      <c r="L1962" s="2" t="s">
        <v>66</v>
      </c>
      <c r="M1962" s="2" t="s">
        <v>30</v>
      </c>
      <c r="N1962" s="2" t="s">
        <v>31</v>
      </c>
      <c r="O1962" s="2" t="s">
        <v>67</v>
      </c>
      <c r="P1962" s="4">
        <v>139.73349999999999</v>
      </c>
      <c r="Q1962" s="4">
        <v>2</v>
      </c>
      <c r="R1962" s="4">
        <v>-70.864599999999996</v>
      </c>
      <c r="S1962" s="2" t="s">
        <v>121</v>
      </c>
      <c r="T1962" s="2" t="s">
        <v>115</v>
      </c>
    </row>
    <row r="1963" spans="1:20" x14ac:dyDescent="0.25">
      <c r="A1963" s="2" t="s">
        <v>3152</v>
      </c>
      <c r="B1963" s="3">
        <v>43037</v>
      </c>
      <c r="C1963" s="3">
        <v>43038</v>
      </c>
      <c r="D1963" s="2" t="s">
        <v>21</v>
      </c>
      <c r="E1963" s="2" t="s">
        <v>554</v>
      </c>
      <c r="F1963" s="2" t="s">
        <v>555</v>
      </c>
      <c r="G1963" s="2" t="s">
        <v>58</v>
      </c>
      <c r="H1963" s="2" t="s">
        <v>25</v>
      </c>
      <c r="I1963" s="2" t="s">
        <v>773</v>
      </c>
      <c r="J1963" s="2" t="s">
        <v>322</v>
      </c>
      <c r="K1963" s="2" t="s">
        <v>28</v>
      </c>
      <c r="L1963" s="2" t="s">
        <v>328</v>
      </c>
      <c r="M1963" s="2" t="s">
        <v>30</v>
      </c>
      <c r="N1963" s="2" t="s">
        <v>63</v>
      </c>
      <c r="O1963" s="2" t="s">
        <v>329</v>
      </c>
      <c r="P1963" s="4">
        <v>250.24619999999999</v>
      </c>
      <c r="Q1963" s="4">
        <v>4</v>
      </c>
      <c r="R1963" s="4">
        <v>-36.357900000000001</v>
      </c>
      <c r="S1963" s="2" t="s">
        <v>33</v>
      </c>
      <c r="T1963" s="2" t="s">
        <v>224</v>
      </c>
    </row>
    <row r="1964" spans="1:20" x14ac:dyDescent="0.25">
      <c r="A1964" s="2" t="s">
        <v>3153</v>
      </c>
      <c r="B1964" s="3">
        <v>42104</v>
      </c>
      <c r="C1964" s="3">
        <v>42104</v>
      </c>
      <c r="D1964" s="2" t="s">
        <v>48</v>
      </c>
      <c r="E1964" s="2" t="s">
        <v>3154</v>
      </c>
      <c r="F1964" s="2" t="s">
        <v>3155</v>
      </c>
      <c r="G1964" s="2" t="s">
        <v>38</v>
      </c>
      <c r="H1964" s="2" t="s">
        <v>25</v>
      </c>
      <c r="I1964" s="2" t="s">
        <v>212</v>
      </c>
      <c r="J1964" s="2" t="s">
        <v>185</v>
      </c>
      <c r="K1964" s="2" t="s">
        <v>147</v>
      </c>
      <c r="L1964" s="2" t="s">
        <v>245</v>
      </c>
      <c r="M1964" s="2" t="s">
        <v>30</v>
      </c>
      <c r="N1964" s="2" t="s">
        <v>42</v>
      </c>
      <c r="O1964" s="2" t="s">
        <v>246</v>
      </c>
      <c r="P1964" s="4">
        <v>629.30259999999998</v>
      </c>
      <c r="Q1964" s="4">
        <v>5</v>
      </c>
      <c r="R1964" s="4">
        <v>-205.9341</v>
      </c>
      <c r="S1964" s="2" t="s">
        <v>121</v>
      </c>
      <c r="T1964" s="2" t="s">
        <v>108</v>
      </c>
    </row>
    <row r="1965" spans="1:20" x14ac:dyDescent="0.25">
      <c r="A1965" s="2" t="s">
        <v>3156</v>
      </c>
      <c r="B1965" s="3">
        <v>42358</v>
      </c>
      <c r="C1965" s="3">
        <v>42359</v>
      </c>
      <c r="D1965" s="2" t="s">
        <v>21</v>
      </c>
      <c r="E1965" s="2" t="s">
        <v>1551</v>
      </c>
      <c r="F1965" s="2" t="s">
        <v>1552</v>
      </c>
      <c r="G1965" s="2" t="s">
        <v>38</v>
      </c>
      <c r="H1965" s="2" t="s">
        <v>25</v>
      </c>
      <c r="I1965" s="2" t="s">
        <v>474</v>
      </c>
      <c r="J1965" s="2" t="s">
        <v>475</v>
      </c>
      <c r="K1965" s="2" t="s">
        <v>28</v>
      </c>
      <c r="L1965" s="2" t="s">
        <v>66</v>
      </c>
      <c r="M1965" s="2" t="s">
        <v>30</v>
      </c>
      <c r="N1965" s="2" t="s">
        <v>31</v>
      </c>
      <c r="O1965" s="2" t="s">
        <v>67</v>
      </c>
      <c r="P1965" s="4">
        <v>68.719899999999996</v>
      </c>
      <c r="Q1965" s="4">
        <v>5</v>
      </c>
      <c r="R1965" s="4">
        <v>10.2224</v>
      </c>
      <c r="S1965" s="2" t="s">
        <v>33</v>
      </c>
      <c r="T1965" s="2" t="s">
        <v>76</v>
      </c>
    </row>
    <row r="1966" spans="1:20" x14ac:dyDescent="0.25">
      <c r="A1966" s="2" t="s">
        <v>3157</v>
      </c>
      <c r="B1966" s="3">
        <v>42144</v>
      </c>
      <c r="C1966" s="3">
        <v>42147</v>
      </c>
      <c r="D1966" s="2" t="s">
        <v>55</v>
      </c>
      <c r="E1966" s="2" t="s">
        <v>1919</v>
      </c>
      <c r="F1966" s="2" t="s">
        <v>1920</v>
      </c>
      <c r="G1966" s="2" t="s">
        <v>38</v>
      </c>
      <c r="H1966" s="2" t="s">
        <v>25</v>
      </c>
      <c r="I1966" s="2" t="s">
        <v>159</v>
      </c>
      <c r="J1966" s="2" t="s">
        <v>160</v>
      </c>
      <c r="K1966" s="2" t="s">
        <v>61</v>
      </c>
      <c r="L1966" s="2" t="s">
        <v>154</v>
      </c>
      <c r="M1966" s="2" t="s">
        <v>30</v>
      </c>
      <c r="N1966" s="2" t="s">
        <v>42</v>
      </c>
      <c r="O1966" s="2" t="s">
        <v>155</v>
      </c>
      <c r="P1966" s="4">
        <v>53.118200000000002</v>
      </c>
      <c r="Q1966" s="4">
        <v>3</v>
      </c>
      <c r="R1966" s="4">
        <v>-1.0432999999999999</v>
      </c>
      <c r="S1966" s="2" t="s">
        <v>92</v>
      </c>
      <c r="T1966" s="2" t="s">
        <v>122</v>
      </c>
    </row>
    <row r="1967" spans="1:20" x14ac:dyDescent="0.25">
      <c r="A1967" s="2" t="s">
        <v>3158</v>
      </c>
      <c r="B1967" s="3">
        <v>42546</v>
      </c>
      <c r="C1967" s="3">
        <v>42553</v>
      </c>
      <c r="D1967" s="2" t="s">
        <v>55</v>
      </c>
      <c r="E1967" s="2" t="s">
        <v>1060</v>
      </c>
      <c r="F1967" s="2" t="s">
        <v>1061</v>
      </c>
      <c r="G1967" s="2" t="s">
        <v>58</v>
      </c>
      <c r="H1967" s="2" t="s">
        <v>25</v>
      </c>
      <c r="I1967" s="2" t="s">
        <v>605</v>
      </c>
      <c r="J1967" s="2" t="s">
        <v>424</v>
      </c>
      <c r="K1967" s="2" t="s">
        <v>28</v>
      </c>
      <c r="L1967" s="2" t="s">
        <v>207</v>
      </c>
      <c r="M1967" s="2" t="s">
        <v>30</v>
      </c>
      <c r="N1967" s="2" t="s">
        <v>31</v>
      </c>
      <c r="O1967" s="2" t="s">
        <v>208</v>
      </c>
      <c r="P1967" s="4">
        <v>29.48</v>
      </c>
      <c r="Q1967" s="4">
        <v>9</v>
      </c>
      <c r="R1967" s="4">
        <v>9.1166999999999998</v>
      </c>
      <c r="S1967" s="2" t="s">
        <v>107</v>
      </c>
      <c r="T1967" s="2" t="s">
        <v>133</v>
      </c>
    </row>
    <row r="1968" spans="1:20" x14ac:dyDescent="0.25">
      <c r="A1968" s="2" t="s">
        <v>3159</v>
      </c>
      <c r="B1968" s="3">
        <v>42365</v>
      </c>
      <c r="C1968" s="3">
        <v>42365</v>
      </c>
      <c r="D1968" s="2" t="s">
        <v>55</v>
      </c>
      <c r="E1968" s="2" t="s">
        <v>525</v>
      </c>
      <c r="F1968" s="2" t="s">
        <v>526</v>
      </c>
      <c r="G1968" s="2" t="s">
        <v>58</v>
      </c>
      <c r="H1968" s="2" t="s">
        <v>25</v>
      </c>
      <c r="I1968" s="2" t="s">
        <v>856</v>
      </c>
      <c r="J1968" s="2" t="s">
        <v>127</v>
      </c>
      <c r="K1968" s="2" t="s">
        <v>82</v>
      </c>
      <c r="L1968" s="2" t="s">
        <v>839</v>
      </c>
      <c r="M1968" s="2" t="s">
        <v>30</v>
      </c>
      <c r="N1968" s="2" t="s">
        <v>63</v>
      </c>
      <c r="O1968" s="2" t="s">
        <v>840</v>
      </c>
      <c r="P1968" s="4">
        <v>286.18700000000001</v>
      </c>
      <c r="Q1968" s="4">
        <v>3</v>
      </c>
      <c r="R1968" s="4">
        <v>-145.35380000000001</v>
      </c>
      <c r="S1968" s="2" t="s">
        <v>121</v>
      </c>
      <c r="T1968" s="2" t="s">
        <v>76</v>
      </c>
    </row>
    <row r="1969" spans="1:20" x14ac:dyDescent="0.25">
      <c r="A1969" s="2" t="s">
        <v>3160</v>
      </c>
      <c r="B1969" s="3">
        <v>42768</v>
      </c>
      <c r="C1969" s="3">
        <v>42768</v>
      </c>
      <c r="D1969" s="2" t="s">
        <v>21</v>
      </c>
      <c r="E1969" s="2" t="s">
        <v>550</v>
      </c>
      <c r="F1969" s="2" t="s">
        <v>551</v>
      </c>
      <c r="G1969" s="2" t="s">
        <v>38</v>
      </c>
      <c r="H1969" s="2" t="s">
        <v>25</v>
      </c>
      <c r="I1969" s="2" t="s">
        <v>445</v>
      </c>
      <c r="J1969" s="2" t="s">
        <v>138</v>
      </c>
      <c r="K1969" s="2" t="s">
        <v>82</v>
      </c>
      <c r="L1969" s="2" t="s">
        <v>207</v>
      </c>
      <c r="M1969" s="2" t="s">
        <v>30</v>
      </c>
      <c r="N1969" s="2" t="s">
        <v>31</v>
      </c>
      <c r="O1969" s="2" t="s">
        <v>208</v>
      </c>
      <c r="P1969" s="4">
        <v>119.703</v>
      </c>
      <c r="Q1969" s="4">
        <v>3</v>
      </c>
      <c r="R1969" s="4">
        <v>-14.266999999999999</v>
      </c>
      <c r="S1969" s="2" t="s">
        <v>121</v>
      </c>
      <c r="T1969" s="2" t="s">
        <v>101</v>
      </c>
    </row>
    <row r="1970" spans="1:20" x14ac:dyDescent="0.25">
      <c r="A1970" s="2" t="s">
        <v>3161</v>
      </c>
      <c r="B1970" s="3">
        <v>42420</v>
      </c>
      <c r="C1970" s="3">
        <v>42423</v>
      </c>
      <c r="D1970" s="2" t="s">
        <v>55</v>
      </c>
      <c r="E1970" s="2" t="s">
        <v>3162</v>
      </c>
      <c r="F1970" s="2" t="s">
        <v>3163</v>
      </c>
      <c r="G1970" s="2" t="s">
        <v>58</v>
      </c>
      <c r="H1970" s="2" t="s">
        <v>25</v>
      </c>
      <c r="I1970" s="2" t="s">
        <v>343</v>
      </c>
      <c r="J1970" s="2" t="s">
        <v>153</v>
      </c>
      <c r="K1970" s="2" t="s">
        <v>147</v>
      </c>
      <c r="L1970" s="2" t="s">
        <v>113</v>
      </c>
      <c r="M1970" s="2" t="s">
        <v>30</v>
      </c>
      <c r="N1970" s="2" t="s">
        <v>31</v>
      </c>
      <c r="O1970" s="2" t="s">
        <v>114</v>
      </c>
      <c r="P1970" s="4">
        <v>47.873600000000003</v>
      </c>
      <c r="Q1970" s="4">
        <v>1</v>
      </c>
      <c r="R1970" s="4">
        <v>18.117100000000001</v>
      </c>
      <c r="S1970" s="2" t="s">
        <v>92</v>
      </c>
      <c r="T1970" s="2" t="s">
        <v>101</v>
      </c>
    </row>
    <row r="1971" spans="1:20" x14ac:dyDescent="0.25">
      <c r="A1971" s="2" t="s">
        <v>3161</v>
      </c>
      <c r="B1971" s="3">
        <v>42420</v>
      </c>
      <c r="C1971" s="3">
        <v>42423</v>
      </c>
      <c r="D1971" s="2" t="s">
        <v>55</v>
      </c>
      <c r="E1971" s="2" t="s">
        <v>3162</v>
      </c>
      <c r="F1971" s="2" t="s">
        <v>3163</v>
      </c>
      <c r="G1971" s="2" t="s">
        <v>58</v>
      </c>
      <c r="H1971" s="2" t="s">
        <v>25</v>
      </c>
      <c r="I1971" s="2" t="s">
        <v>343</v>
      </c>
      <c r="J1971" s="2" t="s">
        <v>153</v>
      </c>
      <c r="K1971" s="2" t="s">
        <v>147</v>
      </c>
      <c r="L1971" s="2" t="s">
        <v>323</v>
      </c>
      <c r="M1971" s="2" t="s">
        <v>30</v>
      </c>
      <c r="N1971" s="2" t="s">
        <v>31</v>
      </c>
      <c r="O1971" s="2" t="s">
        <v>324</v>
      </c>
      <c r="P1971" s="4">
        <v>357.58100000000002</v>
      </c>
      <c r="Q1971" s="4">
        <v>10</v>
      </c>
      <c r="R1971" s="4">
        <v>149.8835</v>
      </c>
      <c r="S1971" s="2" t="s">
        <v>92</v>
      </c>
      <c r="T1971" s="2" t="s">
        <v>101</v>
      </c>
    </row>
    <row r="1972" spans="1:20" x14ac:dyDescent="0.25">
      <c r="A1972" s="2" t="s">
        <v>3164</v>
      </c>
      <c r="B1972" s="3">
        <v>43086</v>
      </c>
      <c r="C1972" s="3">
        <v>43089</v>
      </c>
      <c r="D1972" s="2" t="s">
        <v>21</v>
      </c>
      <c r="E1972" s="2" t="s">
        <v>1040</v>
      </c>
      <c r="F1972" s="2" t="s">
        <v>1041</v>
      </c>
      <c r="G1972" s="2" t="s">
        <v>38</v>
      </c>
      <c r="H1972" s="2" t="s">
        <v>25</v>
      </c>
      <c r="I1972" s="2" t="s">
        <v>288</v>
      </c>
      <c r="J1972" s="2" t="s">
        <v>289</v>
      </c>
      <c r="K1972" s="2" t="s">
        <v>82</v>
      </c>
      <c r="L1972" s="2" t="s">
        <v>169</v>
      </c>
      <c r="M1972" s="2" t="s">
        <v>30</v>
      </c>
      <c r="N1972" s="2" t="s">
        <v>162</v>
      </c>
      <c r="O1972" s="2" t="s">
        <v>170</v>
      </c>
      <c r="P1972" s="4">
        <v>1540.2427</v>
      </c>
      <c r="Q1972" s="4">
        <v>3</v>
      </c>
      <c r="R1972" s="4">
        <v>-847.10350000000005</v>
      </c>
      <c r="S1972" s="2" t="s">
        <v>92</v>
      </c>
      <c r="T1972" s="2" t="s">
        <v>76</v>
      </c>
    </row>
    <row r="1973" spans="1:20" x14ac:dyDescent="0.25">
      <c r="A1973" s="2" t="s">
        <v>3165</v>
      </c>
      <c r="B1973" s="3">
        <v>41908</v>
      </c>
      <c r="C1973" s="3">
        <v>41910</v>
      </c>
      <c r="D1973" s="2" t="s">
        <v>55</v>
      </c>
      <c r="E1973" s="2" t="s">
        <v>1898</v>
      </c>
      <c r="F1973" s="2" t="s">
        <v>1899</v>
      </c>
      <c r="G1973" s="2" t="s">
        <v>24</v>
      </c>
      <c r="H1973" s="2" t="s">
        <v>25</v>
      </c>
      <c r="I1973" s="2" t="s">
        <v>474</v>
      </c>
      <c r="J1973" s="2" t="s">
        <v>475</v>
      </c>
      <c r="K1973" s="2" t="s">
        <v>28</v>
      </c>
      <c r="L1973" s="2" t="s">
        <v>161</v>
      </c>
      <c r="M1973" s="2" t="s">
        <v>30</v>
      </c>
      <c r="N1973" s="2" t="s">
        <v>162</v>
      </c>
      <c r="O1973" s="2" t="s">
        <v>163</v>
      </c>
      <c r="P1973" s="4">
        <v>69.923000000000002</v>
      </c>
      <c r="Q1973" s="4">
        <v>5</v>
      </c>
      <c r="R1973" s="4">
        <v>8.5115999999999996</v>
      </c>
      <c r="S1973" s="2" t="s">
        <v>53</v>
      </c>
      <c r="T1973" s="2" t="s">
        <v>148</v>
      </c>
    </row>
    <row r="1974" spans="1:20" x14ac:dyDescent="0.25">
      <c r="A1974" s="2" t="s">
        <v>3165</v>
      </c>
      <c r="B1974" s="3">
        <v>41908</v>
      </c>
      <c r="C1974" s="3">
        <v>41910</v>
      </c>
      <c r="D1974" s="2" t="s">
        <v>55</v>
      </c>
      <c r="E1974" s="2" t="s">
        <v>1898</v>
      </c>
      <c r="F1974" s="2" t="s">
        <v>1899</v>
      </c>
      <c r="G1974" s="2" t="s">
        <v>24</v>
      </c>
      <c r="H1974" s="2" t="s">
        <v>25</v>
      </c>
      <c r="I1974" s="2" t="s">
        <v>474</v>
      </c>
      <c r="J1974" s="2" t="s">
        <v>475</v>
      </c>
      <c r="K1974" s="2" t="s">
        <v>28</v>
      </c>
      <c r="L1974" s="2" t="s">
        <v>899</v>
      </c>
      <c r="M1974" s="2" t="s">
        <v>30</v>
      </c>
      <c r="N1974" s="2" t="s">
        <v>63</v>
      </c>
      <c r="O1974" s="2" t="s">
        <v>900</v>
      </c>
      <c r="P1974" s="4">
        <v>362.68599999999998</v>
      </c>
      <c r="Q1974" s="4">
        <v>2</v>
      </c>
      <c r="R1974" s="4">
        <v>14.665699999999999</v>
      </c>
      <c r="S1974" s="2" t="s">
        <v>53</v>
      </c>
      <c r="T1974" s="2" t="s">
        <v>148</v>
      </c>
    </row>
    <row r="1975" spans="1:20" x14ac:dyDescent="0.25">
      <c r="A1975" s="2" t="s">
        <v>3166</v>
      </c>
      <c r="B1975" s="3">
        <v>42238</v>
      </c>
      <c r="C1975" s="3">
        <v>42243</v>
      </c>
      <c r="D1975" s="2" t="s">
        <v>55</v>
      </c>
      <c r="E1975" s="2" t="s">
        <v>1538</v>
      </c>
      <c r="F1975" s="2" t="s">
        <v>1539</v>
      </c>
      <c r="G1975" s="2" t="s">
        <v>58</v>
      </c>
      <c r="H1975" s="2" t="s">
        <v>25</v>
      </c>
      <c r="I1975" s="2" t="s">
        <v>474</v>
      </c>
      <c r="J1975" s="2" t="s">
        <v>475</v>
      </c>
      <c r="K1975" s="2" t="s">
        <v>28</v>
      </c>
      <c r="L1975" s="2" t="s">
        <v>344</v>
      </c>
      <c r="M1975" s="2" t="s">
        <v>30</v>
      </c>
      <c r="N1975" s="2" t="s">
        <v>42</v>
      </c>
      <c r="O1975" s="2" t="s">
        <v>345</v>
      </c>
      <c r="P1975" s="4">
        <v>880.03229999999996</v>
      </c>
      <c r="Q1975" s="4">
        <v>2</v>
      </c>
      <c r="R1975" s="4">
        <v>552.85360000000003</v>
      </c>
      <c r="S1975" s="2" t="s">
        <v>85</v>
      </c>
      <c r="T1975" s="2" t="s">
        <v>34</v>
      </c>
    </row>
    <row r="1976" spans="1:20" x14ac:dyDescent="0.25">
      <c r="A1976" s="2" t="s">
        <v>3167</v>
      </c>
      <c r="B1976" s="3">
        <v>42331</v>
      </c>
      <c r="C1976" s="3">
        <v>42331</v>
      </c>
      <c r="D1976" s="2" t="s">
        <v>48</v>
      </c>
      <c r="E1976" s="2" t="s">
        <v>1237</v>
      </c>
      <c r="F1976" s="2" t="s">
        <v>1238</v>
      </c>
      <c r="G1976" s="2" t="s">
        <v>38</v>
      </c>
      <c r="H1976" s="2" t="s">
        <v>25</v>
      </c>
      <c r="I1976" s="2" t="s">
        <v>216</v>
      </c>
      <c r="J1976" s="2" t="s">
        <v>217</v>
      </c>
      <c r="K1976" s="2" t="s">
        <v>82</v>
      </c>
      <c r="L1976" s="2" t="s">
        <v>113</v>
      </c>
      <c r="M1976" s="2" t="s">
        <v>30</v>
      </c>
      <c r="N1976" s="2" t="s">
        <v>31</v>
      </c>
      <c r="O1976" s="2" t="s">
        <v>114</v>
      </c>
      <c r="P1976" s="4">
        <v>19.448599999999999</v>
      </c>
      <c r="Q1976" s="4">
        <v>1</v>
      </c>
      <c r="R1976" s="4">
        <v>4.9305000000000003</v>
      </c>
      <c r="S1976" s="2" t="s">
        <v>121</v>
      </c>
      <c r="T1976" s="2" t="s">
        <v>93</v>
      </c>
    </row>
    <row r="1977" spans="1:20" x14ac:dyDescent="0.25">
      <c r="A1977" s="2" t="s">
        <v>3168</v>
      </c>
      <c r="B1977" s="3">
        <v>41753</v>
      </c>
      <c r="C1977" s="3">
        <v>41753</v>
      </c>
      <c r="D1977" s="2" t="s">
        <v>48</v>
      </c>
      <c r="E1977" s="2" t="s">
        <v>2630</v>
      </c>
      <c r="F1977" s="2" t="s">
        <v>2631</v>
      </c>
      <c r="G1977" s="2" t="s">
        <v>38</v>
      </c>
      <c r="H1977" s="2" t="s">
        <v>25</v>
      </c>
      <c r="I1977" s="2" t="s">
        <v>394</v>
      </c>
      <c r="J1977" s="2" t="s">
        <v>289</v>
      </c>
      <c r="K1977" s="2" t="s">
        <v>82</v>
      </c>
      <c r="L1977" s="2" t="s">
        <v>453</v>
      </c>
      <c r="M1977" s="2" t="s">
        <v>30</v>
      </c>
      <c r="N1977" s="2" t="s">
        <v>42</v>
      </c>
      <c r="O1977" s="2" t="s">
        <v>454</v>
      </c>
      <c r="P1977" s="4">
        <v>256.25540000000001</v>
      </c>
      <c r="Q1977" s="4">
        <v>1</v>
      </c>
      <c r="R1977" s="4">
        <v>18.4741</v>
      </c>
      <c r="S1977" s="2" t="s">
        <v>121</v>
      </c>
      <c r="T1977" s="2" t="s">
        <v>108</v>
      </c>
    </row>
    <row r="1978" spans="1:20" x14ac:dyDescent="0.25">
      <c r="A1978" s="2" t="s">
        <v>3169</v>
      </c>
      <c r="B1978" s="3">
        <v>42264</v>
      </c>
      <c r="C1978" s="3">
        <v>42270</v>
      </c>
      <c r="D1978" s="2" t="s">
        <v>55</v>
      </c>
      <c r="E1978" s="2" t="s">
        <v>1949</v>
      </c>
      <c r="F1978" s="2" t="s">
        <v>1950</v>
      </c>
      <c r="G1978" s="2" t="s">
        <v>38</v>
      </c>
      <c r="H1978" s="2" t="s">
        <v>25</v>
      </c>
      <c r="I1978" s="2" t="s">
        <v>566</v>
      </c>
      <c r="J1978" s="2" t="s">
        <v>424</v>
      </c>
      <c r="K1978" s="2" t="s">
        <v>28</v>
      </c>
      <c r="L1978" s="2" t="s">
        <v>113</v>
      </c>
      <c r="M1978" s="2" t="s">
        <v>30</v>
      </c>
      <c r="N1978" s="2" t="s">
        <v>31</v>
      </c>
      <c r="O1978" s="2" t="s">
        <v>114</v>
      </c>
      <c r="P1978" s="4">
        <v>29.439399999999999</v>
      </c>
      <c r="Q1978" s="4">
        <v>7</v>
      </c>
      <c r="R1978" s="4">
        <v>15.802099999999999</v>
      </c>
      <c r="S1978" s="2" t="s">
        <v>65</v>
      </c>
      <c r="T1978" s="2" t="s">
        <v>148</v>
      </c>
    </row>
    <row r="1979" spans="1:20" x14ac:dyDescent="0.25">
      <c r="A1979" s="2" t="s">
        <v>3170</v>
      </c>
      <c r="B1979" s="3">
        <v>42227</v>
      </c>
      <c r="C1979" s="3">
        <v>42232</v>
      </c>
      <c r="D1979" s="2" t="s">
        <v>55</v>
      </c>
      <c r="E1979" s="2" t="s">
        <v>2669</v>
      </c>
      <c r="F1979" s="2" t="s">
        <v>2670</v>
      </c>
      <c r="G1979" s="2" t="s">
        <v>38</v>
      </c>
      <c r="H1979" s="2" t="s">
        <v>25</v>
      </c>
      <c r="I1979" s="2" t="s">
        <v>699</v>
      </c>
      <c r="J1979" s="2" t="s">
        <v>339</v>
      </c>
      <c r="K1979" s="2" t="s">
        <v>82</v>
      </c>
      <c r="L1979" s="2" t="s">
        <v>174</v>
      </c>
      <c r="M1979" s="2" t="s">
        <v>30</v>
      </c>
      <c r="N1979" s="2" t="s">
        <v>31</v>
      </c>
      <c r="O1979" s="2" t="s">
        <v>175</v>
      </c>
      <c r="P1979" s="4">
        <v>52.798900000000003</v>
      </c>
      <c r="Q1979" s="4">
        <v>2</v>
      </c>
      <c r="R1979" s="4">
        <v>26.248699999999999</v>
      </c>
      <c r="S1979" s="2" t="s">
        <v>85</v>
      </c>
      <c r="T1979" s="2" t="s">
        <v>34</v>
      </c>
    </row>
    <row r="1980" spans="1:20" x14ac:dyDescent="0.25">
      <c r="A1980" s="2" t="s">
        <v>3171</v>
      </c>
      <c r="B1980" s="3">
        <v>42380</v>
      </c>
      <c r="C1980" s="3">
        <v>42381</v>
      </c>
      <c r="D1980" s="2" t="s">
        <v>55</v>
      </c>
      <c r="E1980" s="2" t="s">
        <v>2687</v>
      </c>
      <c r="F1980" s="2" t="s">
        <v>2688</v>
      </c>
      <c r="G1980" s="2" t="s">
        <v>38</v>
      </c>
      <c r="H1980" s="2" t="s">
        <v>25</v>
      </c>
      <c r="I1980" s="2" t="s">
        <v>649</v>
      </c>
      <c r="J1980" s="2" t="s">
        <v>279</v>
      </c>
      <c r="K1980" s="2" t="s">
        <v>28</v>
      </c>
      <c r="L1980" s="2" t="s">
        <v>252</v>
      </c>
      <c r="M1980" s="2" t="s">
        <v>30</v>
      </c>
      <c r="N1980" s="2" t="s">
        <v>31</v>
      </c>
      <c r="O1980" s="2" t="s">
        <v>253</v>
      </c>
      <c r="P1980" s="4">
        <v>73.281300000000002</v>
      </c>
      <c r="Q1980" s="4">
        <v>4</v>
      </c>
      <c r="R1980" s="4">
        <v>0.13070000000000001</v>
      </c>
      <c r="S1980" s="2" t="s">
        <v>33</v>
      </c>
      <c r="T1980" s="2" t="s">
        <v>115</v>
      </c>
    </row>
    <row r="1981" spans="1:20" x14ac:dyDescent="0.25">
      <c r="A1981" s="2" t="s">
        <v>3172</v>
      </c>
      <c r="B1981" s="3">
        <v>41798</v>
      </c>
      <c r="C1981" s="3">
        <v>41804</v>
      </c>
      <c r="D1981" s="2" t="s">
        <v>55</v>
      </c>
      <c r="E1981" s="2" t="s">
        <v>2422</v>
      </c>
      <c r="F1981" s="2" t="s">
        <v>2423</v>
      </c>
      <c r="G1981" s="2" t="s">
        <v>58</v>
      </c>
      <c r="H1981" s="2" t="s">
        <v>25</v>
      </c>
      <c r="I1981" s="2" t="s">
        <v>145</v>
      </c>
      <c r="J1981" s="2" t="s">
        <v>146</v>
      </c>
      <c r="K1981" s="2" t="s">
        <v>147</v>
      </c>
      <c r="L1981" s="2" t="s">
        <v>245</v>
      </c>
      <c r="M1981" s="2" t="s">
        <v>30</v>
      </c>
      <c r="N1981" s="2" t="s">
        <v>42</v>
      </c>
      <c r="O1981" s="2" t="s">
        <v>246</v>
      </c>
      <c r="P1981" s="4">
        <v>100.8395</v>
      </c>
      <c r="Q1981" s="4">
        <v>1</v>
      </c>
      <c r="R1981" s="4">
        <v>7.9039000000000001</v>
      </c>
      <c r="S1981" s="2" t="s">
        <v>65</v>
      </c>
      <c r="T1981" s="2" t="s">
        <v>133</v>
      </c>
    </row>
    <row r="1982" spans="1:20" x14ac:dyDescent="0.25">
      <c r="A1982" s="2" t="s">
        <v>3173</v>
      </c>
      <c r="B1982" s="3">
        <v>42563</v>
      </c>
      <c r="C1982" s="3">
        <v>42563</v>
      </c>
      <c r="D1982" s="2" t="s">
        <v>48</v>
      </c>
      <c r="E1982" s="2" t="s">
        <v>1241</v>
      </c>
      <c r="F1982" s="2" t="s">
        <v>1242</v>
      </c>
      <c r="G1982" s="2" t="s">
        <v>38</v>
      </c>
      <c r="H1982" s="2" t="s">
        <v>25</v>
      </c>
      <c r="I1982" s="2" t="s">
        <v>212</v>
      </c>
      <c r="J1982" s="2" t="s">
        <v>185</v>
      </c>
      <c r="K1982" s="2" t="s">
        <v>147</v>
      </c>
      <c r="L1982" s="2" t="s">
        <v>677</v>
      </c>
      <c r="M1982" s="2" t="s">
        <v>30</v>
      </c>
      <c r="N1982" s="2" t="s">
        <v>162</v>
      </c>
      <c r="O1982" s="2" t="s">
        <v>678</v>
      </c>
      <c r="P1982" s="4">
        <v>1041.7925</v>
      </c>
      <c r="Q1982" s="4">
        <v>3</v>
      </c>
      <c r="R1982" s="4">
        <v>333.01440000000002</v>
      </c>
      <c r="S1982" s="2" t="s">
        <v>121</v>
      </c>
      <c r="T1982" s="2" t="s">
        <v>86</v>
      </c>
    </row>
    <row r="1983" spans="1:20" x14ac:dyDescent="0.25">
      <c r="A1983" s="2" t="s">
        <v>3174</v>
      </c>
      <c r="B1983" s="3">
        <v>43005</v>
      </c>
      <c r="C1983" s="3">
        <v>43005</v>
      </c>
      <c r="D1983" s="2" t="s">
        <v>21</v>
      </c>
      <c r="E1983" s="2" t="s">
        <v>157</v>
      </c>
      <c r="F1983" s="2" t="s">
        <v>158</v>
      </c>
      <c r="G1983" s="2" t="s">
        <v>38</v>
      </c>
      <c r="H1983" s="2" t="s">
        <v>25</v>
      </c>
      <c r="I1983" s="2" t="s">
        <v>371</v>
      </c>
      <c r="J1983" s="2" t="s">
        <v>127</v>
      </c>
      <c r="K1983" s="2" t="s">
        <v>82</v>
      </c>
      <c r="L1983" s="2" t="s">
        <v>1476</v>
      </c>
      <c r="M1983" s="2" t="s">
        <v>30</v>
      </c>
      <c r="N1983" s="2" t="s">
        <v>63</v>
      </c>
      <c r="O1983" s="2" t="s">
        <v>1477</v>
      </c>
      <c r="P1983" s="4">
        <v>69.605400000000003</v>
      </c>
      <c r="Q1983" s="4">
        <v>1</v>
      </c>
      <c r="R1983" s="4">
        <v>-18.234500000000001</v>
      </c>
      <c r="S1983" s="2" t="s">
        <v>121</v>
      </c>
      <c r="T1983" s="2" t="s">
        <v>148</v>
      </c>
    </row>
    <row r="1984" spans="1:20" x14ac:dyDescent="0.25">
      <c r="A1984" s="2" t="s">
        <v>3175</v>
      </c>
      <c r="B1984" s="3">
        <v>42810</v>
      </c>
      <c r="C1984" s="3">
        <v>42817</v>
      </c>
      <c r="D1984" s="2" t="s">
        <v>55</v>
      </c>
      <c r="E1984" s="2" t="s">
        <v>1642</v>
      </c>
      <c r="F1984" s="2" t="s">
        <v>1643</v>
      </c>
      <c r="G1984" s="2" t="s">
        <v>24</v>
      </c>
      <c r="H1984" s="2" t="s">
        <v>25</v>
      </c>
      <c r="I1984" s="2" t="s">
        <v>378</v>
      </c>
      <c r="J1984" s="2" t="s">
        <v>98</v>
      </c>
      <c r="K1984" s="2" t="s">
        <v>82</v>
      </c>
      <c r="L1984" s="2" t="s">
        <v>113</v>
      </c>
      <c r="M1984" s="2" t="s">
        <v>30</v>
      </c>
      <c r="N1984" s="2" t="s">
        <v>31</v>
      </c>
      <c r="O1984" s="2" t="s">
        <v>114</v>
      </c>
      <c r="P1984" s="4">
        <v>19.392800000000001</v>
      </c>
      <c r="Q1984" s="4">
        <v>1</v>
      </c>
      <c r="R1984" s="4">
        <v>3.6440999999999999</v>
      </c>
      <c r="S1984" s="2" t="s">
        <v>107</v>
      </c>
      <c r="T1984" s="2" t="s">
        <v>44</v>
      </c>
    </row>
    <row r="1985" spans="1:20" x14ac:dyDescent="0.25">
      <c r="A1985" s="2" t="s">
        <v>3176</v>
      </c>
      <c r="B1985" s="3">
        <v>42611</v>
      </c>
      <c r="C1985" s="3">
        <v>42613</v>
      </c>
      <c r="D1985" s="2" t="s">
        <v>55</v>
      </c>
      <c r="E1985" s="2" t="s">
        <v>738</v>
      </c>
      <c r="F1985" s="2" t="s">
        <v>739</v>
      </c>
      <c r="G1985" s="2" t="s">
        <v>58</v>
      </c>
      <c r="H1985" s="2" t="s">
        <v>25</v>
      </c>
      <c r="I1985" s="2" t="s">
        <v>97</v>
      </c>
      <c r="J1985" s="2" t="s">
        <v>98</v>
      </c>
      <c r="K1985" s="2" t="s">
        <v>82</v>
      </c>
      <c r="L1985" s="2" t="s">
        <v>235</v>
      </c>
      <c r="M1985" s="2" t="s">
        <v>30</v>
      </c>
      <c r="N1985" s="2" t="s">
        <v>31</v>
      </c>
      <c r="O1985" s="2" t="s">
        <v>236</v>
      </c>
      <c r="P1985" s="4">
        <v>35.085700000000003</v>
      </c>
      <c r="Q1985" s="4">
        <v>1</v>
      </c>
      <c r="R1985" s="4">
        <v>5.5251000000000001</v>
      </c>
      <c r="S1985" s="2" t="s">
        <v>53</v>
      </c>
      <c r="T1985" s="2" t="s">
        <v>34</v>
      </c>
    </row>
    <row r="1986" spans="1:20" x14ac:dyDescent="0.25">
      <c r="A1986" s="2" t="s">
        <v>3177</v>
      </c>
      <c r="B1986" s="3">
        <v>41697</v>
      </c>
      <c r="C1986" s="3">
        <v>41700</v>
      </c>
      <c r="D1986" s="2" t="s">
        <v>55</v>
      </c>
      <c r="E1986" s="2" t="s">
        <v>3178</v>
      </c>
      <c r="F1986" s="2" t="s">
        <v>3179</v>
      </c>
      <c r="G1986" s="2" t="s">
        <v>38</v>
      </c>
      <c r="H1986" s="2" t="s">
        <v>25</v>
      </c>
      <c r="I1986" s="2" t="s">
        <v>699</v>
      </c>
      <c r="J1986" s="2" t="s">
        <v>339</v>
      </c>
      <c r="K1986" s="2" t="s">
        <v>82</v>
      </c>
      <c r="L1986" s="2" t="s">
        <v>218</v>
      </c>
      <c r="M1986" s="2" t="s">
        <v>30</v>
      </c>
      <c r="N1986" s="2" t="s">
        <v>31</v>
      </c>
      <c r="O1986" s="2" t="s">
        <v>219</v>
      </c>
      <c r="P1986" s="4">
        <v>263.91300000000001</v>
      </c>
      <c r="Q1986" s="4">
        <v>4</v>
      </c>
      <c r="R1986" s="4">
        <v>-9.1887000000000008</v>
      </c>
      <c r="S1986" s="2" t="s">
        <v>92</v>
      </c>
      <c r="T1986" s="2" t="s">
        <v>101</v>
      </c>
    </row>
    <row r="1987" spans="1:20" x14ac:dyDescent="0.25">
      <c r="A1987" s="2" t="s">
        <v>3177</v>
      </c>
      <c r="B1987" s="3">
        <v>41697</v>
      </c>
      <c r="C1987" s="3">
        <v>41700</v>
      </c>
      <c r="D1987" s="2" t="s">
        <v>55</v>
      </c>
      <c r="E1987" s="2" t="s">
        <v>3178</v>
      </c>
      <c r="F1987" s="2" t="s">
        <v>3179</v>
      </c>
      <c r="G1987" s="2" t="s">
        <v>38</v>
      </c>
      <c r="H1987" s="2" t="s">
        <v>25</v>
      </c>
      <c r="I1987" s="2" t="s">
        <v>699</v>
      </c>
      <c r="J1987" s="2" t="s">
        <v>339</v>
      </c>
      <c r="K1987" s="2" t="s">
        <v>82</v>
      </c>
      <c r="L1987" s="2" t="s">
        <v>207</v>
      </c>
      <c r="M1987" s="2" t="s">
        <v>30</v>
      </c>
      <c r="N1987" s="2" t="s">
        <v>31</v>
      </c>
      <c r="O1987" s="2" t="s">
        <v>208</v>
      </c>
      <c r="P1987" s="4">
        <v>23.157499999999999</v>
      </c>
      <c r="Q1987" s="4">
        <v>1</v>
      </c>
      <c r="R1987" s="4">
        <v>-5.1412000000000004</v>
      </c>
      <c r="S1987" s="2" t="s">
        <v>92</v>
      </c>
      <c r="T1987" s="2" t="s">
        <v>101</v>
      </c>
    </row>
    <row r="1988" spans="1:20" x14ac:dyDescent="0.25">
      <c r="A1988" s="2" t="s">
        <v>3180</v>
      </c>
      <c r="B1988" s="3">
        <v>41876</v>
      </c>
      <c r="C1988" s="3">
        <v>41881</v>
      </c>
      <c r="D1988" s="2" t="s">
        <v>55</v>
      </c>
      <c r="E1988" s="2" t="s">
        <v>1621</v>
      </c>
      <c r="F1988" s="2" t="s">
        <v>1622</v>
      </c>
      <c r="G1988" s="2" t="s">
        <v>38</v>
      </c>
      <c r="H1988" s="2" t="s">
        <v>25</v>
      </c>
      <c r="I1988" s="2" t="s">
        <v>580</v>
      </c>
      <c r="J1988" s="2" t="s">
        <v>387</v>
      </c>
      <c r="K1988" s="2" t="s">
        <v>61</v>
      </c>
      <c r="L1988" s="2" t="s">
        <v>41</v>
      </c>
      <c r="M1988" s="2" t="s">
        <v>30</v>
      </c>
      <c r="N1988" s="2" t="s">
        <v>42</v>
      </c>
      <c r="O1988" s="2" t="s">
        <v>43</v>
      </c>
      <c r="P1988" s="4">
        <v>197.4034</v>
      </c>
      <c r="Q1988" s="4">
        <v>3</v>
      </c>
      <c r="R1988" s="4">
        <v>13.0936</v>
      </c>
      <c r="S1988" s="2" t="s">
        <v>85</v>
      </c>
      <c r="T1988" s="2" t="s">
        <v>34</v>
      </c>
    </row>
    <row r="1989" spans="1:20" x14ac:dyDescent="0.25">
      <c r="A1989" s="2" t="s">
        <v>3181</v>
      </c>
      <c r="B1989" s="3">
        <v>41964</v>
      </c>
      <c r="C1989" s="3">
        <v>41965</v>
      </c>
      <c r="D1989" s="2" t="s">
        <v>48</v>
      </c>
      <c r="E1989" s="2" t="s">
        <v>319</v>
      </c>
      <c r="F1989" s="2" t="s">
        <v>320</v>
      </c>
      <c r="G1989" s="2" t="s">
        <v>58</v>
      </c>
      <c r="H1989" s="2" t="s">
        <v>25</v>
      </c>
      <c r="I1989" s="2" t="s">
        <v>350</v>
      </c>
      <c r="J1989" s="2" t="s">
        <v>351</v>
      </c>
      <c r="K1989" s="2" t="s">
        <v>147</v>
      </c>
      <c r="L1989" s="2" t="s">
        <v>66</v>
      </c>
      <c r="M1989" s="2" t="s">
        <v>30</v>
      </c>
      <c r="N1989" s="2" t="s">
        <v>31</v>
      </c>
      <c r="O1989" s="2" t="s">
        <v>67</v>
      </c>
      <c r="P1989" s="4">
        <v>193.6507</v>
      </c>
      <c r="Q1989" s="4">
        <v>5</v>
      </c>
      <c r="R1989" s="4">
        <v>-56.960299999999997</v>
      </c>
      <c r="S1989" s="2" t="s">
        <v>33</v>
      </c>
      <c r="T1989" s="2" t="s">
        <v>93</v>
      </c>
    </row>
    <row r="1990" spans="1:20" x14ac:dyDescent="0.25">
      <c r="A1990" s="2" t="s">
        <v>3181</v>
      </c>
      <c r="B1990" s="3">
        <v>41964</v>
      </c>
      <c r="C1990" s="3">
        <v>41965</v>
      </c>
      <c r="D1990" s="2" t="s">
        <v>48</v>
      </c>
      <c r="E1990" s="2" t="s">
        <v>319</v>
      </c>
      <c r="F1990" s="2" t="s">
        <v>320</v>
      </c>
      <c r="G1990" s="2" t="s">
        <v>58</v>
      </c>
      <c r="H1990" s="2" t="s">
        <v>25</v>
      </c>
      <c r="I1990" s="2" t="s">
        <v>350</v>
      </c>
      <c r="J1990" s="2" t="s">
        <v>351</v>
      </c>
      <c r="K1990" s="2" t="s">
        <v>147</v>
      </c>
      <c r="L1990" s="2" t="s">
        <v>131</v>
      </c>
      <c r="M1990" s="2" t="s">
        <v>30</v>
      </c>
      <c r="N1990" s="2" t="s">
        <v>31</v>
      </c>
      <c r="O1990" s="2" t="s">
        <v>132</v>
      </c>
      <c r="P1990" s="4">
        <v>50.302</v>
      </c>
      <c r="Q1990" s="4">
        <v>5</v>
      </c>
      <c r="R1990" s="4">
        <v>23.100999999999999</v>
      </c>
      <c r="S1990" s="2" t="s">
        <v>33</v>
      </c>
      <c r="T1990" s="2" t="s">
        <v>93</v>
      </c>
    </row>
    <row r="1991" spans="1:20" x14ac:dyDescent="0.25">
      <c r="A1991" s="2" t="s">
        <v>3181</v>
      </c>
      <c r="B1991" s="3">
        <v>41964</v>
      </c>
      <c r="C1991" s="3">
        <v>41965</v>
      </c>
      <c r="D1991" s="2" t="s">
        <v>48</v>
      </c>
      <c r="E1991" s="2" t="s">
        <v>319</v>
      </c>
      <c r="F1991" s="2" t="s">
        <v>320</v>
      </c>
      <c r="G1991" s="2" t="s">
        <v>58</v>
      </c>
      <c r="H1991" s="2" t="s">
        <v>25</v>
      </c>
      <c r="I1991" s="2" t="s">
        <v>350</v>
      </c>
      <c r="J1991" s="2" t="s">
        <v>351</v>
      </c>
      <c r="K1991" s="2" t="s">
        <v>147</v>
      </c>
      <c r="L1991" s="2" t="s">
        <v>254</v>
      </c>
      <c r="M1991" s="2" t="s">
        <v>30</v>
      </c>
      <c r="N1991" s="2" t="s">
        <v>162</v>
      </c>
      <c r="O1991" s="2" t="s">
        <v>255</v>
      </c>
      <c r="P1991" s="4">
        <v>646.53549999999996</v>
      </c>
      <c r="Q1991" s="4">
        <v>3</v>
      </c>
      <c r="R1991" s="4">
        <v>-110.51430000000001</v>
      </c>
      <c r="S1991" s="2" t="s">
        <v>33</v>
      </c>
      <c r="T1991" s="2" t="s">
        <v>93</v>
      </c>
    </row>
    <row r="1992" spans="1:20" x14ac:dyDescent="0.25">
      <c r="A1992" s="2" t="s">
        <v>3181</v>
      </c>
      <c r="B1992" s="3">
        <v>41964</v>
      </c>
      <c r="C1992" s="3">
        <v>41965</v>
      </c>
      <c r="D1992" s="2" t="s">
        <v>48</v>
      </c>
      <c r="E1992" s="2" t="s">
        <v>319</v>
      </c>
      <c r="F1992" s="2" t="s">
        <v>320</v>
      </c>
      <c r="G1992" s="2" t="s">
        <v>58</v>
      </c>
      <c r="H1992" s="2" t="s">
        <v>25</v>
      </c>
      <c r="I1992" s="2" t="s">
        <v>350</v>
      </c>
      <c r="J1992" s="2" t="s">
        <v>351</v>
      </c>
      <c r="K1992" s="2" t="s">
        <v>147</v>
      </c>
      <c r="L1992" s="2" t="s">
        <v>890</v>
      </c>
      <c r="M1992" s="2" t="s">
        <v>30</v>
      </c>
      <c r="N1992" s="2" t="s">
        <v>63</v>
      </c>
      <c r="O1992" s="2" t="s">
        <v>891</v>
      </c>
      <c r="P1992" s="4">
        <v>84.318899999999999</v>
      </c>
      <c r="Q1992" s="4">
        <v>3</v>
      </c>
      <c r="R1992" s="4">
        <v>-20.799499999999998</v>
      </c>
      <c r="S1992" s="2" t="s">
        <v>33</v>
      </c>
      <c r="T1992" s="2" t="s">
        <v>93</v>
      </c>
    </row>
    <row r="1993" spans="1:20" x14ac:dyDescent="0.25">
      <c r="A1993" s="2" t="s">
        <v>3182</v>
      </c>
      <c r="B1993" s="3">
        <v>42501</v>
      </c>
      <c r="C1993" s="3">
        <v>42508</v>
      </c>
      <c r="D1993" s="2" t="s">
        <v>55</v>
      </c>
      <c r="E1993" s="2" t="s">
        <v>628</v>
      </c>
      <c r="F1993" s="2" t="s">
        <v>629</v>
      </c>
      <c r="G1993" s="2" t="s">
        <v>58</v>
      </c>
      <c r="H1993" s="2" t="s">
        <v>25</v>
      </c>
      <c r="I1993" s="2" t="s">
        <v>449</v>
      </c>
      <c r="J1993" s="2" t="s">
        <v>98</v>
      </c>
      <c r="K1993" s="2" t="s">
        <v>82</v>
      </c>
      <c r="L1993" s="2" t="s">
        <v>252</v>
      </c>
      <c r="M1993" s="2" t="s">
        <v>30</v>
      </c>
      <c r="N1993" s="2" t="s">
        <v>31</v>
      </c>
      <c r="O1993" s="2" t="s">
        <v>253</v>
      </c>
      <c r="P1993" s="4">
        <v>9.1811000000000007</v>
      </c>
      <c r="Q1993" s="4">
        <v>2</v>
      </c>
      <c r="R1993" s="4">
        <v>-1.6843999999999999</v>
      </c>
      <c r="S1993" s="2" t="s">
        <v>107</v>
      </c>
      <c r="T1993" s="2" t="s">
        <v>122</v>
      </c>
    </row>
    <row r="1994" spans="1:20" x14ac:dyDescent="0.25">
      <c r="A1994" s="2" t="s">
        <v>3183</v>
      </c>
      <c r="B1994" s="3">
        <v>42499</v>
      </c>
      <c r="C1994" s="3">
        <v>42499</v>
      </c>
      <c r="D1994" s="2" t="s">
        <v>48</v>
      </c>
      <c r="E1994" s="2" t="s">
        <v>1503</v>
      </c>
      <c r="F1994" s="2" t="s">
        <v>1504</v>
      </c>
      <c r="G1994" s="2" t="s">
        <v>24</v>
      </c>
      <c r="H1994" s="2" t="s">
        <v>25</v>
      </c>
      <c r="I1994" s="2" t="s">
        <v>233</v>
      </c>
      <c r="J1994" s="2" t="s">
        <v>234</v>
      </c>
      <c r="K1994" s="2" t="s">
        <v>82</v>
      </c>
      <c r="L1994" s="2" t="s">
        <v>245</v>
      </c>
      <c r="M1994" s="2" t="s">
        <v>30</v>
      </c>
      <c r="N1994" s="2" t="s">
        <v>42</v>
      </c>
      <c r="O1994" s="2" t="s">
        <v>246</v>
      </c>
      <c r="P1994" s="4">
        <v>271.52339999999998</v>
      </c>
      <c r="Q1994" s="4">
        <v>2</v>
      </c>
      <c r="R1994" s="4">
        <v>45.2637</v>
      </c>
      <c r="S1994" s="2" t="s">
        <v>121</v>
      </c>
      <c r="T1994" s="2" t="s">
        <v>122</v>
      </c>
    </row>
    <row r="1995" spans="1:20" x14ac:dyDescent="0.25">
      <c r="A1995" s="2" t="s">
        <v>3184</v>
      </c>
      <c r="B1995" s="3">
        <v>43071</v>
      </c>
      <c r="C1995" s="3">
        <v>43074</v>
      </c>
      <c r="D1995" s="2" t="s">
        <v>21</v>
      </c>
      <c r="E1995" s="2" t="s">
        <v>1509</v>
      </c>
      <c r="F1995" s="2" t="s">
        <v>1510</v>
      </c>
      <c r="G1995" s="2" t="s">
        <v>58</v>
      </c>
      <c r="H1995" s="2" t="s">
        <v>25</v>
      </c>
      <c r="I1995" s="2" t="s">
        <v>288</v>
      </c>
      <c r="J1995" s="2" t="s">
        <v>289</v>
      </c>
      <c r="K1995" s="2" t="s">
        <v>82</v>
      </c>
      <c r="L1995" s="2" t="s">
        <v>99</v>
      </c>
      <c r="M1995" s="2" t="s">
        <v>30</v>
      </c>
      <c r="N1995" s="2" t="s">
        <v>42</v>
      </c>
      <c r="O1995" s="2" t="s">
        <v>100</v>
      </c>
      <c r="P1995" s="4">
        <v>172.22030000000001</v>
      </c>
      <c r="Q1995" s="4">
        <v>2</v>
      </c>
      <c r="R1995" s="4">
        <v>11.903600000000001</v>
      </c>
      <c r="S1995" s="2" t="s">
        <v>92</v>
      </c>
      <c r="T1995" s="2" t="s">
        <v>76</v>
      </c>
    </row>
    <row r="1996" spans="1:20" x14ac:dyDescent="0.25">
      <c r="A1996" s="2" t="s">
        <v>3185</v>
      </c>
      <c r="B1996" s="3">
        <v>42798</v>
      </c>
      <c r="C1996" s="3">
        <v>42803</v>
      </c>
      <c r="D1996" s="2" t="s">
        <v>55</v>
      </c>
      <c r="E1996" s="2" t="s">
        <v>585</v>
      </c>
      <c r="F1996" s="2" t="s">
        <v>586</v>
      </c>
      <c r="G1996" s="2" t="s">
        <v>38</v>
      </c>
      <c r="H1996" s="2" t="s">
        <v>25</v>
      </c>
      <c r="I1996" s="2" t="s">
        <v>216</v>
      </c>
      <c r="J1996" s="2" t="s">
        <v>217</v>
      </c>
      <c r="K1996" s="2" t="s">
        <v>82</v>
      </c>
      <c r="L1996" s="2" t="s">
        <v>323</v>
      </c>
      <c r="M1996" s="2" t="s">
        <v>30</v>
      </c>
      <c r="N1996" s="2" t="s">
        <v>31</v>
      </c>
      <c r="O1996" s="2" t="s">
        <v>324</v>
      </c>
      <c r="P1996" s="4">
        <v>35.785499999999999</v>
      </c>
      <c r="Q1996" s="4">
        <v>3</v>
      </c>
      <c r="R1996" s="4">
        <v>0.59930000000000005</v>
      </c>
      <c r="S1996" s="2" t="s">
        <v>85</v>
      </c>
      <c r="T1996" s="2" t="s">
        <v>44</v>
      </c>
    </row>
    <row r="1997" spans="1:20" x14ac:dyDescent="0.25">
      <c r="A1997" s="2" t="s">
        <v>3186</v>
      </c>
      <c r="B1997" s="3">
        <v>42393</v>
      </c>
      <c r="C1997" s="3">
        <v>42396</v>
      </c>
      <c r="D1997" s="2" t="s">
        <v>21</v>
      </c>
      <c r="E1997" s="2" t="s">
        <v>1400</v>
      </c>
      <c r="F1997" s="2" t="s">
        <v>1401</v>
      </c>
      <c r="G1997" s="2" t="s">
        <v>58</v>
      </c>
      <c r="H1997" s="2" t="s">
        <v>25</v>
      </c>
      <c r="I1997" s="2" t="s">
        <v>309</v>
      </c>
      <c r="J1997" s="2" t="s">
        <v>310</v>
      </c>
      <c r="K1997" s="2" t="s">
        <v>28</v>
      </c>
      <c r="L1997" s="2" t="s">
        <v>186</v>
      </c>
      <c r="M1997" s="2" t="s">
        <v>30</v>
      </c>
      <c r="N1997" s="2" t="s">
        <v>31</v>
      </c>
      <c r="O1997" s="2" t="s">
        <v>187</v>
      </c>
      <c r="P1997" s="4">
        <v>21.368500000000001</v>
      </c>
      <c r="Q1997" s="4">
        <v>2</v>
      </c>
      <c r="R1997" s="4">
        <v>10.0695</v>
      </c>
      <c r="S1997" s="2" t="s">
        <v>92</v>
      </c>
      <c r="T1997" s="2" t="s">
        <v>115</v>
      </c>
    </row>
    <row r="1998" spans="1:20" x14ac:dyDescent="0.25">
      <c r="A1998" s="2" t="s">
        <v>3187</v>
      </c>
      <c r="B1998" s="3">
        <v>42897</v>
      </c>
      <c r="C1998" s="3">
        <v>42901</v>
      </c>
      <c r="D1998" s="2" t="s">
        <v>55</v>
      </c>
      <c r="E1998" s="2" t="s">
        <v>1901</v>
      </c>
      <c r="F1998" s="2" t="s">
        <v>1902</v>
      </c>
      <c r="G1998" s="2" t="s">
        <v>38</v>
      </c>
      <c r="H1998" s="2" t="s">
        <v>25</v>
      </c>
      <c r="I1998" s="2" t="s">
        <v>71</v>
      </c>
      <c r="J1998" s="2" t="s">
        <v>72</v>
      </c>
      <c r="K1998" s="2" t="s">
        <v>61</v>
      </c>
      <c r="L1998" s="2" t="s">
        <v>169</v>
      </c>
      <c r="M1998" s="2" t="s">
        <v>30</v>
      </c>
      <c r="N1998" s="2" t="s">
        <v>162</v>
      </c>
      <c r="O1998" s="2" t="s">
        <v>170</v>
      </c>
      <c r="P1998" s="4">
        <v>804.70280000000002</v>
      </c>
      <c r="Q1998" s="4">
        <v>10</v>
      </c>
      <c r="R1998" s="4">
        <v>159.2038</v>
      </c>
      <c r="S1998" s="2" t="s">
        <v>75</v>
      </c>
      <c r="T1998" s="2" t="s">
        <v>133</v>
      </c>
    </row>
    <row r="1999" spans="1:20" x14ac:dyDescent="0.25">
      <c r="A1999" s="2" t="s">
        <v>3188</v>
      </c>
      <c r="B1999" s="3">
        <v>42316</v>
      </c>
      <c r="C1999" s="3">
        <v>42317</v>
      </c>
      <c r="D1999" s="2" t="s">
        <v>48</v>
      </c>
      <c r="E1999" s="2" t="s">
        <v>787</v>
      </c>
      <c r="F1999" s="2" t="s">
        <v>788</v>
      </c>
      <c r="G1999" s="2" t="s">
        <v>38</v>
      </c>
      <c r="H1999" s="2" t="s">
        <v>25</v>
      </c>
      <c r="I1999" s="2" t="s">
        <v>580</v>
      </c>
      <c r="J1999" s="2" t="s">
        <v>387</v>
      </c>
      <c r="K1999" s="2" t="s">
        <v>61</v>
      </c>
      <c r="L1999" s="2" t="s">
        <v>344</v>
      </c>
      <c r="M1999" s="2" t="s">
        <v>30</v>
      </c>
      <c r="N1999" s="2" t="s">
        <v>42</v>
      </c>
      <c r="O1999" s="2" t="s">
        <v>345</v>
      </c>
      <c r="P1999" s="4">
        <v>186.80860000000001</v>
      </c>
      <c r="Q1999" s="4">
        <v>2</v>
      </c>
      <c r="R1999" s="4">
        <v>20.618300000000001</v>
      </c>
      <c r="S1999" s="2" t="s">
        <v>33</v>
      </c>
      <c r="T1999" s="2" t="s">
        <v>93</v>
      </c>
    </row>
    <row r="2000" spans="1:20" x14ac:dyDescent="0.25">
      <c r="A2000" s="2" t="s">
        <v>3189</v>
      </c>
      <c r="B2000" s="3">
        <v>42846</v>
      </c>
      <c r="C2000" s="3">
        <v>42849</v>
      </c>
      <c r="D2000" s="2" t="s">
        <v>55</v>
      </c>
      <c r="E2000" s="2" t="s">
        <v>3190</v>
      </c>
      <c r="F2000" s="2" t="s">
        <v>3191</v>
      </c>
      <c r="G2000" s="2" t="s">
        <v>58</v>
      </c>
      <c r="H2000" s="2" t="s">
        <v>25</v>
      </c>
      <c r="I2000" s="2" t="s">
        <v>969</v>
      </c>
      <c r="J2000" s="2" t="s">
        <v>387</v>
      </c>
      <c r="K2000" s="2" t="s">
        <v>61</v>
      </c>
      <c r="L2000" s="2" t="s">
        <v>193</v>
      </c>
      <c r="M2000" s="2" t="s">
        <v>30</v>
      </c>
      <c r="N2000" s="2" t="s">
        <v>42</v>
      </c>
      <c r="O2000" s="2" t="s">
        <v>194</v>
      </c>
      <c r="P2000" s="4">
        <v>99.709100000000007</v>
      </c>
      <c r="Q2000" s="4">
        <v>5</v>
      </c>
      <c r="R2000" s="4">
        <v>10.531599999999999</v>
      </c>
      <c r="S2000" s="2" t="s">
        <v>92</v>
      </c>
      <c r="T2000" s="2" t="s">
        <v>108</v>
      </c>
    </row>
    <row r="2001" spans="1:20" x14ac:dyDescent="0.25">
      <c r="A2001" s="2" t="s">
        <v>3192</v>
      </c>
      <c r="B2001" s="3">
        <v>42180</v>
      </c>
      <c r="C2001" s="3">
        <v>42185</v>
      </c>
      <c r="D2001" s="2" t="s">
        <v>55</v>
      </c>
      <c r="E2001" s="2" t="s">
        <v>1255</v>
      </c>
      <c r="F2001" s="2" t="s">
        <v>1256</v>
      </c>
      <c r="G2001" s="2" t="s">
        <v>38</v>
      </c>
      <c r="H2001" s="2" t="s">
        <v>25</v>
      </c>
      <c r="I2001" s="2" t="s">
        <v>138</v>
      </c>
      <c r="J2001" s="2" t="s">
        <v>407</v>
      </c>
      <c r="K2001" s="2" t="s">
        <v>28</v>
      </c>
      <c r="L2001" s="2" t="s">
        <v>154</v>
      </c>
      <c r="M2001" s="2" t="s">
        <v>30</v>
      </c>
      <c r="N2001" s="2" t="s">
        <v>42</v>
      </c>
      <c r="O2001" s="2" t="s">
        <v>155</v>
      </c>
      <c r="P2001" s="4">
        <v>946.80820000000006</v>
      </c>
      <c r="Q2001" s="4">
        <v>4</v>
      </c>
      <c r="R2001" s="4">
        <v>-143.28710000000001</v>
      </c>
      <c r="S2001" s="2" t="s">
        <v>85</v>
      </c>
      <c r="T2001" s="2" t="s">
        <v>133</v>
      </c>
    </row>
    <row r="2002" spans="1:20" x14ac:dyDescent="0.25">
      <c r="A2002" s="2" t="s">
        <v>3193</v>
      </c>
      <c r="B2002" s="3">
        <v>42616</v>
      </c>
      <c r="C2002" s="3">
        <v>42616</v>
      </c>
      <c r="D2002" s="2" t="s">
        <v>55</v>
      </c>
      <c r="E2002" s="2" t="s">
        <v>1928</v>
      </c>
      <c r="F2002" s="2" t="s">
        <v>1929</v>
      </c>
      <c r="G2002" s="2" t="s">
        <v>38</v>
      </c>
      <c r="H2002" s="2" t="s">
        <v>25</v>
      </c>
      <c r="I2002" s="2" t="s">
        <v>1300</v>
      </c>
      <c r="J2002" s="2" t="s">
        <v>60</v>
      </c>
      <c r="K2002" s="2" t="s">
        <v>61</v>
      </c>
      <c r="L2002" s="2" t="s">
        <v>66</v>
      </c>
      <c r="M2002" s="2" t="s">
        <v>30</v>
      </c>
      <c r="N2002" s="2" t="s">
        <v>31</v>
      </c>
      <c r="O2002" s="2" t="s">
        <v>67</v>
      </c>
      <c r="P2002" s="4">
        <v>19.5581</v>
      </c>
      <c r="Q2002" s="4">
        <v>5</v>
      </c>
      <c r="R2002" s="4">
        <v>-2.9085999999999999</v>
      </c>
      <c r="S2002" s="2" t="s">
        <v>121</v>
      </c>
      <c r="T2002" s="2" t="s">
        <v>148</v>
      </c>
    </row>
    <row r="2003" spans="1:20" x14ac:dyDescent="0.25">
      <c r="A2003" s="2" t="s">
        <v>3193</v>
      </c>
      <c r="B2003" s="3">
        <v>42616</v>
      </c>
      <c r="C2003" s="3">
        <v>42616</v>
      </c>
      <c r="D2003" s="2" t="s">
        <v>55</v>
      </c>
      <c r="E2003" s="2" t="s">
        <v>1928</v>
      </c>
      <c r="F2003" s="2" t="s">
        <v>1929</v>
      </c>
      <c r="G2003" s="2" t="s">
        <v>38</v>
      </c>
      <c r="H2003" s="2" t="s">
        <v>25</v>
      </c>
      <c r="I2003" s="2" t="s">
        <v>1300</v>
      </c>
      <c r="J2003" s="2" t="s">
        <v>60</v>
      </c>
      <c r="K2003" s="2" t="s">
        <v>61</v>
      </c>
      <c r="L2003" s="2" t="s">
        <v>154</v>
      </c>
      <c r="M2003" s="2" t="s">
        <v>30</v>
      </c>
      <c r="N2003" s="2" t="s">
        <v>42</v>
      </c>
      <c r="O2003" s="2" t="s">
        <v>155</v>
      </c>
      <c r="P2003" s="4">
        <v>1794.8338000000001</v>
      </c>
      <c r="Q2003" s="4">
        <v>2</v>
      </c>
      <c r="R2003" s="4">
        <v>-17.34</v>
      </c>
      <c r="S2003" s="2" t="s">
        <v>121</v>
      </c>
      <c r="T2003" s="2" t="s">
        <v>148</v>
      </c>
    </row>
    <row r="2004" spans="1:20" x14ac:dyDescent="0.25">
      <c r="A2004" s="2" t="s">
        <v>3193</v>
      </c>
      <c r="B2004" s="3">
        <v>42616</v>
      </c>
      <c r="C2004" s="3">
        <v>42616</v>
      </c>
      <c r="D2004" s="2" t="s">
        <v>55</v>
      </c>
      <c r="E2004" s="2" t="s">
        <v>1928</v>
      </c>
      <c r="F2004" s="2" t="s">
        <v>1929</v>
      </c>
      <c r="G2004" s="2" t="s">
        <v>38</v>
      </c>
      <c r="H2004" s="2" t="s">
        <v>25</v>
      </c>
      <c r="I2004" s="2" t="s">
        <v>1300</v>
      </c>
      <c r="J2004" s="2" t="s">
        <v>60</v>
      </c>
      <c r="K2004" s="2" t="s">
        <v>61</v>
      </c>
      <c r="L2004" s="2" t="s">
        <v>139</v>
      </c>
      <c r="M2004" s="2" t="s">
        <v>30</v>
      </c>
      <c r="N2004" s="2" t="s">
        <v>42</v>
      </c>
      <c r="O2004" s="2" t="s">
        <v>140</v>
      </c>
      <c r="P2004" s="4">
        <v>142.34059999999999</v>
      </c>
      <c r="Q2004" s="4">
        <v>4</v>
      </c>
      <c r="R2004" s="4">
        <v>15.6706</v>
      </c>
      <c r="S2004" s="2" t="s">
        <v>121</v>
      </c>
      <c r="T2004" s="2" t="s">
        <v>148</v>
      </c>
    </row>
    <row r="2005" spans="1:20" x14ac:dyDescent="0.25">
      <c r="A2005" s="2" t="s">
        <v>3193</v>
      </c>
      <c r="B2005" s="3">
        <v>42616</v>
      </c>
      <c r="C2005" s="3">
        <v>42616</v>
      </c>
      <c r="D2005" s="2" t="s">
        <v>55</v>
      </c>
      <c r="E2005" s="2" t="s">
        <v>1928</v>
      </c>
      <c r="F2005" s="2" t="s">
        <v>1929</v>
      </c>
      <c r="G2005" s="2" t="s">
        <v>38</v>
      </c>
      <c r="H2005" s="2" t="s">
        <v>25</v>
      </c>
      <c r="I2005" s="2" t="s">
        <v>1300</v>
      </c>
      <c r="J2005" s="2" t="s">
        <v>60</v>
      </c>
      <c r="K2005" s="2" t="s">
        <v>61</v>
      </c>
      <c r="L2005" s="2" t="s">
        <v>66</v>
      </c>
      <c r="M2005" s="2" t="s">
        <v>30</v>
      </c>
      <c r="N2005" s="2" t="s">
        <v>31</v>
      </c>
      <c r="O2005" s="2" t="s">
        <v>67</v>
      </c>
      <c r="P2005" s="4">
        <v>5.3140000000000001</v>
      </c>
      <c r="Q2005" s="4">
        <v>3</v>
      </c>
      <c r="R2005" s="4">
        <v>1.1032999999999999</v>
      </c>
      <c r="S2005" s="2" t="s">
        <v>121</v>
      </c>
      <c r="T2005" s="2" t="s">
        <v>148</v>
      </c>
    </row>
    <row r="2006" spans="1:20" x14ac:dyDescent="0.25">
      <c r="A2006" s="2" t="s">
        <v>3194</v>
      </c>
      <c r="B2006" s="3">
        <v>42309</v>
      </c>
      <c r="C2006" s="3">
        <v>42311</v>
      </c>
      <c r="D2006" s="2" t="s">
        <v>21</v>
      </c>
      <c r="E2006" s="2" t="s">
        <v>2846</v>
      </c>
      <c r="F2006" s="2" t="s">
        <v>2847</v>
      </c>
      <c r="G2006" s="2" t="s">
        <v>58</v>
      </c>
      <c r="H2006" s="2" t="s">
        <v>25</v>
      </c>
      <c r="I2006" s="2" t="s">
        <v>159</v>
      </c>
      <c r="J2006" s="2" t="s">
        <v>160</v>
      </c>
      <c r="K2006" s="2" t="s">
        <v>61</v>
      </c>
      <c r="L2006" s="2" t="s">
        <v>323</v>
      </c>
      <c r="M2006" s="2" t="s">
        <v>30</v>
      </c>
      <c r="N2006" s="2" t="s">
        <v>31</v>
      </c>
      <c r="O2006" s="2" t="s">
        <v>324</v>
      </c>
      <c r="P2006" s="4">
        <v>218.17349999999999</v>
      </c>
      <c r="Q2006" s="4">
        <v>1</v>
      </c>
      <c r="R2006" s="4">
        <v>4.3563999999999998</v>
      </c>
      <c r="S2006" s="2" t="s">
        <v>53</v>
      </c>
      <c r="T2006" s="2" t="s">
        <v>93</v>
      </c>
    </row>
    <row r="2007" spans="1:20" x14ac:dyDescent="0.25">
      <c r="A2007" s="2" t="s">
        <v>3195</v>
      </c>
      <c r="B2007" s="3">
        <v>41897</v>
      </c>
      <c r="C2007" s="3">
        <v>41901</v>
      </c>
      <c r="D2007" s="2" t="s">
        <v>55</v>
      </c>
      <c r="E2007" s="2" t="s">
        <v>2411</v>
      </c>
      <c r="F2007" s="2" t="s">
        <v>2412</v>
      </c>
      <c r="G2007" s="2" t="s">
        <v>58</v>
      </c>
      <c r="H2007" s="2" t="s">
        <v>25</v>
      </c>
      <c r="I2007" s="2" t="s">
        <v>969</v>
      </c>
      <c r="J2007" s="2" t="s">
        <v>387</v>
      </c>
      <c r="K2007" s="2" t="s">
        <v>61</v>
      </c>
      <c r="L2007" s="2" t="s">
        <v>793</v>
      </c>
      <c r="M2007" s="2" t="s">
        <v>30</v>
      </c>
      <c r="N2007" s="2" t="s">
        <v>63</v>
      </c>
      <c r="O2007" s="2" t="s">
        <v>794</v>
      </c>
      <c r="P2007" s="4">
        <v>919.29480000000001</v>
      </c>
      <c r="Q2007" s="4">
        <v>2</v>
      </c>
      <c r="R2007" s="4">
        <v>-631.48180000000002</v>
      </c>
      <c r="S2007" s="2" t="s">
        <v>75</v>
      </c>
      <c r="T2007" s="2" t="s">
        <v>148</v>
      </c>
    </row>
    <row r="2008" spans="1:20" x14ac:dyDescent="0.25">
      <c r="A2008" s="2" t="s">
        <v>3196</v>
      </c>
      <c r="B2008" s="3">
        <v>42891</v>
      </c>
      <c r="C2008" s="3">
        <v>42892</v>
      </c>
      <c r="D2008" s="2" t="s">
        <v>55</v>
      </c>
      <c r="E2008" s="2" t="s">
        <v>2737</v>
      </c>
      <c r="F2008" s="2" t="s">
        <v>2738</v>
      </c>
      <c r="G2008" s="2" t="s">
        <v>58</v>
      </c>
      <c r="H2008" s="2" t="s">
        <v>25</v>
      </c>
      <c r="I2008" s="2" t="s">
        <v>343</v>
      </c>
      <c r="J2008" s="2" t="s">
        <v>153</v>
      </c>
      <c r="K2008" s="2" t="s">
        <v>147</v>
      </c>
      <c r="L2008" s="2" t="s">
        <v>186</v>
      </c>
      <c r="M2008" s="2" t="s">
        <v>30</v>
      </c>
      <c r="N2008" s="2" t="s">
        <v>31</v>
      </c>
      <c r="O2008" s="2" t="s">
        <v>187</v>
      </c>
      <c r="P2008" s="4">
        <v>14.154</v>
      </c>
      <c r="Q2008" s="4">
        <v>3</v>
      </c>
      <c r="R2008" s="4">
        <v>6.8893000000000004</v>
      </c>
      <c r="S2008" s="2" t="s">
        <v>33</v>
      </c>
      <c r="T2008" s="2" t="s">
        <v>133</v>
      </c>
    </row>
    <row r="2009" spans="1:20" x14ac:dyDescent="0.25">
      <c r="A2009" s="2" t="s">
        <v>3197</v>
      </c>
      <c r="B2009" s="3">
        <v>42445</v>
      </c>
      <c r="C2009" s="3">
        <v>42452</v>
      </c>
      <c r="D2009" s="2" t="s">
        <v>55</v>
      </c>
      <c r="E2009" s="2" t="s">
        <v>3198</v>
      </c>
      <c r="F2009" s="2" t="s">
        <v>3199</v>
      </c>
      <c r="G2009" s="2" t="s">
        <v>38</v>
      </c>
      <c r="H2009" s="2" t="s">
        <v>25</v>
      </c>
      <c r="I2009" s="2" t="s">
        <v>216</v>
      </c>
      <c r="J2009" s="2" t="s">
        <v>217</v>
      </c>
      <c r="K2009" s="2" t="s">
        <v>82</v>
      </c>
      <c r="L2009" s="2" t="s">
        <v>45</v>
      </c>
      <c r="M2009" s="2" t="s">
        <v>30</v>
      </c>
      <c r="N2009" s="2" t="s">
        <v>31</v>
      </c>
      <c r="O2009" s="2" t="s">
        <v>46</v>
      </c>
      <c r="P2009" s="4">
        <v>120.5475</v>
      </c>
      <c r="Q2009" s="4">
        <v>2</v>
      </c>
      <c r="R2009" s="4">
        <v>37.768700000000003</v>
      </c>
      <c r="S2009" s="2" t="s">
        <v>107</v>
      </c>
      <c r="T2009" s="2" t="s">
        <v>44</v>
      </c>
    </row>
    <row r="2010" spans="1:20" x14ac:dyDescent="0.25">
      <c r="A2010" s="2" t="s">
        <v>3197</v>
      </c>
      <c r="B2010" s="3">
        <v>42445</v>
      </c>
      <c r="C2010" s="3">
        <v>42452</v>
      </c>
      <c r="D2010" s="2" t="s">
        <v>55</v>
      </c>
      <c r="E2010" s="2" t="s">
        <v>3198</v>
      </c>
      <c r="F2010" s="2" t="s">
        <v>3199</v>
      </c>
      <c r="G2010" s="2" t="s">
        <v>38</v>
      </c>
      <c r="H2010" s="2" t="s">
        <v>25</v>
      </c>
      <c r="I2010" s="2" t="s">
        <v>216</v>
      </c>
      <c r="J2010" s="2" t="s">
        <v>217</v>
      </c>
      <c r="K2010" s="2" t="s">
        <v>82</v>
      </c>
      <c r="L2010" s="2" t="s">
        <v>252</v>
      </c>
      <c r="M2010" s="2" t="s">
        <v>30</v>
      </c>
      <c r="N2010" s="2" t="s">
        <v>31</v>
      </c>
      <c r="O2010" s="2" t="s">
        <v>253</v>
      </c>
      <c r="P2010" s="4">
        <v>104.2967</v>
      </c>
      <c r="Q2010" s="4">
        <v>5</v>
      </c>
      <c r="R2010" s="4">
        <v>-14.1082</v>
      </c>
      <c r="S2010" s="2" t="s">
        <v>107</v>
      </c>
      <c r="T2010" s="2" t="s">
        <v>44</v>
      </c>
    </row>
    <row r="2011" spans="1:20" x14ac:dyDescent="0.25">
      <c r="A2011" s="2" t="s">
        <v>3197</v>
      </c>
      <c r="B2011" s="3">
        <v>42445</v>
      </c>
      <c r="C2011" s="3">
        <v>42452</v>
      </c>
      <c r="D2011" s="2" t="s">
        <v>55</v>
      </c>
      <c r="E2011" s="2" t="s">
        <v>3198</v>
      </c>
      <c r="F2011" s="2" t="s">
        <v>3199</v>
      </c>
      <c r="G2011" s="2" t="s">
        <v>38</v>
      </c>
      <c r="H2011" s="2" t="s">
        <v>25</v>
      </c>
      <c r="I2011" s="2" t="s">
        <v>216</v>
      </c>
      <c r="J2011" s="2" t="s">
        <v>217</v>
      </c>
      <c r="K2011" s="2" t="s">
        <v>82</v>
      </c>
      <c r="L2011" s="2" t="s">
        <v>29</v>
      </c>
      <c r="M2011" s="2" t="s">
        <v>30</v>
      </c>
      <c r="N2011" s="2" t="s">
        <v>31</v>
      </c>
      <c r="O2011" s="2" t="s">
        <v>32</v>
      </c>
      <c r="P2011" s="4">
        <v>16.723700000000001</v>
      </c>
      <c r="Q2011" s="4">
        <v>2</v>
      </c>
      <c r="R2011" s="4">
        <v>-7.9142999999999999</v>
      </c>
      <c r="S2011" s="2" t="s">
        <v>107</v>
      </c>
      <c r="T2011" s="2" t="s">
        <v>44</v>
      </c>
    </row>
    <row r="2012" spans="1:20" x14ac:dyDescent="0.25">
      <c r="A2012" s="2" t="s">
        <v>3200</v>
      </c>
      <c r="B2012" s="3">
        <v>42087</v>
      </c>
      <c r="C2012" s="3">
        <v>42090</v>
      </c>
      <c r="D2012" s="2" t="s">
        <v>21</v>
      </c>
      <c r="E2012" s="2" t="s">
        <v>607</v>
      </c>
      <c r="F2012" s="2" t="s">
        <v>608</v>
      </c>
      <c r="G2012" s="2" t="s">
        <v>38</v>
      </c>
      <c r="H2012" s="2" t="s">
        <v>25</v>
      </c>
      <c r="I2012" s="2" t="s">
        <v>119</v>
      </c>
      <c r="J2012" s="2" t="s">
        <v>120</v>
      </c>
      <c r="K2012" s="2" t="s">
        <v>61</v>
      </c>
      <c r="L2012" s="2" t="s">
        <v>1476</v>
      </c>
      <c r="M2012" s="2" t="s">
        <v>30</v>
      </c>
      <c r="N2012" s="2" t="s">
        <v>63</v>
      </c>
      <c r="O2012" s="2" t="s">
        <v>1477</v>
      </c>
      <c r="P2012" s="4">
        <v>160.01509999999999</v>
      </c>
      <c r="Q2012" s="4">
        <v>1</v>
      </c>
      <c r="R2012" s="4">
        <v>7.194</v>
      </c>
      <c r="S2012" s="2" t="s">
        <v>92</v>
      </c>
      <c r="T2012" s="2" t="s">
        <v>44</v>
      </c>
    </row>
    <row r="2013" spans="1:20" x14ac:dyDescent="0.25">
      <c r="A2013" s="2" t="s">
        <v>3201</v>
      </c>
      <c r="B2013" s="3">
        <v>42750</v>
      </c>
      <c r="C2013" s="3">
        <v>42750</v>
      </c>
      <c r="D2013" s="2" t="s">
        <v>48</v>
      </c>
      <c r="E2013" s="2" t="s">
        <v>1001</v>
      </c>
      <c r="F2013" s="2" t="s">
        <v>1002</v>
      </c>
      <c r="G2013" s="2" t="s">
        <v>24</v>
      </c>
      <c r="H2013" s="2" t="s">
        <v>25</v>
      </c>
      <c r="I2013" s="2" t="s">
        <v>1184</v>
      </c>
      <c r="J2013" s="2" t="s">
        <v>435</v>
      </c>
      <c r="K2013" s="2" t="s">
        <v>61</v>
      </c>
      <c r="L2013" s="2" t="s">
        <v>174</v>
      </c>
      <c r="M2013" s="2" t="s">
        <v>30</v>
      </c>
      <c r="N2013" s="2" t="s">
        <v>31</v>
      </c>
      <c r="O2013" s="2" t="s">
        <v>175</v>
      </c>
      <c r="P2013" s="4">
        <v>20.653099999999998</v>
      </c>
      <c r="Q2013" s="4">
        <v>2</v>
      </c>
      <c r="R2013" s="4">
        <v>-6.3602999999999996</v>
      </c>
      <c r="S2013" s="2" t="s">
        <v>121</v>
      </c>
      <c r="T2013" s="2" t="s">
        <v>115</v>
      </c>
    </row>
    <row r="2014" spans="1:20" x14ac:dyDescent="0.25">
      <c r="A2014" s="2" t="s">
        <v>3201</v>
      </c>
      <c r="B2014" s="3">
        <v>42750</v>
      </c>
      <c r="C2014" s="3">
        <v>42750</v>
      </c>
      <c r="D2014" s="2" t="s">
        <v>48</v>
      </c>
      <c r="E2014" s="2" t="s">
        <v>1001</v>
      </c>
      <c r="F2014" s="2" t="s">
        <v>1002</v>
      </c>
      <c r="G2014" s="2" t="s">
        <v>24</v>
      </c>
      <c r="H2014" s="2" t="s">
        <v>25</v>
      </c>
      <c r="I2014" s="2" t="s">
        <v>1184</v>
      </c>
      <c r="J2014" s="2" t="s">
        <v>435</v>
      </c>
      <c r="K2014" s="2" t="s">
        <v>61</v>
      </c>
      <c r="L2014" s="2" t="s">
        <v>207</v>
      </c>
      <c r="M2014" s="2" t="s">
        <v>30</v>
      </c>
      <c r="N2014" s="2" t="s">
        <v>31</v>
      </c>
      <c r="O2014" s="2" t="s">
        <v>208</v>
      </c>
      <c r="P2014" s="4">
        <v>51.765300000000003</v>
      </c>
      <c r="Q2014" s="4">
        <v>2</v>
      </c>
      <c r="R2014" s="4">
        <v>-0.92090000000000005</v>
      </c>
      <c r="S2014" s="2" t="s">
        <v>121</v>
      </c>
      <c r="T2014" s="2" t="s">
        <v>115</v>
      </c>
    </row>
    <row r="2015" spans="1:20" x14ac:dyDescent="0.25">
      <c r="A2015" s="2" t="s">
        <v>3202</v>
      </c>
      <c r="B2015" s="3">
        <v>42274</v>
      </c>
      <c r="C2015" s="3">
        <v>42277</v>
      </c>
      <c r="D2015" s="2" t="s">
        <v>55</v>
      </c>
      <c r="E2015" s="2" t="s">
        <v>787</v>
      </c>
      <c r="F2015" s="2" t="s">
        <v>788</v>
      </c>
      <c r="G2015" s="2" t="s">
        <v>58</v>
      </c>
      <c r="H2015" s="2" t="s">
        <v>25</v>
      </c>
      <c r="I2015" s="2" t="s">
        <v>437</v>
      </c>
      <c r="J2015" s="2" t="s">
        <v>217</v>
      </c>
      <c r="K2015" s="2" t="s">
        <v>82</v>
      </c>
      <c r="L2015" s="2" t="s">
        <v>45</v>
      </c>
      <c r="M2015" s="2" t="s">
        <v>30</v>
      </c>
      <c r="N2015" s="2" t="s">
        <v>31</v>
      </c>
      <c r="O2015" s="2" t="s">
        <v>46</v>
      </c>
      <c r="P2015" s="4">
        <v>41.097799999999999</v>
      </c>
      <c r="Q2015" s="4">
        <v>7</v>
      </c>
      <c r="R2015" s="4">
        <v>-2.069</v>
      </c>
      <c r="S2015" s="2" t="s">
        <v>92</v>
      </c>
      <c r="T2015" s="2" t="s">
        <v>148</v>
      </c>
    </row>
    <row r="2016" spans="1:20" x14ac:dyDescent="0.25">
      <c r="A2016" s="2" t="s">
        <v>3203</v>
      </c>
      <c r="B2016" s="3">
        <v>42673</v>
      </c>
      <c r="C2016" s="3">
        <v>42674</v>
      </c>
      <c r="D2016" s="2" t="s">
        <v>21</v>
      </c>
      <c r="E2016" s="2" t="s">
        <v>2487</v>
      </c>
      <c r="F2016" s="2" t="s">
        <v>2488</v>
      </c>
      <c r="G2016" s="2" t="s">
        <v>24</v>
      </c>
      <c r="H2016" s="2" t="s">
        <v>25</v>
      </c>
      <c r="I2016" s="2" t="s">
        <v>861</v>
      </c>
      <c r="J2016" s="2" t="s">
        <v>403</v>
      </c>
      <c r="K2016" s="2" t="s">
        <v>147</v>
      </c>
      <c r="L2016" s="2" t="s">
        <v>344</v>
      </c>
      <c r="M2016" s="2" t="s">
        <v>30</v>
      </c>
      <c r="N2016" s="2" t="s">
        <v>42</v>
      </c>
      <c r="O2016" s="2" t="s">
        <v>345</v>
      </c>
      <c r="P2016" s="4">
        <v>528.70320000000004</v>
      </c>
      <c r="Q2016" s="4">
        <v>2</v>
      </c>
      <c r="R2016" s="4">
        <v>-32.555700000000002</v>
      </c>
      <c r="S2016" s="2" t="s">
        <v>33</v>
      </c>
      <c r="T2016" s="2" t="s">
        <v>224</v>
      </c>
    </row>
    <row r="2017" spans="1:20" x14ac:dyDescent="0.25">
      <c r="A2017" s="2" t="s">
        <v>3204</v>
      </c>
      <c r="B2017" s="3">
        <v>41742</v>
      </c>
      <c r="C2017" s="3">
        <v>41746</v>
      </c>
      <c r="D2017" s="2" t="s">
        <v>55</v>
      </c>
      <c r="E2017" s="2" t="s">
        <v>2269</v>
      </c>
      <c r="F2017" s="2" t="s">
        <v>2270</v>
      </c>
      <c r="G2017" s="2" t="s">
        <v>58</v>
      </c>
      <c r="H2017" s="2" t="s">
        <v>25</v>
      </c>
      <c r="I2017" s="2" t="s">
        <v>449</v>
      </c>
      <c r="J2017" s="2" t="s">
        <v>98</v>
      </c>
      <c r="K2017" s="2" t="s">
        <v>82</v>
      </c>
      <c r="L2017" s="2" t="s">
        <v>1476</v>
      </c>
      <c r="M2017" s="2" t="s">
        <v>30</v>
      </c>
      <c r="N2017" s="2" t="s">
        <v>63</v>
      </c>
      <c r="O2017" s="2" t="s">
        <v>1477</v>
      </c>
      <c r="P2017" s="4">
        <v>466.01560000000001</v>
      </c>
      <c r="Q2017" s="4">
        <v>2</v>
      </c>
      <c r="R2017" s="4">
        <v>90.998400000000004</v>
      </c>
      <c r="S2017" s="2" t="s">
        <v>75</v>
      </c>
      <c r="T2017" s="2" t="s">
        <v>108</v>
      </c>
    </row>
    <row r="2018" spans="1:20" x14ac:dyDescent="0.25">
      <c r="A2018" s="2" t="s">
        <v>3205</v>
      </c>
      <c r="B2018" s="3">
        <v>42292</v>
      </c>
      <c r="C2018" s="3">
        <v>42296</v>
      </c>
      <c r="D2018" s="2" t="s">
        <v>55</v>
      </c>
      <c r="E2018" s="2" t="s">
        <v>3206</v>
      </c>
      <c r="F2018" s="2" t="s">
        <v>3207</v>
      </c>
      <c r="G2018" s="2" t="s">
        <v>58</v>
      </c>
      <c r="H2018" s="2" t="s">
        <v>25</v>
      </c>
      <c r="I2018" s="2" t="s">
        <v>594</v>
      </c>
      <c r="J2018" s="2" t="s">
        <v>595</v>
      </c>
      <c r="K2018" s="2" t="s">
        <v>61</v>
      </c>
      <c r="L2018" s="2" t="s">
        <v>139</v>
      </c>
      <c r="M2018" s="2" t="s">
        <v>30</v>
      </c>
      <c r="N2018" s="2" t="s">
        <v>42</v>
      </c>
      <c r="O2018" s="2" t="s">
        <v>140</v>
      </c>
      <c r="P2018" s="4">
        <v>737.60500000000002</v>
      </c>
      <c r="Q2018" s="4">
        <v>7</v>
      </c>
      <c r="R2018" s="4">
        <v>239.48849999999999</v>
      </c>
      <c r="S2018" s="2" t="s">
        <v>75</v>
      </c>
      <c r="T2018" s="2" t="s">
        <v>224</v>
      </c>
    </row>
    <row r="2019" spans="1:20" x14ac:dyDescent="0.25">
      <c r="A2019" s="2" t="s">
        <v>3208</v>
      </c>
      <c r="B2019" s="3">
        <v>42329</v>
      </c>
      <c r="C2019" s="3">
        <v>42329</v>
      </c>
      <c r="D2019" s="2" t="s">
        <v>55</v>
      </c>
      <c r="E2019" s="2" t="s">
        <v>1573</v>
      </c>
      <c r="F2019" s="2" t="s">
        <v>1574</v>
      </c>
      <c r="G2019" s="2" t="s">
        <v>58</v>
      </c>
      <c r="H2019" s="2" t="s">
        <v>25</v>
      </c>
      <c r="I2019" s="2" t="s">
        <v>623</v>
      </c>
      <c r="J2019" s="2" t="s">
        <v>40</v>
      </c>
      <c r="K2019" s="2" t="s">
        <v>28</v>
      </c>
      <c r="L2019" s="2" t="s">
        <v>301</v>
      </c>
      <c r="M2019" s="2" t="s">
        <v>30</v>
      </c>
      <c r="N2019" s="2" t="s">
        <v>162</v>
      </c>
      <c r="O2019" s="2" t="s">
        <v>302</v>
      </c>
      <c r="P2019" s="4">
        <v>1075.7358999999999</v>
      </c>
      <c r="Q2019" s="4">
        <v>1</v>
      </c>
      <c r="R2019" s="4">
        <v>-506.32510000000002</v>
      </c>
      <c r="S2019" s="2" t="s">
        <v>121</v>
      </c>
      <c r="T2019" s="2" t="s">
        <v>93</v>
      </c>
    </row>
    <row r="2020" spans="1:20" x14ac:dyDescent="0.25">
      <c r="A2020" s="2" t="s">
        <v>3209</v>
      </c>
      <c r="B2020" s="3">
        <v>42081</v>
      </c>
      <c r="C2020" s="3">
        <v>42088</v>
      </c>
      <c r="D2020" s="2" t="s">
        <v>55</v>
      </c>
      <c r="E2020" s="2" t="s">
        <v>1701</v>
      </c>
      <c r="F2020" s="2" t="s">
        <v>1702</v>
      </c>
      <c r="G2020" s="2" t="s">
        <v>58</v>
      </c>
      <c r="H2020" s="2" t="s">
        <v>25</v>
      </c>
      <c r="I2020" s="2" t="s">
        <v>760</v>
      </c>
      <c r="J2020" s="2" t="s">
        <v>112</v>
      </c>
      <c r="K2020" s="2" t="s">
        <v>28</v>
      </c>
      <c r="L2020" s="2" t="s">
        <v>235</v>
      </c>
      <c r="M2020" s="2" t="s">
        <v>30</v>
      </c>
      <c r="N2020" s="2" t="s">
        <v>31</v>
      </c>
      <c r="O2020" s="2" t="s">
        <v>236</v>
      </c>
      <c r="P2020" s="4">
        <v>138.779</v>
      </c>
      <c r="Q2020" s="4">
        <v>5</v>
      </c>
      <c r="R2020" s="4">
        <v>46.846200000000003</v>
      </c>
      <c r="S2020" s="2" t="s">
        <v>107</v>
      </c>
      <c r="T2020" s="2" t="s">
        <v>44</v>
      </c>
    </row>
    <row r="2021" spans="1:20" x14ac:dyDescent="0.25">
      <c r="A2021" s="2" t="s">
        <v>3210</v>
      </c>
      <c r="B2021" s="3">
        <v>42516</v>
      </c>
      <c r="C2021" s="3">
        <v>42523</v>
      </c>
      <c r="D2021" s="2" t="s">
        <v>55</v>
      </c>
      <c r="E2021" s="2" t="s">
        <v>3211</v>
      </c>
      <c r="F2021" s="2" t="s">
        <v>3212</v>
      </c>
      <c r="G2021" s="2" t="s">
        <v>24</v>
      </c>
      <c r="H2021" s="2" t="s">
        <v>25</v>
      </c>
      <c r="I2021" s="2" t="s">
        <v>184</v>
      </c>
      <c r="J2021" s="2" t="s">
        <v>185</v>
      </c>
      <c r="K2021" s="2" t="s">
        <v>147</v>
      </c>
      <c r="L2021" s="2" t="s">
        <v>245</v>
      </c>
      <c r="M2021" s="2" t="s">
        <v>30</v>
      </c>
      <c r="N2021" s="2" t="s">
        <v>42</v>
      </c>
      <c r="O2021" s="2" t="s">
        <v>246</v>
      </c>
      <c r="P2021" s="4">
        <v>193.37219999999999</v>
      </c>
      <c r="Q2021" s="4">
        <v>3</v>
      </c>
      <c r="R2021" s="4">
        <v>-22.4314</v>
      </c>
      <c r="S2021" s="2" t="s">
        <v>107</v>
      </c>
      <c r="T2021" s="2" t="s">
        <v>122</v>
      </c>
    </row>
    <row r="2022" spans="1:20" x14ac:dyDescent="0.25">
      <c r="A2022" s="2" t="s">
        <v>3213</v>
      </c>
      <c r="B2022" s="3">
        <v>42150</v>
      </c>
      <c r="C2022" s="3">
        <v>42152</v>
      </c>
      <c r="D2022" s="2" t="s">
        <v>55</v>
      </c>
      <c r="E2022" s="2" t="s">
        <v>1873</v>
      </c>
      <c r="F2022" s="2" t="s">
        <v>1874</v>
      </c>
      <c r="G2022" s="2" t="s">
        <v>58</v>
      </c>
      <c r="H2022" s="2" t="s">
        <v>25</v>
      </c>
      <c r="I2022" s="2" t="s">
        <v>917</v>
      </c>
      <c r="J2022" s="2" t="s">
        <v>120</v>
      </c>
      <c r="K2022" s="2" t="s">
        <v>61</v>
      </c>
      <c r="L2022" s="2" t="s">
        <v>113</v>
      </c>
      <c r="M2022" s="2" t="s">
        <v>30</v>
      </c>
      <c r="N2022" s="2" t="s">
        <v>31</v>
      </c>
      <c r="O2022" s="2" t="s">
        <v>114</v>
      </c>
      <c r="P2022" s="4">
        <v>113.3138</v>
      </c>
      <c r="Q2022" s="4">
        <v>2</v>
      </c>
      <c r="R2022" s="4">
        <v>-11.4975</v>
      </c>
      <c r="S2022" s="2" t="s">
        <v>53</v>
      </c>
      <c r="T2022" s="2" t="s">
        <v>122</v>
      </c>
    </row>
    <row r="2023" spans="1:20" x14ac:dyDescent="0.25">
      <c r="A2023" s="2" t="s">
        <v>3213</v>
      </c>
      <c r="B2023" s="3">
        <v>42150</v>
      </c>
      <c r="C2023" s="3">
        <v>42152</v>
      </c>
      <c r="D2023" s="2" t="s">
        <v>55</v>
      </c>
      <c r="E2023" s="2" t="s">
        <v>1873</v>
      </c>
      <c r="F2023" s="2" t="s">
        <v>1874</v>
      </c>
      <c r="G2023" s="2" t="s">
        <v>58</v>
      </c>
      <c r="H2023" s="2" t="s">
        <v>25</v>
      </c>
      <c r="I2023" s="2" t="s">
        <v>917</v>
      </c>
      <c r="J2023" s="2" t="s">
        <v>120</v>
      </c>
      <c r="K2023" s="2" t="s">
        <v>61</v>
      </c>
      <c r="L2023" s="2" t="s">
        <v>66</v>
      </c>
      <c r="M2023" s="2" t="s">
        <v>30</v>
      </c>
      <c r="N2023" s="2" t="s">
        <v>31</v>
      </c>
      <c r="O2023" s="2" t="s">
        <v>67</v>
      </c>
      <c r="P2023" s="4">
        <v>75.237499999999997</v>
      </c>
      <c r="Q2023" s="4">
        <v>1</v>
      </c>
      <c r="R2023" s="4">
        <v>23.7117</v>
      </c>
      <c r="S2023" s="2" t="s">
        <v>53</v>
      </c>
      <c r="T2023" s="2" t="s">
        <v>122</v>
      </c>
    </row>
    <row r="2024" spans="1:20" x14ac:dyDescent="0.25">
      <c r="A2024" s="2" t="s">
        <v>3214</v>
      </c>
      <c r="B2024" s="3">
        <v>41989</v>
      </c>
      <c r="C2024" s="3">
        <v>41996</v>
      </c>
      <c r="D2024" s="2" t="s">
        <v>55</v>
      </c>
      <c r="E2024" s="2" t="s">
        <v>1217</v>
      </c>
      <c r="F2024" s="2" t="s">
        <v>1218</v>
      </c>
      <c r="G2024" s="2" t="s">
        <v>58</v>
      </c>
      <c r="H2024" s="2" t="s">
        <v>25</v>
      </c>
      <c r="I2024" s="2" t="s">
        <v>423</v>
      </c>
      <c r="J2024" s="2" t="s">
        <v>424</v>
      </c>
      <c r="K2024" s="2" t="s">
        <v>28</v>
      </c>
      <c r="L2024" s="2" t="s">
        <v>29</v>
      </c>
      <c r="M2024" s="2" t="s">
        <v>30</v>
      </c>
      <c r="N2024" s="2" t="s">
        <v>31</v>
      </c>
      <c r="O2024" s="2" t="s">
        <v>32</v>
      </c>
      <c r="P2024" s="4">
        <v>13.4209</v>
      </c>
      <c r="Q2024" s="4">
        <v>4</v>
      </c>
      <c r="R2024" s="4">
        <v>-0.75170000000000003</v>
      </c>
      <c r="S2024" s="2" t="s">
        <v>107</v>
      </c>
      <c r="T2024" s="2" t="s">
        <v>76</v>
      </c>
    </row>
    <row r="2025" spans="1:20" x14ac:dyDescent="0.25">
      <c r="A2025" s="2" t="s">
        <v>3215</v>
      </c>
      <c r="B2025" s="3">
        <v>41673</v>
      </c>
      <c r="C2025" s="3">
        <v>41678</v>
      </c>
      <c r="D2025" s="2" t="s">
        <v>55</v>
      </c>
      <c r="E2025" s="2" t="s">
        <v>1500</v>
      </c>
      <c r="F2025" s="2" t="s">
        <v>1501</v>
      </c>
      <c r="G2025" s="2" t="s">
        <v>38</v>
      </c>
      <c r="H2025" s="2" t="s">
        <v>25</v>
      </c>
      <c r="I2025" s="2" t="s">
        <v>278</v>
      </c>
      <c r="J2025" s="2" t="s">
        <v>279</v>
      </c>
      <c r="K2025" s="2" t="s">
        <v>28</v>
      </c>
      <c r="L2025" s="2" t="s">
        <v>218</v>
      </c>
      <c r="M2025" s="2" t="s">
        <v>30</v>
      </c>
      <c r="N2025" s="2" t="s">
        <v>31</v>
      </c>
      <c r="O2025" s="2" t="s">
        <v>219</v>
      </c>
      <c r="P2025" s="4">
        <v>37.442</v>
      </c>
      <c r="Q2025" s="4">
        <v>1</v>
      </c>
      <c r="R2025" s="4">
        <v>30.0441</v>
      </c>
      <c r="S2025" s="2" t="s">
        <v>85</v>
      </c>
      <c r="T2025" s="2" t="s">
        <v>101</v>
      </c>
    </row>
    <row r="2026" spans="1:20" x14ac:dyDescent="0.25">
      <c r="A2026" s="2" t="s">
        <v>3216</v>
      </c>
      <c r="B2026" s="3">
        <v>42487</v>
      </c>
      <c r="C2026" s="3">
        <v>42490</v>
      </c>
      <c r="D2026" s="2" t="s">
        <v>21</v>
      </c>
      <c r="E2026" s="2" t="s">
        <v>641</v>
      </c>
      <c r="F2026" s="2" t="s">
        <v>642</v>
      </c>
      <c r="G2026" s="2" t="s">
        <v>24</v>
      </c>
      <c r="H2026" s="2" t="s">
        <v>25</v>
      </c>
      <c r="I2026" s="2" t="s">
        <v>1381</v>
      </c>
      <c r="J2026" s="2" t="s">
        <v>127</v>
      </c>
      <c r="K2026" s="2" t="s">
        <v>82</v>
      </c>
      <c r="L2026" s="2" t="s">
        <v>73</v>
      </c>
      <c r="M2026" s="2" t="s">
        <v>30</v>
      </c>
      <c r="N2026" s="2" t="s">
        <v>42</v>
      </c>
      <c r="O2026" s="2" t="s">
        <v>74</v>
      </c>
      <c r="P2026" s="4">
        <v>63.8232</v>
      </c>
      <c r="Q2026" s="4">
        <v>1</v>
      </c>
      <c r="R2026" s="4">
        <v>27.988399999999999</v>
      </c>
      <c r="S2026" s="2" t="s">
        <v>92</v>
      </c>
      <c r="T2026" s="2" t="s">
        <v>108</v>
      </c>
    </row>
    <row r="2027" spans="1:20" x14ac:dyDescent="0.25">
      <c r="A2027" s="2" t="s">
        <v>3217</v>
      </c>
      <c r="B2027" s="3">
        <v>42914</v>
      </c>
      <c r="C2027" s="3">
        <v>42921</v>
      </c>
      <c r="D2027" s="2" t="s">
        <v>55</v>
      </c>
      <c r="E2027" s="2" t="s">
        <v>939</v>
      </c>
      <c r="F2027" s="2" t="s">
        <v>940</v>
      </c>
      <c r="G2027" s="2" t="s">
        <v>58</v>
      </c>
      <c r="H2027" s="2" t="s">
        <v>25</v>
      </c>
      <c r="I2027" s="2" t="s">
        <v>159</v>
      </c>
      <c r="J2027" s="2" t="s">
        <v>160</v>
      </c>
      <c r="K2027" s="2" t="s">
        <v>61</v>
      </c>
      <c r="L2027" s="2" t="s">
        <v>235</v>
      </c>
      <c r="M2027" s="2" t="s">
        <v>30</v>
      </c>
      <c r="N2027" s="2" t="s">
        <v>31</v>
      </c>
      <c r="O2027" s="2" t="s">
        <v>236</v>
      </c>
      <c r="P2027" s="4">
        <v>78.627600000000001</v>
      </c>
      <c r="Q2027" s="4">
        <v>3</v>
      </c>
      <c r="R2027" s="4">
        <v>5.7545000000000002</v>
      </c>
      <c r="S2027" s="2" t="s">
        <v>107</v>
      </c>
      <c r="T2027" s="2" t="s">
        <v>133</v>
      </c>
    </row>
    <row r="2028" spans="1:20" x14ac:dyDescent="0.25">
      <c r="A2028" s="2" t="s">
        <v>3218</v>
      </c>
      <c r="B2028" s="3">
        <v>41943</v>
      </c>
      <c r="C2028" s="3">
        <v>41943</v>
      </c>
      <c r="D2028" s="2" t="s">
        <v>55</v>
      </c>
      <c r="E2028" s="2" t="s">
        <v>854</v>
      </c>
      <c r="F2028" s="2" t="s">
        <v>855</v>
      </c>
      <c r="G2028" s="2" t="s">
        <v>24</v>
      </c>
      <c r="H2028" s="2" t="s">
        <v>25</v>
      </c>
      <c r="I2028" s="2" t="s">
        <v>152</v>
      </c>
      <c r="J2028" s="2" t="s">
        <v>153</v>
      </c>
      <c r="K2028" s="2" t="s">
        <v>147</v>
      </c>
      <c r="L2028" s="2" t="s">
        <v>218</v>
      </c>
      <c r="M2028" s="2" t="s">
        <v>30</v>
      </c>
      <c r="N2028" s="2" t="s">
        <v>31</v>
      </c>
      <c r="O2028" s="2" t="s">
        <v>219</v>
      </c>
      <c r="P2028" s="4">
        <v>61.486600000000003</v>
      </c>
      <c r="Q2028" s="4">
        <v>3</v>
      </c>
      <c r="R2028" s="4">
        <v>-18.595600000000001</v>
      </c>
      <c r="S2028" s="2" t="s">
        <v>121</v>
      </c>
      <c r="T2028" s="2" t="s">
        <v>224</v>
      </c>
    </row>
    <row r="2029" spans="1:20" x14ac:dyDescent="0.25">
      <c r="A2029" s="2" t="s">
        <v>3219</v>
      </c>
      <c r="B2029" s="3">
        <v>42342</v>
      </c>
      <c r="C2029" s="3">
        <v>42343</v>
      </c>
      <c r="D2029" s="2" t="s">
        <v>21</v>
      </c>
      <c r="E2029" s="2" t="s">
        <v>2501</v>
      </c>
      <c r="F2029" s="2" t="s">
        <v>2502</v>
      </c>
      <c r="G2029" s="2" t="s">
        <v>38</v>
      </c>
      <c r="H2029" s="2" t="s">
        <v>25</v>
      </c>
      <c r="I2029" s="2" t="s">
        <v>969</v>
      </c>
      <c r="J2029" s="2" t="s">
        <v>387</v>
      </c>
      <c r="K2029" s="2" t="s">
        <v>61</v>
      </c>
      <c r="L2029" s="2" t="s">
        <v>161</v>
      </c>
      <c r="M2029" s="2" t="s">
        <v>30</v>
      </c>
      <c r="N2029" s="2" t="s">
        <v>162</v>
      </c>
      <c r="O2029" s="2" t="s">
        <v>163</v>
      </c>
      <c r="P2029" s="4">
        <v>517.13530000000003</v>
      </c>
      <c r="Q2029" s="4">
        <v>1</v>
      </c>
      <c r="R2029" s="4">
        <v>-26.342099999999999</v>
      </c>
      <c r="S2029" s="2" t="s">
        <v>33</v>
      </c>
      <c r="T2029" s="2" t="s">
        <v>76</v>
      </c>
    </row>
    <row r="2030" spans="1:20" x14ac:dyDescent="0.25">
      <c r="A2030" s="2" t="s">
        <v>3219</v>
      </c>
      <c r="B2030" s="3">
        <v>42342</v>
      </c>
      <c r="C2030" s="3">
        <v>42343</v>
      </c>
      <c r="D2030" s="2" t="s">
        <v>21</v>
      </c>
      <c r="E2030" s="2" t="s">
        <v>2501</v>
      </c>
      <c r="F2030" s="2" t="s">
        <v>2502</v>
      </c>
      <c r="G2030" s="2" t="s">
        <v>38</v>
      </c>
      <c r="H2030" s="2" t="s">
        <v>25</v>
      </c>
      <c r="I2030" s="2" t="s">
        <v>969</v>
      </c>
      <c r="J2030" s="2" t="s">
        <v>387</v>
      </c>
      <c r="K2030" s="2" t="s">
        <v>61</v>
      </c>
      <c r="L2030" s="2" t="s">
        <v>344</v>
      </c>
      <c r="M2030" s="2" t="s">
        <v>30</v>
      </c>
      <c r="N2030" s="2" t="s">
        <v>42</v>
      </c>
      <c r="O2030" s="2" t="s">
        <v>345</v>
      </c>
      <c r="P2030" s="4">
        <v>84.676699999999997</v>
      </c>
      <c r="Q2030" s="4">
        <v>5</v>
      </c>
      <c r="R2030" s="4">
        <v>9.8193999999999999</v>
      </c>
      <c r="S2030" s="2" t="s">
        <v>33</v>
      </c>
      <c r="T2030" s="2" t="s">
        <v>76</v>
      </c>
    </row>
    <row r="2031" spans="1:20" x14ac:dyDescent="0.25">
      <c r="A2031" s="2" t="s">
        <v>3220</v>
      </c>
      <c r="B2031" s="3">
        <v>41796</v>
      </c>
      <c r="C2031" s="3">
        <v>41796</v>
      </c>
      <c r="D2031" s="2" t="s">
        <v>55</v>
      </c>
      <c r="E2031" s="2" t="s">
        <v>117</v>
      </c>
      <c r="F2031" s="2" t="s">
        <v>118</v>
      </c>
      <c r="G2031" s="2" t="s">
        <v>58</v>
      </c>
      <c r="H2031" s="2" t="s">
        <v>25</v>
      </c>
      <c r="I2031" s="2" t="s">
        <v>825</v>
      </c>
      <c r="J2031" s="2" t="s">
        <v>753</v>
      </c>
      <c r="K2031" s="2" t="s">
        <v>147</v>
      </c>
      <c r="L2031" s="2" t="s">
        <v>154</v>
      </c>
      <c r="M2031" s="2" t="s">
        <v>30</v>
      </c>
      <c r="N2031" s="2" t="s">
        <v>42</v>
      </c>
      <c r="O2031" s="2" t="s">
        <v>155</v>
      </c>
      <c r="P2031" s="4">
        <v>677.67650000000003</v>
      </c>
      <c r="Q2031" s="4">
        <v>3</v>
      </c>
      <c r="R2031" s="4">
        <v>-8.5236999999999998</v>
      </c>
      <c r="S2031" s="2" t="s">
        <v>121</v>
      </c>
      <c r="T2031" s="2" t="s">
        <v>133</v>
      </c>
    </row>
    <row r="2032" spans="1:20" x14ac:dyDescent="0.25">
      <c r="A2032" s="2" t="s">
        <v>3221</v>
      </c>
      <c r="B2032" s="3">
        <v>42772</v>
      </c>
      <c r="C2032" s="3">
        <v>42773</v>
      </c>
      <c r="D2032" s="2" t="s">
        <v>48</v>
      </c>
      <c r="E2032" s="2" t="s">
        <v>1446</v>
      </c>
      <c r="F2032" s="2" t="s">
        <v>1447</v>
      </c>
      <c r="G2032" s="2" t="s">
        <v>58</v>
      </c>
      <c r="H2032" s="2" t="s">
        <v>25</v>
      </c>
      <c r="I2032" s="2" t="s">
        <v>212</v>
      </c>
      <c r="J2032" s="2" t="s">
        <v>185</v>
      </c>
      <c r="K2032" s="2" t="s">
        <v>147</v>
      </c>
      <c r="L2032" s="2" t="s">
        <v>311</v>
      </c>
      <c r="M2032" s="2" t="s">
        <v>30</v>
      </c>
      <c r="N2032" s="2" t="s">
        <v>63</v>
      </c>
      <c r="O2032" s="2" t="s">
        <v>312</v>
      </c>
      <c r="P2032" s="4">
        <v>236.86170000000001</v>
      </c>
      <c r="Q2032" s="4">
        <v>5</v>
      </c>
      <c r="R2032" s="4">
        <v>135.6934</v>
      </c>
      <c r="S2032" s="2" t="s">
        <v>33</v>
      </c>
      <c r="T2032" s="2" t="s">
        <v>101</v>
      </c>
    </row>
    <row r="2033" spans="1:20" x14ac:dyDescent="0.25">
      <c r="A2033" s="2" t="s">
        <v>3222</v>
      </c>
      <c r="B2033" s="3">
        <v>42101</v>
      </c>
      <c r="C2033" s="3">
        <v>42102</v>
      </c>
      <c r="D2033" s="2" t="s">
        <v>55</v>
      </c>
      <c r="E2033" s="2" t="s">
        <v>412</v>
      </c>
      <c r="F2033" s="2" t="s">
        <v>413</v>
      </c>
      <c r="G2033" s="2" t="s">
        <v>58</v>
      </c>
      <c r="H2033" s="2" t="s">
        <v>25</v>
      </c>
      <c r="I2033" s="2" t="s">
        <v>1366</v>
      </c>
      <c r="J2033" s="2" t="s">
        <v>244</v>
      </c>
      <c r="K2033" s="2" t="s">
        <v>61</v>
      </c>
      <c r="L2033" s="2" t="s">
        <v>316</v>
      </c>
      <c r="M2033" s="2" t="s">
        <v>30</v>
      </c>
      <c r="N2033" s="2" t="s">
        <v>42</v>
      </c>
      <c r="O2033" s="2" t="s">
        <v>317</v>
      </c>
      <c r="P2033" s="4">
        <v>689.56880000000001</v>
      </c>
      <c r="Q2033" s="4">
        <v>7</v>
      </c>
      <c r="R2033" s="4">
        <v>-130.63050000000001</v>
      </c>
      <c r="S2033" s="2" t="s">
        <v>33</v>
      </c>
      <c r="T2033" s="2" t="s">
        <v>108</v>
      </c>
    </row>
    <row r="2034" spans="1:20" x14ac:dyDescent="0.25">
      <c r="A2034" s="2" t="s">
        <v>3223</v>
      </c>
      <c r="B2034" s="3">
        <v>42648</v>
      </c>
      <c r="C2034" s="3">
        <v>42652</v>
      </c>
      <c r="D2034" s="2" t="s">
        <v>55</v>
      </c>
      <c r="E2034" s="2" t="s">
        <v>1666</v>
      </c>
      <c r="F2034" s="2" t="s">
        <v>1667</v>
      </c>
      <c r="G2034" s="2" t="s">
        <v>58</v>
      </c>
      <c r="H2034" s="2" t="s">
        <v>25</v>
      </c>
      <c r="I2034" s="2" t="s">
        <v>631</v>
      </c>
      <c r="J2034" s="2" t="s">
        <v>632</v>
      </c>
      <c r="K2034" s="2" t="s">
        <v>82</v>
      </c>
      <c r="L2034" s="2" t="s">
        <v>316</v>
      </c>
      <c r="M2034" s="2" t="s">
        <v>30</v>
      </c>
      <c r="N2034" s="2" t="s">
        <v>42</v>
      </c>
      <c r="O2034" s="2" t="s">
        <v>317</v>
      </c>
      <c r="P2034" s="4">
        <v>398.649</v>
      </c>
      <c r="Q2034" s="4">
        <v>2</v>
      </c>
      <c r="R2034" s="4">
        <v>108.0797</v>
      </c>
      <c r="S2034" s="2" t="s">
        <v>75</v>
      </c>
      <c r="T2034" s="2" t="s">
        <v>224</v>
      </c>
    </row>
    <row r="2035" spans="1:20" x14ac:dyDescent="0.25">
      <c r="A2035" s="2" t="s">
        <v>3224</v>
      </c>
      <c r="B2035" s="3">
        <v>42411</v>
      </c>
      <c r="C2035" s="3">
        <v>42411</v>
      </c>
      <c r="D2035" s="2" t="s">
        <v>21</v>
      </c>
      <c r="E2035" s="2" t="s">
        <v>1063</v>
      </c>
      <c r="F2035" s="2" t="s">
        <v>1064</v>
      </c>
      <c r="G2035" s="2" t="s">
        <v>24</v>
      </c>
      <c r="H2035" s="2" t="s">
        <v>25</v>
      </c>
      <c r="I2035" s="2" t="s">
        <v>437</v>
      </c>
      <c r="J2035" s="2" t="s">
        <v>217</v>
      </c>
      <c r="K2035" s="2" t="s">
        <v>82</v>
      </c>
      <c r="L2035" s="2" t="s">
        <v>207</v>
      </c>
      <c r="M2035" s="2" t="s">
        <v>30</v>
      </c>
      <c r="N2035" s="2" t="s">
        <v>31</v>
      </c>
      <c r="O2035" s="2" t="s">
        <v>208</v>
      </c>
      <c r="P2035" s="4">
        <v>55.315800000000003</v>
      </c>
      <c r="Q2035" s="4">
        <v>3</v>
      </c>
      <c r="R2035" s="4">
        <v>-27.962299999999999</v>
      </c>
      <c r="S2035" s="2" t="s">
        <v>121</v>
      </c>
      <c r="T2035" s="2" t="s">
        <v>101</v>
      </c>
    </row>
    <row r="2036" spans="1:20" x14ac:dyDescent="0.25">
      <c r="A2036" s="2" t="s">
        <v>3225</v>
      </c>
      <c r="B2036" s="3">
        <v>42233</v>
      </c>
      <c r="C2036" s="3">
        <v>42234</v>
      </c>
      <c r="D2036" s="2" t="s">
        <v>48</v>
      </c>
      <c r="E2036" s="2" t="s">
        <v>299</v>
      </c>
      <c r="F2036" s="2" t="s">
        <v>300</v>
      </c>
      <c r="G2036" s="2" t="s">
        <v>58</v>
      </c>
      <c r="H2036" s="2" t="s">
        <v>25</v>
      </c>
      <c r="I2036" s="2" t="s">
        <v>293</v>
      </c>
      <c r="J2036" s="2" t="s">
        <v>260</v>
      </c>
      <c r="K2036" s="2" t="s">
        <v>147</v>
      </c>
      <c r="L2036" s="2" t="s">
        <v>186</v>
      </c>
      <c r="M2036" s="2" t="s">
        <v>30</v>
      </c>
      <c r="N2036" s="2" t="s">
        <v>31</v>
      </c>
      <c r="O2036" s="2" t="s">
        <v>187</v>
      </c>
      <c r="P2036" s="4">
        <v>25.981100000000001</v>
      </c>
      <c r="Q2036" s="4">
        <v>6</v>
      </c>
      <c r="R2036" s="4">
        <v>-7.2347000000000001</v>
      </c>
      <c r="S2036" s="2" t="s">
        <v>33</v>
      </c>
      <c r="T2036" s="2" t="s">
        <v>34</v>
      </c>
    </row>
    <row r="2037" spans="1:20" x14ac:dyDescent="0.25">
      <c r="A2037" s="2" t="s">
        <v>3226</v>
      </c>
      <c r="B2037" s="3">
        <v>41664</v>
      </c>
      <c r="C2037" s="3">
        <v>41667</v>
      </c>
      <c r="D2037" s="2" t="s">
        <v>21</v>
      </c>
      <c r="E2037" s="2" t="s">
        <v>954</v>
      </c>
      <c r="F2037" s="2" t="s">
        <v>955</v>
      </c>
      <c r="G2037" s="2" t="s">
        <v>58</v>
      </c>
      <c r="H2037" s="2" t="s">
        <v>25</v>
      </c>
      <c r="I2037" s="2" t="s">
        <v>605</v>
      </c>
      <c r="J2037" s="2" t="s">
        <v>424</v>
      </c>
      <c r="K2037" s="2" t="s">
        <v>28</v>
      </c>
      <c r="L2037" s="2" t="s">
        <v>252</v>
      </c>
      <c r="M2037" s="2" t="s">
        <v>30</v>
      </c>
      <c r="N2037" s="2" t="s">
        <v>31</v>
      </c>
      <c r="O2037" s="2" t="s">
        <v>253</v>
      </c>
      <c r="P2037" s="4">
        <v>16.7927</v>
      </c>
      <c r="Q2037" s="4">
        <v>4</v>
      </c>
      <c r="R2037" s="4">
        <v>1.7724</v>
      </c>
      <c r="S2037" s="2" t="s">
        <v>92</v>
      </c>
      <c r="T2037" s="2" t="s">
        <v>115</v>
      </c>
    </row>
    <row r="2038" spans="1:20" x14ac:dyDescent="0.25">
      <c r="A2038" s="2" t="s">
        <v>3227</v>
      </c>
      <c r="B2038" s="3">
        <v>42893</v>
      </c>
      <c r="C2038" s="3">
        <v>42894</v>
      </c>
      <c r="D2038" s="2" t="s">
        <v>21</v>
      </c>
      <c r="E2038" s="2" t="s">
        <v>1249</v>
      </c>
      <c r="F2038" s="2" t="s">
        <v>1250</v>
      </c>
      <c r="G2038" s="2" t="s">
        <v>38</v>
      </c>
      <c r="H2038" s="2" t="s">
        <v>25</v>
      </c>
      <c r="I2038" s="2" t="s">
        <v>449</v>
      </c>
      <c r="J2038" s="2" t="s">
        <v>98</v>
      </c>
      <c r="K2038" s="2" t="s">
        <v>82</v>
      </c>
      <c r="L2038" s="2" t="s">
        <v>207</v>
      </c>
      <c r="M2038" s="2" t="s">
        <v>30</v>
      </c>
      <c r="N2038" s="2" t="s">
        <v>31</v>
      </c>
      <c r="O2038" s="2" t="s">
        <v>208</v>
      </c>
      <c r="P2038" s="4">
        <v>260.72820000000002</v>
      </c>
      <c r="Q2038" s="4">
        <v>7</v>
      </c>
      <c r="R2038" s="4">
        <v>53.283499999999997</v>
      </c>
      <c r="S2038" s="2" t="s">
        <v>33</v>
      </c>
      <c r="T2038" s="2" t="s">
        <v>133</v>
      </c>
    </row>
    <row r="2039" spans="1:20" x14ac:dyDescent="0.25">
      <c r="A2039" s="2" t="s">
        <v>3228</v>
      </c>
      <c r="B2039" s="3">
        <v>41967</v>
      </c>
      <c r="C2039" s="3">
        <v>41969</v>
      </c>
      <c r="D2039" s="2" t="s">
        <v>55</v>
      </c>
      <c r="E2039" s="2" t="s">
        <v>3229</v>
      </c>
      <c r="F2039" s="2" t="s">
        <v>3230</v>
      </c>
      <c r="G2039" s="2" t="s">
        <v>58</v>
      </c>
      <c r="H2039" s="2" t="s">
        <v>25</v>
      </c>
      <c r="I2039" s="2" t="s">
        <v>309</v>
      </c>
      <c r="J2039" s="2" t="s">
        <v>310</v>
      </c>
      <c r="K2039" s="2" t="s">
        <v>28</v>
      </c>
      <c r="L2039" s="2" t="s">
        <v>316</v>
      </c>
      <c r="M2039" s="2" t="s">
        <v>30</v>
      </c>
      <c r="N2039" s="2" t="s">
        <v>42</v>
      </c>
      <c r="O2039" s="2" t="s">
        <v>317</v>
      </c>
      <c r="P2039" s="4">
        <v>791.36</v>
      </c>
      <c r="Q2039" s="4">
        <v>3</v>
      </c>
      <c r="R2039" s="4">
        <v>239.50450000000001</v>
      </c>
      <c r="S2039" s="2" t="s">
        <v>53</v>
      </c>
      <c r="T2039" s="2" t="s">
        <v>93</v>
      </c>
    </row>
    <row r="2040" spans="1:20" x14ac:dyDescent="0.25">
      <c r="A2040" s="2" t="s">
        <v>3231</v>
      </c>
      <c r="B2040" s="3">
        <v>41675</v>
      </c>
      <c r="C2040" s="3">
        <v>41677</v>
      </c>
      <c r="D2040" s="2" t="s">
        <v>55</v>
      </c>
      <c r="E2040" s="2" t="s">
        <v>634</v>
      </c>
      <c r="F2040" s="2" t="s">
        <v>635</v>
      </c>
      <c r="G2040" s="2" t="s">
        <v>24</v>
      </c>
      <c r="H2040" s="2" t="s">
        <v>25</v>
      </c>
      <c r="I2040" s="2" t="s">
        <v>90</v>
      </c>
      <c r="J2040" s="2" t="s">
        <v>91</v>
      </c>
      <c r="K2040" s="2" t="s">
        <v>61</v>
      </c>
      <c r="L2040" s="2" t="s">
        <v>154</v>
      </c>
      <c r="M2040" s="2" t="s">
        <v>30</v>
      </c>
      <c r="N2040" s="2" t="s">
        <v>42</v>
      </c>
      <c r="O2040" s="2" t="s">
        <v>155</v>
      </c>
      <c r="P2040" s="4">
        <v>170.19890000000001</v>
      </c>
      <c r="Q2040" s="4">
        <v>4</v>
      </c>
      <c r="R2040" s="4">
        <v>27.422799999999999</v>
      </c>
      <c r="S2040" s="2" t="s">
        <v>53</v>
      </c>
      <c r="T2040" s="2" t="s">
        <v>101</v>
      </c>
    </row>
    <row r="2041" spans="1:20" x14ac:dyDescent="0.25">
      <c r="A2041" s="2" t="s">
        <v>3232</v>
      </c>
      <c r="B2041" s="3">
        <v>41962</v>
      </c>
      <c r="C2041" s="3">
        <v>41964</v>
      </c>
      <c r="D2041" s="2" t="s">
        <v>55</v>
      </c>
      <c r="E2041" s="2" t="s">
        <v>2882</v>
      </c>
      <c r="F2041" s="2" t="s">
        <v>2883</v>
      </c>
      <c r="G2041" s="2" t="s">
        <v>58</v>
      </c>
      <c r="H2041" s="2" t="s">
        <v>25</v>
      </c>
      <c r="I2041" s="2" t="s">
        <v>350</v>
      </c>
      <c r="J2041" s="2" t="s">
        <v>351</v>
      </c>
      <c r="K2041" s="2" t="s">
        <v>147</v>
      </c>
      <c r="L2041" s="2" t="s">
        <v>99</v>
      </c>
      <c r="M2041" s="2" t="s">
        <v>30</v>
      </c>
      <c r="N2041" s="2" t="s">
        <v>42</v>
      </c>
      <c r="O2041" s="2" t="s">
        <v>100</v>
      </c>
      <c r="P2041" s="4">
        <v>898.31380000000001</v>
      </c>
      <c r="Q2041" s="4">
        <v>2</v>
      </c>
      <c r="R2041" s="4">
        <v>341.06319999999999</v>
      </c>
      <c r="S2041" s="2" t="s">
        <v>53</v>
      </c>
      <c r="T2041" s="2" t="s">
        <v>93</v>
      </c>
    </row>
    <row r="2042" spans="1:20" x14ac:dyDescent="0.25">
      <c r="A2042" s="2" t="s">
        <v>3233</v>
      </c>
      <c r="B2042" s="3">
        <v>43075</v>
      </c>
      <c r="C2042" s="3">
        <v>43076</v>
      </c>
      <c r="D2042" s="2" t="s">
        <v>21</v>
      </c>
      <c r="E2042" s="2" t="s">
        <v>1734</v>
      </c>
      <c r="F2042" s="2" t="s">
        <v>1735</v>
      </c>
      <c r="G2042" s="2" t="s">
        <v>58</v>
      </c>
      <c r="H2042" s="2" t="s">
        <v>25</v>
      </c>
      <c r="I2042" s="2" t="s">
        <v>338</v>
      </c>
      <c r="J2042" s="2" t="s">
        <v>339</v>
      </c>
      <c r="K2042" s="2" t="s">
        <v>82</v>
      </c>
      <c r="L2042" s="2" t="s">
        <v>235</v>
      </c>
      <c r="M2042" s="2" t="s">
        <v>30</v>
      </c>
      <c r="N2042" s="2" t="s">
        <v>31</v>
      </c>
      <c r="O2042" s="2" t="s">
        <v>236</v>
      </c>
      <c r="P2042" s="4">
        <v>37.577300000000001</v>
      </c>
      <c r="Q2042" s="4">
        <v>6</v>
      </c>
      <c r="R2042" s="4">
        <v>-14.452500000000001</v>
      </c>
      <c r="S2042" s="2" t="s">
        <v>33</v>
      </c>
      <c r="T2042" s="2" t="s">
        <v>76</v>
      </c>
    </row>
    <row r="2043" spans="1:20" x14ac:dyDescent="0.25">
      <c r="A2043" s="2" t="s">
        <v>3233</v>
      </c>
      <c r="B2043" s="3">
        <v>43075</v>
      </c>
      <c r="C2043" s="3">
        <v>43076</v>
      </c>
      <c r="D2043" s="2" t="s">
        <v>21</v>
      </c>
      <c r="E2043" s="2" t="s">
        <v>1734</v>
      </c>
      <c r="F2043" s="2" t="s">
        <v>1735</v>
      </c>
      <c r="G2043" s="2" t="s">
        <v>58</v>
      </c>
      <c r="H2043" s="2" t="s">
        <v>25</v>
      </c>
      <c r="I2043" s="2" t="s">
        <v>338</v>
      </c>
      <c r="J2043" s="2" t="s">
        <v>339</v>
      </c>
      <c r="K2043" s="2" t="s">
        <v>82</v>
      </c>
      <c r="L2043" s="2" t="s">
        <v>323</v>
      </c>
      <c r="M2043" s="2" t="s">
        <v>30</v>
      </c>
      <c r="N2043" s="2" t="s">
        <v>31</v>
      </c>
      <c r="O2043" s="2" t="s">
        <v>324</v>
      </c>
      <c r="P2043" s="4">
        <v>64.5137</v>
      </c>
      <c r="Q2043" s="4">
        <v>3</v>
      </c>
      <c r="R2043" s="4">
        <v>29.9283</v>
      </c>
      <c r="S2043" s="2" t="s">
        <v>33</v>
      </c>
      <c r="T2043" s="2" t="s">
        <v>76</v>
      </c>
    </row>
    <row r="2044" spans="1:20" x14ac:dyDescent="0.25">
      <c r="A2044" s="2" t="s">
        <v>3234</v>
      </c>
      <c r="B2044" s="3">
        <v>41727</v>
      </c>
      <c r="C2044" s="3">
        <v>41731</v>
      </c>
      <c r="D2044" s="2" t="s">
        <v>21</v>
      </c>
      <c r="E2044" s="2" t="s">
        <v>1716</v>
      </c>
      <c r="F2044" s="2" t="s">
        <v>1717</v>
      </c>
      <c r="G2044" s="2" t="s">
        <v>58</v>
      </c>
      <c r="H2044" s="2" t="s">
        <v>25</v>
      </c>
      <c r="I2044" s="2" t="s">
        <v>533</v>
      </c>
      <c r="J2044" s="2" t="s">
        <v>72</v>
      </c>
      <c r="K2044" s="2" t="s">
        <v>61</v>
      </c>
      <c r="L2044" s="2" t="s">
        <v>154</v>
      </c>
      <c r="M2044" s="2" t="s">
        <v>30</v>
      </c>
      <c r="N2044" s="2" t="s">
        <v>42</v>
      </c>
      <c r="O2044" s="2" t="s">
        <v>155</v>
      </c>
      <c r="P2044" s="4">
        <v>445.9932</v>
      </c>
      <c r="Q2044" s="4">
        <v>2</v>
      </c>
      <c r="R2044" s="4">
        <v>31.745000000000001</v>
      </c>
      <c r="S2044" s="2" t="s">
        <v>75</v>
      </c>
      <c r="T2044" s="2" t="s">
        <v>44</v>
      </c>
    </row>
    <row r="2045" spans="1:20" x14ac:dyDescent="0.25">
      <c r="A2045" s="2" t="s">
        <v>3235</v>
      </c>
      <c r="B2045" s="3">
        <v>41859</v>
      </c>
      <c r="C2045" s="3">
        <v>41862</v>
      </c>
      <c r="D2045" s="2" t="s">
        <v>55</v>
      </c>
      <c r="E2045" s="2" t="s">
        <v>2249</v>
      </c>
      <c r="F2045" s="2" t="s">
        <v>2250</v>
      </c>
      <c r="G2045" s="2" t="s">
        <v>38</v>
      </c>
      <c r="H2045" s="2" t="s">
        <v>25</v>
      </c>
      <c r="I2045" s="2" t="s">
        <v>752</v>
      </c>
      <c r="J2045" s="2" t="s">
        <v>753</v>
      </c>
      <c r="K2045" s="2" t="s">
        <v>147</v>
      </c>
      <c r="L2045" s="2" t="s">
        <v>99</v>
      </c>
      <c r="M2045" s="2" t="s">
        <v>30</v>
      </c>
      <c r="N2045" s="2" t="s">
        <v>42</v>
      </c>
      <c r="O2045" s="2" t="s">
        <v>100</v>
      </c>
      <c r="P2045" s="4">
        <v>168.24080000000001</v>
      </c>
      <c r="Q2045" s="4">
        <v>2</v>
      </c>
      <c r="R2045" s="4">
        <v>47.818899999999999</v>
      </c>
      <c r="S2045" s="2" t="s">
        <v>92</v>
      </c>
      <c r="T2045" s="2" t="s">
        <v>34</v>
      </c>
    </row>
    <row r="2046" spans="1:20" x14ac:dyDescent="0.25">
      <c r="A2046" s="2" t="s">
        <v>3236</v>
      </c>
      <c r="B2046" s="3">
        <v>41811</v>
      </c>
      <c r="C2046" s="3">
        <v>41815</v>
      </c>
      <c r="D2046" s="2" t="s">
        <v>55</v>
      </c>
      <c r="E2046" s="2" t="s">
        <v>2278</v>
      </c>
      <c r="F2046" s="2" t="s">
        <v>2279</v>
      </c>
      <c r="G2046" s="2" t="s">
        <v>58</v>
      </c>
      <c r="H2046" s="2" t="s">
        <v>25</v>
      </c>
      <c r="I2046" s="2" t="s">
        <v>617</v>
      </c>
      <c r="J2046" s="2" t="s">
        <v>168</v>
      </c>
      <c r="K2046" s="2" t="s">
        <v>28</v>
      </c>
      <c r="L2046" s="2" t="s">
        <v>252</v>
      </c>
      <c r="M2046" s="2" t="s">
        <v>30</v>
      </c>
      <c r="N2046" s="2" t="s">
        <v>31</v>
      </c>
      <c r="O2046" s="2" t="s">
        <v>253</v>
      </c>
      <c r="P2046" s="4">
        <v>54.315800000000003</v>
      </c>
      <c r="Q2046" s="4">
        <v>4</v>
      </c>
      <c r="R2046" s="4">
        <v>23.3935</v>
      </c>
      <c r="S2046" s="2" t="s">
        <v>75</v>
      </c>
      <c r="T2046" s="2" t="s">
        <v>133</v>
      </c>
    </row>
    <row r="2047" spans="1:20" x14ac:dyDescent="0.25">
      <c r="A2047" s="2" t="s">
        <v>3237</v>
      </c>
      <c r="B2047" s="3">
        <v>43096</v>
      </c>
      <c r="C2047" s="3">
        <v>43102</v>
      </c>
      <c r="D2047" s="2" t="s">
        <v>55</v>
      </c>
      <c r="E2047" s="2" t="s">
        <v>3038</v>
      </c>
      <c r="F2047" s="2" t="s">
        <v>3039</v>
      </c>
      <c r="G2047" s="2" t="s">
        <v>58</v>
      </c>
      <c r="H2047" s="2" t="s">
        <v>25</v>
      </c>
      <c r="I2047" s="2" t="s">
        <v>639</v>
      </c>
      <c r="J2047" s="2" t="s">
        <v>192</v>
      </c>
      <c r="K2047" s="2" t="s">
        <v>82</v>
      </c>
      <c r="L2047" s="2" t="s">
        <v>899</v>
      </c>
      <c r="M2047" s="2" t="s">
        <v>30</v>
      </c>
      <c r="N2047" s="2" t="s">
        <v>63</v>
      </c>
      <c r="O2047" s="2" t="s">
        <v>900</v>
      </c>
      <c r="P2047" s="4">
        <v>84.013800000000003</v>
      </c>
      <c r="Q2047" s="4">
        <v>3</v>
      </c>
      <c r="R2047" s="4">
        <v>-17.286100000000001</v>
      </c>
      <c r="S2047" s="2" t="s">
        <v>65</v>
      </c>
      <c r="T2047" s="2" t="s">
        <v>76</v>
      </c>
    </row>
    <row r="2048" spans="1:20" x14ac:dyDescent="0.25">
      <c r="A2048" s="2" t="s">
        <v>3238</v>
      </c>
      <c r="B2048" s="3">
        <v>41864</v>
      </c>
      <c r="C2048" s="3">
        <v>41864</v>
      </c>
      <c r="D2048" s="2" t="s">
        <v>142</v>
      </c>
      <c r="E2048" s="2" t="s">
        <v>3239</v>
      </c>
      <c r="F2048" s="2" t="s">
        <v>3240</v>
      </c>
      <c r="G2048" s="2" t="s">
        <v>38</v>
      </c>
      <c r="H2048" s="2" t="s">
        <v>25</v>
      </c>
      <c r="I2048" s="2" t="s">
        <v>727</v>
      </c>
      <c r="J2048" s="2" t="s">
        <v>728</v>
      </c>
      <c r="K2048" s="2" t="s">
        <v>147</v>
      </c>
      <c r="L2048" s="2" t="s">
        <v>235</v>
      </c>
      <c r="M2048" s="2" t="s">
        <v>30</v>
      </c>
      <c r="N2048" s="2" t="s">
        <v>31</v>
      </c>
      <c r="O2048" s="2" t="s">
        <v>236</v>
      </c>
      <c r="P2048" s="4">
        <v>20.723700000000001</v>
      </c>
      <c r="Q2048" s="4">
        <v>1</v>
      </c>
      <c r="R2048" s="4">
        <v>3.7046999999999999</v>
      </c>
      <c r="S2048" s="2" t="s">
        <v>121</v>
      </c>
      <c r="T2048" s="2" t="s">
        <v>34</v>
      </c>
    </row>
    <row r="2049" spans="1:20" x14ac:dyDescent="0.25">
      <c r="A2049" s="2" t="s">
        <v>3241</v>
      </c>
      <c r="B2049" s="3">
        <v>41641</v>
      </c>
      <c r="C2049" s="3">
        <v>41644</v>
      </c>
      <c r="D2049" s="2" t="s">
        <v>55</v>
      </c>
      <c r="E2049" s="2" t="s">
        <v>304</v>
      </c>
      <c r="F2049" s="2" t="s">
        <v>305</v>
      </c>
      <c r="G2049" s="2" t="s">
        <v>58</v>
      </c>
      <c r="H2049" s="2" t="s">
        <v>25</v>
      </c>
      <c r="I2049" s="2" t="s">
        <v>378</v>
      </c>
      <c r="J2049" s="2" t="s">
        <v>98</v>
      </c>
      <c r="K2049" s="2" t="s">
        <v>82</v>
      </c>
      <c r="L2049" s="2" t="s">
        <v>254</v>
      </c>
      <c r="M2049" s="2" t="s">
        <v>30</v>
      </c>
      <c r="N2049" s="2" t="s">
        <v>162</v>
      </c>
      <c r="O2049" s="2" t="s">
        <v>255</v>
      </c>
      <c r="P2049" s="4">
        <v>248.65450000000001</v>
      </c>
      <c r="Q2049" s="4">
        <v>4</v>
      </c>
      <c r="R2049" s="4">
        <v>98.6982</v>
      </c>
      <c r="S2049" s="2" t="s">
        <v>92</v>
      </c>
      <c r="T2049" s="2" t="s">
        <v>115</v>
      </c>
    </row>
    <row r="2050" spans="1:20" x14ac:dyDescent="0.25">
      <c r="A2050" s="2" t="s">
        <v>3241</v>
      </c>
      <c r="B2050" s="3">
        <v>41641</v>
      </c>
      <c r="C2050" s="3">
        <v>41644</v>
      </c>
      <c r="D2050" s="2" t="s">
        <v>55</v>
      </c>
      <c r="E2050" s="2" t="s">
        <v>304</v>
      </c>
      <c r="F2050" s="2" t="s">
        <v>305</v>
      </c>
      <c r="G2050" s="2" t="s">
        <v>58</v>
      </c>
      <c r="H2050" s="2" t="s">
        <v>25</v>
      </c>
      <c r="I2050" s="2" t="s">
        <v>378</v>
      </c>
      <c r="J2050" s="2" t="s">
        <v>98</v>
      </c>
      <c r="K2050" s="2" t="s">
        <v>82</v>
      </c>
      <c r="L2050" s="2" t="s">
        <v>235</v>
      </c>
      <c r="M2050" s="2" t="s">
        <v>30</v>
      </c>
      <c r="N2050" s="2" t="s">
        <v>31</v>
      </c>
      <c r="O2050" s="2" t="s">
        <v>236</v>
      </c>
      <c r="P2050" s="4">
        <v>21.024899999999999</v>
      </c>
      <c r="Q2050" s="4">
        <v>1</v>
      </c>
      <c r="R2050" s="4">
        <v>12.414099999999999</v>
      </c>
      <c r="S2050" s="2" t="s">
        <v>92</v>
      </c>
      <c r="T2050" s="2" t="s">
        <v>115</v>
      </c>
    </row>
    <row r="2051" spans="1:20" x14ac:dyDescent="0.25">
      <c r="A2051" s="2" t="s">
        <v>3242</v>
      </c>
      <c r="B2051" s="3">
        <v>42462</v>
      </c>
      <c r="C2051" s="3">
        <v>42463</v>
      </c>
      <c r="D2051" s="2" t="s">
        <v>21</v>
      </c>
      <c r="E2051" s="2" t="s">
        <v>537</v>
      </c>
      <c r="F2051" s="2" t="s">
        <v>538</v>
      </c>
      <c r="G2051" s="2" t="s">
        <v>38</v>
      </c>
      <c r="H2051" s="2" t="s">
        <v>25</v>
      </c>
      <c r="I2051" s="2" t="s">
        <v>274</v>
      </c>
      <c r="J2051" s="2" t="s">
        <v>146</v>
      </c>
      <c r="K2051" s="2" t="s">
        <v>147</v>
      </c>
      <c r="L2051" s="2" t="s">
        <v>344</v>
      </c>
      <c r="M2051" s="2" t="s">
        <v>30</v>
      </c>
      <c r="N2051" s="2" t="s">
        <v>42</v>
      </c>
      <c r="O2051" s="2" t="s">
        <v>345</v>
      </c>
      <c r="P2051" s="4">
        <v>605.38350000000003</v>
      </c>
      <c r="Q2051" s="4">
        <v>3</v>
      </c>
      <c r="R2051" s="4">
        <v>166.90559999999999</v>
      </c>
      <c r="S2051" s="2" t="s">
        <v>33</v>
      </c>
      <c r="T2051" s="2" t="s">
        <v>108</v>
      </c>
    </row>
    <row r="2052" spans="1:20" x14ac:dyDescent="0.25">
      <c r="A2052" s="2" t="s">
        <v>3243</v>
      </c>
      <c r="B2052" s="3">
        <v>41928</v>
      </c>
      <c r="C2052" s="3">
        <v>41929</v>
      </c>
      <c r="D2052" s="2" t="s">
        <v>55</v>
      </c>
      <c r="E2052" s="2" t="s">
        <v>3244</v>
      </c>
      <c r="F2052" s="2" t="s">
        <v>3245</v>
      </c>
      <c r="G2052" s="2" t="s">
        <v>58</v>
      </c>
      <c r="H2052" s="2" t="s">
        <v>25</v>
      </c>
      <c r="I2052" s="2" t="s">
        <v>138</v>
      </c>
      <c r="J2052" s="2" t="s">
        <v>407</v>
      </c>
      <c r="K2052" s="2" t="s">
        <v>28</v>
      </c>
      <c r="L2052" s="2" t="s">
        <v>83</v>
      </c>
      <c r="M2052" s="2" t="s">
        <v>30</v>
      </c>
      <c r="N2052" s="2" t="s">
        <v>42</v>
      </c>
      <c r="O2052" s="2" t="s">
        <v>84</v>
      </c>
      <c r="P2052" s="4">
        <v>486.06819999999999</v>
      </c>
      <c r="Q2052" s="4">
        <v>2</v>
      </c>
      <c r="R2052" s="4">
        <v>105.3578</v>
      </c>
      <c r="S2052" s="2" t="s">
        <v>33</v>
      </c>
      <c r="T2052" s="2" t="s">
        <v>224</v>
      </c>
    </row>
    <row r="2053" spans="1:20" x14ac:dyDescent="0.25">
      <c r="A2053" s="2" t="s">
        <v>3246</v>
      </c>
      <c r="B2053" s="3">
        <v>42729</v>
      </c>
      <c r="C2053" s="3">
        <v>42729</v>
      </c>
      <c r="D2053" s="2" t="s">
        <v>21</v>
      </c>
      <c r="E2053" s="2" t="s">
        <v>936</v>
      </c>
      <c r="F2053" s="2" t="s">
        <v>937</v>
      </c>
      <c r="G2053" s="2" t="s">
        <v>58</v>
      </c>
      <c r="H2053" s="2" t="s">
        <v>25</v>
      </c>
      <c r="I2053" s="2" t="s">
        <v>382</v>
      </c>
      <c r="J2053" s="2" t="s">
        <v>192</v>
      </c>
      <c r="K2053" s="2" t="s">
        <v>82</v>
      </c>
      <c r="L2053" s="2" t="s">
        <v>66</v>
      </c>
      <c r="M2053" s="2" t="s">
        <v>30</v>
      </c>
      <c r="N2053" s="2" t="s">
        <v>31</v>
      </c>
      <c r="O2053" s="2" t="s">
        <v>67</v>
      </c>
      <c r="P2053" s="4">
        <v>31.7575</v>
      </c>
      <c r="Q2053" s="4">
        <v>4</v>
      </c>
      <c r="R2053" s="4">
        <v>13.8117</v>
      </c>
      <c r="S2053" s="2" t="s">
        <v>121</v>
      </c>
      <c r="T2053" s="2" t="s">
        <v>76</v>
      </c>
    </row>
    <row r="2054" spans="1:20" x14ac:dyDescent="0.25">
      <c r="A2054" s="2" t="s">
        <v>3247</v>
      </c>
      <c r="B2054" s="3">
        <v>41954</v>
      </c>
      <c r="C2054" s="3">
        <v>41958</v>
      </c>
      <c r="D2054" s="2" t="s">
        <v>21</v>
      </c>
      <c r="E2054" s="2" t="s">
        <v>3248</v>
      </c>
      <c r="F2054" s="2" t="s">
        <v>3249</v>
      </c>
      <c r="G2054" s="2" t="s">
        <v>38</v>
      </c>
      <c r="H2054" s="2" t="s">
        <v>25</v>
      </c>
      <c r="I2054" s="2" t="s">
        <v>533</v>
      </c>
      <c r="J2054" s="2" t="s">
        <v>72</v>
      </c>
      <c r="K2054" s="2" t="s">
        <v>61</v>
      </c>
      <c r="L2054" s="2" t="s">
        <v>453</v>
      </c>
      <c r="M2054" s="2" t="s">
        <v>30</v>
      </c>
      <c r="N2054" s="2" t="s">
        <v>42</v>
      </c>
      <c r="O2054" s="2" t="s">
        <v>454</v>
      </c>
      <c r="P2054" s="4">
        <v>818.48050000000001</v>
      </c>
      <c r="Q2054" s="4">
        <v>4</v>
      </c>
      <c r="R2054" s="4">
        <v>-52.59</v>
      </c>
      <c r="S2054" s="2" t="s">
        <v>75</v>
      </c>
      <c r="T2054" s="2" t="s">
        <v>93</v>
      </c>
    </row>
    <row r="2055" spans="1:20" x14ac:dyDescent="0.25">
      <c r="A2055" s="2" t="s">
        <v>3250</v>
      </c>
      <c r="B2055" s="3">
        <v>41680</v>
      </c>
      <c r="C2055" s="3">
        <v>41681</v>
      </c>
      <c r="D2055" s="2" t="s">
        <v>21</v>
      </c>
      <c r="E2055" s="2" t="s">
        <v>1438</v>
      </c>
      <c r="F2055" s="2" t="s">
        <v>1439</v>
      </c>
      <c r="G2055" s="2" t="s">
        <v>24</v>
      </c>
      <c r="H2055" s="2" t="s">
        <v>25</v>
      </c>
      <c r="I2055" s="2" t="s">
        <v>198</v>
      </c>
      <c r="J2055" s="2" t="s">
        <v>199</v>
      </c>
      <c r="K2055" s="2" t="s">
        <v>82</v>
      </c>
      <c r="L2055" s="2" t="s">
        <v>62</v>
      </c>
      <c r="M2055" s="2" t="s">
        <v>30</v>
      </c>
      <c r="N2055" s="2" t="s">
        <v>63</v>
      </c>
      <c r="O2055" s="2" t="s">
        <v>64</v>
      </c>
      <c r="P2055" s="4">
        <v>294.59120000000001</v>
      </c>
      <c r="Q2055" s="4">
        <v>3</v>
      </c>
      <c r="R2055" s="4">
        <v>68.373900000000006</v>
      </c>
      <c r="S2055" s="2" t="s">
        <v>33</v>
      </c>
      <c r="T2055" s="2" t="s">
        <v>101</v>
      </c>
    </row>
    <row r="2056" spans="1:20" x14ac:dyDescent="0.25">
      <c r="A2056" s="2" t="s">
        <v>3251</v>
      </c>
      <c r="B2056" s="3">
        <v>42042</v>
      </c>
      <c r="C2056" s="3">
        <v>42042</v>
      </c>
      <c r="D2056" s="2" t="s">
        <v>55</v>
      </c>
      <c r="E2056" s="2" t="s">
        <v>3252</v>
      </c>
      <c r="F2056" s="2" t="s">
        <v>3253</v>
      </c>
      <c r="G2056" s="2" t="s">
        <v>58</v>
      </c>
      <c r="H2056" s="2" t="s">
        <v>25</v>
      </c>
      <c r="I2056" s="2" t="s">
        <v>437</v>
      </c>
      <c r="J2056" s="2" t="s">
        <v>217</v>
      </c>
      <c r="K2056" s="2" t="s">
        <v>82</v>
      </c>
      <c r="L2056" s="2" t="s">
        <v>228</v>
      </c>
      <c r="M2056" s="2" t="s">
        <v>30</v>
      </c>
      <c r="N2056" s="2" t="s">
        <v>42</v>
      </c>
      <c r="O2056" s="2" t="s">
        <v>229</v>
      </c>
      <c r="P2056" s="4">
        <v>408.14640000000003</v>
      </c>
      <c r="Q2056" s="4">
        <v>6</v>
      </c>
      <c r="R2056" s="4">
        <v>-4.5894000000000004</v>
      </c>
      <c r="S2056" s="2" t="s">
        <v>121</v>
      </c>
      <c r="T2056" s="2" t="s">
        <v>101</v>
      </c>
    </row>
    <row r="2057" spans="1:20" x14ac:dyDescent="0.25">
      <c r="A2057" s="2" t="s">
        <v>3254</v>
      </c>
      <c r="B2057" s="3">
        <v>42724</v>
      </c>
      <c r="C2057" s="3">
        <v>42730</v>
      </c>
      <c r="D2057" s="2" t="s">
        <v>55</v>
      </c>
      <c r="E2057" s="2" t="s">
        <v>1332</v>
      </c>
      <c r="F2057" s="2" t="s">
        <v>1333</v>
      </c>
      <c r="G2057" s="2" t="s">
        <v>38</v>
      </c>
      <c r="H2057" s="2" t="s">
        <v>25</v>
      </c>
      <c r="I2057" s="2" t="s">
        <v>539</v>
      </c>
      <c r="J2057" s="2" t="s">
        <v>91</v>
      </c>
      <c r="K2057" s="2" t="s">
        <v>61</v>
      </c>
      <c r="L2057" s="2" t="s">
        <v>235</v>
      </c>
      <c r="M2057" s="2" t="s">
        <v>30</v>
      </c>
      <c r="N2057" s="2" t="s">
        <v>31</v>
      </c>
      <c r="O2057" s="2" t="s">
        <v>236</v>
      </c>
      <c r="P2057" s="4">
        <v>105.8447</v>
      </c>
      <c r="Q2057" s="4">
        <v>3</v>
      </c>
      <c r="R2057" s="4">
        <v>-16.720099999999999</v>
      </c>
      <c r="S2057" s="2" t="s">
        <v>65</v>
      </c>
      <c r="T2057" s="2" t="s">
        <v>76</v>
      </c>
    </row>
    <row r="2058" spans="1:20" x14ac:dyDescent="0.25">
      <c r="A2058" s="2" t="s">
        <v>3254</v>
      </c>
      <c r="B2058" s="3">
        <v>42724</v>
      </c>
      <c r="C2058" s="3">
        <v>42730</v>
      </c>
      <c r="D2058" s="2" t="s">
        <v>55</v>
      </c>
      <c r="E2058" s="2" t="s">
        <v>1332</v>
      </c>
      <c r="F2058" s="2" t="s">
        <v>1333</v>
      </c>
      <c r="G2058" s="2" t="s">
        <v>38</v>
      </c>
      <c r="H2058" s="2" t="s">
        <v>25</v>
      </c>
      <c r="I2058" s="2" t="s">
        <v>539</v>
      </c>
      <c r="J2058" s="2" t="s">
        <v>91</v>
      </c>
      <c r="K2058" s="2" t="s">
        <v>61</v>
      </c>
      <c r="L2058" s="2" t="s">
        <v>29</v>
      </c>
      <c r="M2058" s="2" t="s">
        <v>30</v>
      </c>
      <c r="N2058" s="2" t="s">
        <v>31</v>
      </c>
      <c r="O2058" s="2" t="s">
        <v>32</v>
      </c>
      <c r="P2058" s="4">
        <v>586.79719999999998</v>
      </c>
      <c r="Q2058" s="4">
        <v>1</v>
      </c>
      <c r="R2058" s="4">
        <v>-4.6661000000000001</v>
      </c>
      <c r="S2058" s="2" t="s">
        <v>65</v>
      </c>
      <c r="T2058" s="2" t="s">
        <v>76</v>
      </c>
    </row>
    <row r="2059" spans="1:20" x14ac:dyDescent="0.25">
      <c r="A2059" s="2" t="s">
        <v>3255</v>
      </c>
      <c r="B2059" s="3">
        <v>41767</v>
      </c>
      <c r="C2059" s="3">
        <v>41768</v>
      </c>
      <c r="D2059" s="2" t="s">
        <v>21</v>
      </c>
      <c r="E2059" s="2" t="s">
        <v>1904</v>
      </c>
      <c r="F2059" s="2" t="s">
        <v>1905</v>
      </c>
      <c r="G2059" s="2" t="s">
        <v>58</v>
      </c>
      <c r="H2059" s="2" t="s">
        <v>25</v>
      </c>
      <c r="I2059" s="2" t="s">
        <v>1319</v>
      </c>
      <c r="J2059" s="2" t="s">
        <v>632</v>
      </c>
      <c r="K2059" s="2" t="s">
        <v>82</v>
      </c>
      <c r="L2059" s="2" t="s">
        <v>453</v>
      </c>
      <c r="M2059" s="2" t="s">
        <v>30</v>
      </c>
      <c r="N2059" s="2" t="s">
        <v>42</v>
      </c>
      <c r="O2059" s="2" t="s">
        <v>454</v>
      </c>
      <c r="P2059" s="4">
        <v>1439.1769999999999</v>
      </c>
      <c r="Q2059" s="4">
        <v>7</v>
      </c>
      <c r="R2059" s="4">
        <v>70.877200000000002</v>
      </c>
      <c r="S2059" s="2" t="s">
        <v>33</v>
      </c>
      <c r="T2059" s="2" t="s">
        <v>122</v>
      </c>
    </row>
    <row r="2060" spans="1:20" x14ac:dyDescent="0.25">
      <c r="A2060" s="2" t="s">
        <v>3255</v>
      </c>
      <c r="B2060" s="3">
        <v>41767</v>
      </c>
      <c r="C2060" s="3">
        <v>41768</v>
      </c>
      <c r="D2060" s="2" t="s">
        <v>21</v>
      </c>
      <c r="E2060" s="2" t="s">
        <v>1904</v>
      </c>
      <c r="F2060" s="2" t="s">
        <v>1905</v>
      </c>
      <c r="G2060" s="2" t="s">
        <v>58</v>
      </c>
      <c r="H2060" s="2" t="s">
        <v>25</v>
      </c>
      <c r="I2060" s="2" t="s">
        <v>1319</v>
      </c>
      <c r="J2060" s="2" t="s">
        <v>632</v>
      </c>
      <c r="K2060" s="2" t="s">
        <v>82</v>
      </c>
      <c r="L2060" s="2" t="s">
        <v>207</v>
      </c>
      <c r="M2060" s="2" t="s">
        <v>30</v>
      </c>
      <c r="N2060" s="2" t="s">
        <v>31</v>
      </c>
      <c r="O2060" s="2" t="s">
        <v>208</v>
      </c>
      <c r="P2060" s="4">
        <v>19.881799999999998</v>
      </c>
      <c r="Q2060" s="4">
        <v>3</v>
      </c>
      <c r="R2060" s="4">
        <v>0.91469999999999996</v>
      </c>
      <c r="S2060" s="2" t="s">
        <v>33</v>
      </c>
      <c r="T2060" s="2" t="s">
        <v>122</v>
      </c>
    </row>
    <row r="2061" spans="1:20" x14ac:dyDescent="0.25">
      <c r="A2061" s="2" t="s">
        <v>3256</v>
      </c>
      <c r="B2061" s="3">
        <v>42667</v>
      </c>
      <c r="C2061" s="3">
        <v>42668</v>
      </c>
      <c r="D2061" s="2" t="s">
        <v>55</v>
      </c>
      <c r="E2061" s="2" t="s">
        <v>765</v>
      </c>
      <c r="F2061" s="2" t="s">
        <v>766</v>
      </c>
      <c r="G2061" s="2" t="s">
        <v>38</v>
      </c>
      <c r="H2061" s="2" t="s">
        <v>25</v>
      </c>
      <c r="I2061" s="2" t="s">
        <v>760</v>
      </c>
      <c r="J2061" s="2" t="s">
        <v>112</v>
      </c>
      <c r="K2061" s="2" t="s">
        <v>28</v>
      </c>
      <c r="L2061" s="2" t="s">
        <v>235</v>
      </c>
      <c r="M2061" s="2" t="s">
        <v>30</v>
      </c>
      <c r="N2061" s="2" t="s">
        <v>31</v>
      </c>
      <c r="O2061" s="2" t="s">
        <v>236</v>
      </c>
      <c r="P2061" s="4">
        <v>25.4116</v>
      </c>
      <c r="Q2061" s="4">
        <v>3</v>
      </c>
      <c r="R2061" s="4">
        <v>9.5856999999999992</v>
      </c>
      <c r="S2061" s="2" t="s">
        <v>33</v>
      </c>
      <c r="T2061" s="2" t="s">
        <v>224</v>
      </c>
    </row>
    <row r="2062" spans="1:20" x14ac:dyDescent="0.25">
      <c r="A2062" s="2" t="s">
        <v>3257</v>
      </c>
      <c r="B2062" s="3">
        <v>42750</v>
      </c>
      <c r="C2062" s="3">
        <v>42751</v>
      </c>
      <c r="D2062" s="2" t="s">
        <v>55</v>
      </c>
      <c r="E2062" s="2" t="s">
        <v>1322</v>
      </c>
      <c r="F2062" s="2" t="s">
        <v>1323</v>
      </c>
      <c r="G2062" s="2" t="s">
        <v>58</v>
      </c>
      <c r="H2062" s="2" t="s">
        <v>25</v>
      </c>
      <c r="I2062" s="2" t="s">
        <v>398</v>
      </c>
      <c r="J2062" s="2" t="s">
        <v>251</v>
      </c>
      <c r="K2062" s="2" t="s">
        <v>147</v>
      </c>
      <c r="L2062" s="2" t="s">
        <v>890</v>
      </c>
      <c r="M2062" s="2" t="s">
        <v>30</v>
      </c>
      <c r="N2062" s="2" t="s">
        <v>63</v>
      </c>
      <c r="O2062" s="2" t="s">
        <v>891</v>
      </c>
      <c r="P2062" s="4">
        <v>448.62349999999998</v>
      </c>
      <c r="Q2062" s="4">
        <v>1</v>
      </c>
      <c r="R2062" s="4">
        <v>125.51049999999999</v>
      </c>
      <c r="S2062" s="2" t="s">
        <v>33</v>
      </c>
      <c r="T2062" s="2" t="s">
        <v>115</v>
      </c>
    </row>
    <row r="2063" spans="1:20" x14ac:dyDescent="0.25">
      <c r="A2063" s="2" t="s">
        <v>3258</v>
      </c>
      <c r="B2063" s="3">
        <v>42999</v>
      </c>
      <c r="C2063" s="3">
        <v>43001</v>
      </c>
      <c r="D2063" s="2" t="s">
        <v>55</v>
      </c>
      <c r="E2063" s="2" t="s">
        <v>2359</v>
      </c>
      <c r="F2063" s="2" t="s">
        <v>2360</v>
      </c>
      <c r="G2063" s="2" t="s">
        <v>24</v>
      </c>
      <c r="H2063" s="2" t="s">
        <v>25</v>
      </c>
      <c r="I2063" s="2" t="s">
        <v>1697</v>
      </c>
      <c r="J2063" s="2" t="s">
        <v>52</v>
      </c>
      <c r="K2063" s="2" t="s">
        <v>28</v>
      </c>
      <c r="L2063" s="2" t="s">
        <v>252</v>
      </c>
      <c r="M2063" s="2" t="s">
        <v>30</v>
      </c>
      <c r="N2063" s="2" t="s">
        <v>31</v>
      </c>
      <c r="O2063" s="2" t="s">
        <v>253</v>
      </c>
      <c r="P2063" s="4">
        <v>13.7659</v>
      </c>
      <c r="Q2063" s="4">
        <v>2</v>
      </c>
      <c r="R2063" s="4">
        <v>4.3893000000000004</v>
      </c>
      <c r="S2063" s="2" t="s">
        <v>53</v>
      </c>
      <c r="T2063" s="2" t="s">
        <v>148</v>
      </c>
    </row>
    <row r="2064" spans="1:20" x14ac:dyDescent="0.25">
      <c r="A2064" s="2" t="s">
        <v>3259</v>
      </c>
      <c r="B2064" s="3">
        <v>42722</v>
      </c>
      <c r="C2064" s="3">
        <v>42723</v>
      </c>
      <c r="D2064" s="2" t="s">
        <v>55</v>
      </c>
      <c r="E2064" s="2" t="s">
        <v>762</v>
      </c>
      <c r="F2064" s="2" t="s">
        <v>763</v>
      </c>
      <c r="G2064" s="2" t="s">
        <v>38</v>
      </c>
      <c r="H2064" s="2" t="s">
        <v>25</v>
      </c>
      <c r="I2064" s="2" t="s">
        <v>727</v>
      </c>
      <c r="J2064" s="2" t="s">
        <v>728</v>
      </c>
      <c r="K2064" s="2" t="s">
        <v>147</v>
      </c>
      <c r="L2064" s="2" t="s">
        <v>161</v>
      </c>
      <c r="M2064" s="2" t="s">
        <v>30</v>
      </c>
      <c r="N2064" s="2" t="s">
        <v>162</v>
      </c>
      <c r="O2064" s="2" t="s">
        <v>163</v>
      </c>
      <c r="P2064" s="4">
        <v>48.369300000000003</v>
      </c>
      <c r="Q2064" s="4">
        <v>2</v>
      </c>
      <c r="R2064" s="4">
        <v>21.744299999999999</v>
      </c>
      <c r="S2064" s="2" t="s">
        <v>33</v>
      </c>
      <c r="T2064" s="2" t="s">
        <v>76</v>
      </c>
    </row>
    <row r="2065" spans="1:20" x14ac:dyDescent="0.25">
      <c r="A2065" s="2" t="s">
        <v>3260</v>
      </c>
      <c r="B2065" s="3">
        <v>42398</v>
      </c>
      <c r="C2065" s="3">
        <v>42399</v>
      </c>
      <c r="D2065" s="2" t="s">
        <v>55</v>
      </c>
      <c r="E2065" s="2" t="s">
        <v>3261</v>
      </c>
      <c r="F2065" s="2" t="s">
        <v>3262</v>
      </c>
      <c r="G2065" s="2" t="s">
        <v>38</v>
      </c>
      <c r="H2065" s="2" t="s">
        <v>25</v>
      </c>
      <c r="I2065" s="2" t="s">
        <v>179</v>
      </c>
      <c r="J2065" s="2" t="s">
        <v>180</v>
      </c>
      <c r="K2065" s="2" t="s">
        <v>147</v>
      </c>
      <c r="L2065" s="2" t="s">
        <v>200</v>
      </c>
      <c r="M2065" s="2" t="s">
        <v>30</v>
      </c>
      <c r="N2065" s="2" t="s">
        <v>162</v>
      </c>
      <c r="O2065" s="2" t="s">
        <v>201</v>
      </c>
      <c r="P2065" s="4">
        <v>325.77859999999998</v>
      </c>
      <c r="Q2065" s="4">
        <v>2</v>
      </c>
      <c r="R2065" s="4">
        <v>56.545099999999998</v>
      </c>
      <c r="S2065" s="2" t="s">
        <v>33</v>
      </c>
      <c r="T2065" s="2" t="s">
        <v>115</v>
      </c>
    </row>
    <row r="2066" spans="1:20" x14ac:dyDescent="0.25">
      <c r="A2066" s="2" t="s">
        <v>3263</v>
      </c>
      <c r="B2066" s="3">
        <v>42479</v>
      </c>
      <c r="C2066" s="3">
        <v>42482</v>
      </c>
      <c r="D2066" s="2" t="s">
        <v>55</v>
      </c>
      <c r="E2066" s="2" t="s">
        <v>1673</v>
      </c>
      <c r="F2066" s="2" t="s">
        <v>1674</v>
      </c>
      <c r="G2066" s="2" t="s">
        <v>24</v>
      </c>
      <c r="H2066" s="2" t="s">
        <v>25</v>
      </c>
      <c r="I2066" s="2" t="s">
        <v>805</v>
      </c>
      <c r="J2066" s="2" t="s">
        <v>351</v>
      </c>
      <c r="K2066" s="2" t="s">
        <v>147</v>
      </c>
      <c r="L2066" s="2" t="s">
        <v>99</v>
      </c>
      <c r="M2066" s="2" t="s">
        <v>30</v>
      </c>
      <c r="N2066" s="2" t="s">
        <v>42</v>
      </c>
      <c r="O2066" s="2" t="s">
        <v>100</v>
      </c>
      <c r="P2066" s="4">
        <v>1007.1245</v>
      </c>
      <c r="Q2066" s="4">
        <v>4</v>
      </c>
      <c r="R2066" s="4">
        <v>-311.32459999999998</v>
      </c>
      <c r="S2066" s="2" t="s">
        <v>92</v>
      </c>
      <c r="T2066" s="2" t="s">
        <v>108</v>
      </c>
    </row>
    <row r="2067" spans="1:20" x14ac:dyDescent="0.25">
      <c r="A2067" s="2" t="s">
        <v>3264</v>
      </c>
      <c r="B2067" s="3">
        <v>42658</v>
      </c>
      <c r="C2067" s="3">
        <v>42664</v>
      </c>
      <c r="D2067" s="2" t="s">
        <v>55</v>
      </c>
      <c r="E2067" s="2" t="s">
        <v>1134</v>
      </c>
      <c r="F2067" s="2" t="s">
        <v>1135</v>
      </c>
      <c r="G2067" s="2" t="s">
        <v>58</v>
      </c>
      <c r="H2067" s="2" t="s">
        <v>25</v>
      </c>
      <c r="I2067" s="2" t="s">
        <v>977</v>
      </c>
      <c r="J2067" s="2" t="s">
        <v>475</v>
      </c>
      <c r="K2067" s="2" t="s">
        <v>28</v>
      </c>
      <c r="L2067" s="2" t="s">
        <v>29</v>
      </c>
      <c r="M2067" s="2" t="s">
        <v>30</v>
      </c>
      <c r="N2067" s="2" t="s">
        <v>31</v>
      </c>
      <c r="O2067" s="2" t="s">
        <v>32</v>
      </c>
      <c r="P2067" s="4">
        <v>1231.5106000000001</v>
      </c>
      <c r="Q2067" s="4">
        <v>2</v>
      </c>
      <c r="R2067" s="4">
        <v>806.25670000000002</v>
      </c>
      <c r="S2067" s="2" t="s">
        <v>65</v>
      </c>
      <c r="T2067" s="2" t="s">
        <v>224</v>
      </c>
    </row>
    <row r="2068" spans="1:20" x14ac:dyDescent="0.25">
      <c r="A2068" s="2" t="s">
        <v>3265</v>
      </c>
      <c r="B2068" s="3">
        <v>42364</v>
      </c>
      <c r="C2068" s="3">
        <v>42366</v>
      </c>
      <c r="D2068" s="2" t="s">
        <v>55</v>
      </c>
      <c r="E2068" s="2" t="s">
        <v>1048</v>
      </c>
      <c r="F2068" s="2" t="s">
        <v>1049</v>
      </c>
      <c r="G2068" s="2" t="s">
        <v>58</v>
      </c>
      <c r="H2068" s="2" t="s">
        <v>25</v>
      </c>
      <c r="I2068" s="2" t="s">
        <v>576</v>
      </c>
      <c r="J2068" s="2" t="s">
        <v>470</v>
      </c>
      <c r="K2068" s="2" t="s">
        <v>28</v>
      </c>
      <c r="L2068" s="2" t="s">
        <v>83</v>
      </c>
      <c r="M2068" s="2" t="s">
        <v>30</v>
      </c>
      <c r="N2068" s="2" t="s">
        <v>42</v>
      </c>
      <c r="O2068" s="2" t="s">
        <v>84</v>
      </c>
      <c r="P2068" s="4">
        <v>576.17970000000003</v>
      </c>
      <c r="Q2068" s="4">
        <v>4</v>
      </c>
      <c r="R2068" s="4">
        <v>-25.641300000000001</v>
      </c>
      <c r="S2068" s="2" t="s">
        <v>53</v>
      </c>
      <c r="T2068" s="2" t="s">
        <v>76</v>
      </c>
    </row>
    <row r="2069" spans="1:20" x14ac:dyDescent="0.25">
      <c r="A2069" s="2" t="s">
        <v>3266</v>
      </c>
      <c r="B2069" s="3">
        <v>43014</v>
      </c>
      <c r="C2069" s="3">
        <v>43014</v>
      </c>
      <c r="D2069" s="2" t="s">
        <v>55</v>
      </c>
      <c r="E2069" s="2" t="s">
        <v>827</v>
      </c>
      <c r="F2069" s="2" t="s">
        <v>828</v>
      </c>
      <c r="G2069" s="2" t="s">
        <v>38</v>
      </c>
      <c r="H2069" s="2" t="s">
        <v>25</v>
      </c>
      <c r="I2069" s="2" t="s">
        <v>394</v>
      </c>
      <c r="J2069" s="2" t="s">
        <v>289</v>
      </c>
      <c r="K2069" s="2" t="s">
        <v>82</v>
      </c>
      <c r="L2069" s="2" t="s">
        <v>323</v>
      </c>
      <c r="M2069" s="2" t="s">
        <v>30</v>
      </c>
      <c r="N2069" s="2" t="s">
        <v>31</v>
      </c>
      <c r="O2069" s="2" t="s">
        <v>324</v>
      </c>
      <c r="P2069" s="4">
        <v>12.137600000000001</v>
      </c>
      <c r="Q2069" s="4">
        <v>3</v>
      </c>
      <c r="R2069" s="4">
        <v>-3.4317000000000002</v>
      </c>
      <c r="S2069" s="2" t="s">
        <v>121</v>
      </c>
      <c r="T2069" s="2" t="s">
        <v>224</v>
      </c>
    </row>
    <row r="2070" spans="1:20" x14ac:dyDescent="0.25">
      <c r="A2070" s="2" t="s">
        <v>3267</v>
      </c>
      <c r="B2070" s="3">
        <v>42904</v>
      </c>
      <c r="C2070" s="3">
        <v>42910</v>
      </c>
      <c r="D2070" s="2" t="s">
        <v>55</v>
      </c>
      <c r="E2070" s="2" t="s">
        <v>3268</v>
      </c>
      <c r="F2070" s="2" t="s">
        <v>3269</v>
      </c>
      <c r="G2070" s="2" t="s">
        <v>38</v>
      </c>
      <c r="H2070" s="2" t="s">
        <v>25</v>
      </c>
      <c r="I2070" s="2" t="s">
        <v>59</v>
      </c>
      <c r="J2070" s="2" t="s">
        <v>60</v>
      </c>
      <c r="K2070" s="2" t="s">
        <v>61</v>
      </c>
      <c r="L2070" s="2" t="s">
        <v>113</v>
      </c>
      <c r="M2070" s="2" t="s">
        <v>30</v>
      </c>
      <c r="N2070" s="2" t="s">
        <v>31</v>
      </c>
      <c r="O2070" s="2" t="s">
        <v>114</v>
      </c>
      <c r="P2070" s="4">
        <v>219.08250000000001</v>
      </c>
      <c r="Q2070" s="4">
        <v>1</v>
      </c>
      <c r="R2070" s="4">
        <v>89.350899999999996</v>
      </c>
      <c r="S2070" s="2" t="s">
        <v>65</v>
      </c>
      <c r="T2070" s="2" t="s">
        <v>133</v>
      </c>
    </row>
    <row r="2071" spans="1:20" x14ac:dyDescent="0.25">
      <c r="A2071" s="2" t="s">
        <v>3270</v>
      </c>
      <c r="B2071" s="3">
        <v>42859</v>
      </c>
      <c r="C2071" s="3">
        <v>42863</v>
      </c>
      <c r="D2071" s="2" t="s">
        <v>21</v>
      </c>
      <c r="E2071" s="2" t="s">
        <v>2094</v>
      </c>
      <c r="F2071" s="2" t="s">
        <v>2095</v>
      </c>
      <c r="G2071" s="2" t="s">
        <v>38</v>
      </c>
      <c r="H2071" s="2" t="s">
        <v>25</v>
      </c>
      <c r="I2071" s="2" t="s">
        <v>288</v>
      </c>
      <c r="J2071" s="2" t="s">
        <v>289</v>
      </c>
      <c r="K2071" s="2" t="s">
        <v>82</v>
      </c>
      <c r="L2071" s="2" t="s">
        <v>453</v>
      </c>
      <c r="M2071" s="2" t="s">
        <v>30</v>
      </c>
      <c r="N2071" s="2" t="s">
        <v>42</v>
      </c>
      <c r="O2071" s="2" t="s">
        <v>454</v>
      </c>
      <c r="P2071" s="4">
        <v>426.66559999999998</v>
      </c>
      <c r="Q2071" s="4">
        <v>6</v>
      </c>
      <c r="R2071" s="4">
        <v>10.6463</v>
      </c>
      <c r="S2071" s="2" t="s">
        <v>75</v>
      </c>
      <c r="T2071" s="2" t="s">
        <v>122</v>
      </c>
    </row>
    <row r="2072" spans="1:20" x14ac:dyDescent="0.25">
      <c r="A2072" s="2" t="s">
        <v>3271</v>
      </c>
      <c r="B2072" s="3">
        <v>42036</v>
      </c>
      <c r="C2072" s="3">
        <v>42041</v>
      </c>
      <c r="D2072" s="2" t="s">
        <v>55</v>
      </c>
      <c r="E2072" s="2" t="s">
        <v>936</v>
      </c>
      <c r="F2072" s="2" t="s">
        <v>937</v>
      </c>
      <c r="G2072" s="2" t="s">
        <v>58</v>
      </c>
      <c r="H2072" s="2" t="s">
        <v>25</v>
      </c>
      <c r="I2072" s="2" t="s">
        <v>487</v>
      </c>
      <c r="J2072" s="2" t="s">
        <v>470</v>
      </c>
      <c r="K2072" s="2" t="s">
        <v>28</v>
      </c>
      <c r="L2072" s="2" t="s">
        <v>113</v>
      </c>
      <c r="M2072" s="2" t="s">
        <v>30</v>
      </c>
      <c r="N2072" s="2" t="s">
        <v>31</v>
      </c>
      <c r="O2072" s="2" t="s">
        <v>114</v>
      </c>
      <c r="P2072" s="4">
        <v>224.047</v>
      </c>
      <c r="Q2072" s="4">
        <v>3</v>
      </c>
      <c r="R2072" s="4">
        <v>-103.2548</v>
      </c>
      <c r="S2072" s="2" t="s">
        <v>85</v>
      </c>
      <c r="T2072" s="2" t="s">
        <v>101</v>
      </c>
    </row>
    <row r="2073" spans="1:20" x14ac:dyDescent="0.25">
      <c r="A2073" s="2" t="s">
        <v>3272</v>
      </c>
      <c r="B2073" s="3">
        <v>42732</v>
      </c>
      <c r="C2073" s="3">
        <v>42734</v>
      </c>
      <c r="D2073" s="2" t="s">
        <v>55</v>
      </c>
      <c r="E2073" s="2" t="s">
        <v>1932</v>
      </c>
      <c r="F2073" s="2" t="s">
        <v>1933</v>
      </c>
      <c r="G2073" s="2" t="s">
        <v>58</v>
      </c>
      <c r="H2073" s="2" t="s">
        <v>25</v>
      </c>
      <c r="I2073" s="2" t="s">
        <v>259</v>
      </c>
      <c r="J2073" s="2" t="s">
        <v>260</v>
      </c>
      <c r="K2073" s="2" t="s">
        <v>147</v>
      </c>
      <c r="L2073" s="2" t="s">
        <v>372</v>
      </c>
      <c r="M2073" s="2" t="s">
        <v>30</v>
      </c>
      <c r="N2073" s="2" t="s">
        <v>162</v>
      </c>
      <c r="O2073" s="2" t="s">
        <v>373</v>
      </c>
      <c r="P2073" s="4">
        <v>160.7688</v>
      </c>
      <c r="Q2073" s="4">
        <v>2</v>
      </c>
      <c r="R2073" s="4">
        <v>-68.468299999999999</v>
      </c>
      <c r="S2073" s="2" t="s">
        <v>53</v>
      </c>
      <c r="T2073" s="2" t="s">
        <v>76</v>
      </c>
    </row>
    <row r="2074" spans="1:20" x14ac:dyDescent="0.25">
      <c r="A2074" s="2" t="s">
        <v>3273</v>
      </c>
      <c r="B2074" s="3">
        <v>41660</v>
      </c>
      <c r="C2074" s="3">
        <v>41667</v>
      </c>
      <c r="D2074" s="2" t="s">
        <v>55</v>
      </c>
      <c r="E2074" s="2" t="s">
        <v>3274</v>
      </c>
      <c r="F2074" s="2" t="s">
        <v>3275</v>
      </c>
      <c r="G2074" s="2" t="s">
        <v>58</v>
      </c>
      <c r="H2074" s="2" t="s">
        <v>25</v>
      </c>
      <c r="I2074" s="2" t="s">
        <v>343</v>
      </c>
      <c r="J2074" s="2" t="s">
        <v>153</v>
      </c>
      <c r="K2074" s="2" t="s">
        <v>147</v>
      </c>
      <c r="L2074" s="2" t="s">
        <v>820</v>
      </c>
      <c r="M2074" s="2" t="s">
        <v>30</v>
      </c>
      <c r="N2074" s="2" t="s">
        <v>162</v>
      </c>
      <c r="O2074" s="2" t="s">
        <v>821</v>
      </c>
      <c r="P2074" s="4">
        <v>311.25880000000001</v>
      </c>
      <c r="Q2074" s="4">
        <v>2</v>
      </c>
      <c r="R2074" s="4">
        <v>227.86680000000001</v>
      </c>
      <c r="S2074" s="2" t="s">
        <v>107</v>
      </c>
      <c r="T2074" s="2" t="s">
        <v>115</v>
      </c>
    </row>
    <row r="2075" spans="1:20" x14ac:dyDescent="0.25">
      <c r="A2075" s="2" t="s">
        <v>3276</v>
      </c>
      <c r="B2075" s="3">
        <v>42872</v>
      </c>
      <c r="C2075" s="3">
        <v>42873</v>
      </c>
      <c r="D2075" s="2" t="s">
        <v>48</v>
      </c>
      <c r="E2075" s="2" t="s">
        <v>993</v>
      </c>
      <c r="F2075" s="2" t="s">
        <v>994</v>
      </c>
      <c r="G2075" s="2" t="s">
        <v>24</v>
      </c>
      <c r="H2075" s="2" t="s">
        <v>25</v>
      </c>
      <c r="I2075" s="2" t="s">
        <v>576</v>
      </c>
      <c r="J2075" s="2" t="s">
        <v>470</v>
      </c>
      <c r="K2075" s="2" t="s">
        <v>28</v>
      </c>
      <c r="L2075" s="2" t="s">
        <v>174</v>
      </c>
      <c r="M2075" s="2" t="s">
        <v>30</v>
      </c>
      <c r="N2075" s="2" t="s">
        <v>31</v>
      </c>
      <c r="O2075" s="2" t="s">
        <v>175</v>
      </c>
      <c r="P2075" s="4">
        <v>57.275599999999997</v>
      </c>
      <c r="Q2075" s="4">
        <v>3</v>
      </c>
      <c r="R2075" s="4">
        <v>15.796799999999999</v>
      </c>
      <c r="S2075" s="2" t="s">
        <v>33</v>
      </c>
      <c r="T2075" s="2" t="s">
        <v>122</v>
      </c>
    </row>
    <row r="2076" spans="1:20" x14ac:dyDescent="0.25">
      <c r="A2076" s="2" t="s">
        <v>3277</v>
      </c>
      <c r="B2076" s="3">
        <v>42779</v>
      </c>
      <c r="C2076" s="3">
        <v>42783</v>
      </c>
      <c r="D2076" s="2" t="s">
        <v>21</v>
      </c>
      <c r="E2076" s="2" t="s">
        <v>1891</v>
      </c>
      <c r="F2076" s="2" t="s">
        <v>1892</v>
      </c>
      <c r="G2076" s="2" t="s">
        <v>38</v>
      </c>
      <c r="H2076" s="2" t="s">
        <v>25</v>
      </c>
      <c r="I2076" s="2" t="s">
        <v>414</v>
      </c>
      <c r="J2076" s="2" t="s">
        <v>206</v>
      </c>
      <c r="K2076" s="2" t="s">
        <v>61</v>
      </c>
      <c r="L2076" s="2" t="s">
        <v>218</v>
      </c>
      <c r="M2076" s="2" t="s">
        <v>30</v>
      </c>
      <c r="N2076" s="2" t="s">
        <v>31</v>
      </c>
      <c r="O2076" s="2" t="s">
        <v>219</v>
      </c>
      <c r="P2076" s="4">
        <v>72.5505</v>
      </c>
      <c r="Q2076" s="4">
        <v>4</v>
      </c>
      <c r="R2076" s="4">
        <v>13.8561</v>
      </c>
      <c r="S2076" s="2" t="s">
        <v>75</v>
      </c>
      <c r="T2076" s="2" t="s">
        <v>101</v>
      </c>
    </row>
    <row r="2077" spans="1:20" x14ac:dyDescent="0.25">
      <c r="A2077" s="2" t="s">
        <v>3278</v>
      </c>
      <c r="B2077" s="3">
        <v>42610</v>
      </c>
      <c r="C2077" s="3">
        <v>42617</v>
      </c>
      <c r="D2077" s="2" t="s">
        <v>55</v>
      </c>
      <c r="E2077" s="2" t="s">
        <v>2030</v>
      </c>
      <c r="F2077" s="2" t="s">
        <v>2031</v>
      </c>
      <c r="G2077" s="2" t="s">
        <v>38</v>
      </c>
      <c r="H2077" s="2" t="s">
        <v>25</v>
      </c>
      <c r="I2077" s="2" t="s">
        <v>437</v>
      </c>
      <c r="J2077" s="2" t="s">
        <v>217</v>
      </c>
      <c r="K2077" s="2" t="s">
        <v>82</v>
      </c>
      <c r="L2077" s="2" t="s">
        <v>174</v>
      </c>
      <c r="M2077" s="2" t="s">
        <v>30</v>
      </c>
      <c r="N2077" s="2" t="s">
        <v>31</v>
      </c>
      <c r="O2077" s="2" t="s">
        <v>175</v>
      </c>
      <c r="P2077" s="4">
        <v>35.889699999999998</v>
      </c>
      <c r="Q2077" s="4">
        <v>3</v>
      </c>
      <c r="R2077" s="4">
        <v>1.1220000000000001</v>
      </c>
      <c r="S2077" s="2" t="s">
        <v>107</v>
      </c>
      <c r="T2077" s="2" t="s">
        <v>34</v>
      </c>
    </row>
    <row r="2078" spans="1:20" x14ac:dyDescent="0.25">
      <c r="A2078" s="2" t="s">
        <v>3279</v>
      </c>
      <c r="B2078" s="3">
        <v>41641</v>
      </c>
      <c r="C2078" s="3">
        <v>41646</v>
      </c>
      <c r="D2078" s="2" t="s">
        <v>55</v>
      </c>
      <c r="E2078" s="2" t="s">
        <v>257</v>
      </c>
      <c r="F2078" s="2" t="s">
        <v>258</v>
      </c>
      <c r="G2078" s="2" t="s">
        <v>38</v>
      </c>
      <c r="H2078" s="2" t="s">
        <v>25</v>
      </c>
      <c r="I2078" s="2" t="s">
        <v>699</v>
      </c>
      <c r="J2078" s="2" t="s">
        <v>339</v>
      </c>
      <c r="K2078" s="2" t="s">
        <v>82</v>
      </c>
      <c r="L2078" s="2" t="s">
        <v>62</v>
      </c>
      <c r="M2078" s="2" t="s">
        <v>30</v>
      </c>
      <c r="N2078" s="2" t="s">
        <v>63</v>
      </c>
      <c r="O2078" s="2" t="s">
        <v>64</v>
      </c>
      <c r="P2078" s="4">
        <v>246.64510000000001</v>
      </c>
      <c r="Q2078" s="4">
        <v>2</v>
      </c>
      <c r="R2078" s="4">
        <v>-51.290100000000002</v>
      </c>
      <c r="S2078" s="2" t="s">
        <v>85</v>
      </c>
      <c r="T2078" s="2" t="s">
        <v>115</v>
      </c>
    </row>
    <row r="2079" spans="1:20" x14ac:dyDescent="0.25">
      <c r="A2079" s="2" t="s">
        <v>3280</v>
      </c>
      <c r="B2079" s="3">
        <v>42433</v>
      </c>
      <c r="C2079" s="3">
        <v>42433</v>
      </c>
      <c r="D2079" s="2" t="s">
        <v>142</v>
      </c>
      <c r="E2079" s="2" t="s">
        <v>3281</v>
      </c>
      <c r="F2079" s="2" t="s">
        <v>3282</v>
      </c>
      <c r="G2079" s="2" t="s">
        <v>38</v>
      </c>
      <c r="H2079" s="2" t="s">
        <v>25</v>
      </c>
      <c r="I2079" s="2" t="s">
        <v>458</v>
      </c>
      <c r="J2079" s="2" t="s">
        <v>27</v>
      </c>
      <c r="K2079" s="2" t="s">
        <v>28</v>
      </c>
      <c r="L2079" s="2" t="s">
        <v>131</v>
      </c>
      <c r="M2079" s="2" t="s">
        <v>30</v>
      </c>
      <c r="N2079" s="2" t="s">
        <v>31</v>
      </c>
      <c r="O2079" s="2" t="s">
        <v>132</v>
      </c>
      <c r="P2079" s="4">
        <v>24.355599999999999</v>
      </c>
      <c r="Q2079" s="4">
        <v>4</v>
      </c>
      <c r="R2079" s="4">
        <v>5.6559999999999997</v>
      </c>
      <c r="S2079" s="2" t="s">
        <v>121</v>
      </c>
      <c r="T2079" s="2" t="s">
        <v>44</v>
      </c>
    </row>
    <row r="2080" spans="1:20" x14ac:dyDescent="0.25">
      <c r="A2080" s="2" t="s">
        <v>3283</v>
      </c>
      <c r="B2080" s="3">
        <v>42524</v>
      </c>
      <c r="C2080" s="3">
        <v>42531</v>
      </c>
      <c r="D2080" s="2" t="s">
        <v>55</v>
      </c>
      <c r="E2080" s="2" t="s">
        <v>1262</v>
      </c>
      <c r="F2080" s="2" t="s">
        <v>1263</v>
      </c>
      <c r="G2080" s="2" t="s">
        <v>58</v>
      </c>
      <c r="H2080" s="2" t="s">
        <v>25</v>
      </c>
      <c r="I2080" s="2" t="s">
        <v>297</v>
      </c>
      <c r="J2080" s="2" t="s">
        <v>234</v>
      </c>
      <c r="K2080" s="2" t="s">
        <v>82</v>
      </c>
      <c r="L2080" s="2" t="s">
        <v>174</v>
      </c>
      <c r="M2080" s="2" t="s">
        <v>30</v>
      </c>
      <c r="N2080" s="2" t="s">
        <v>31</v>
      </c>
      <c r="O2080" s="2" t="s">
        <v>175</v>
      </c>
      <c r="P2080" s="4">
        <v>121.5903</v>
      </c>
      <c r="Q2080" s="4">
        <v>4</v>
      </c>
      <c r="R2080" s="4">
        <v>44.347999999999999</v>
      </c>
      <c r="S2080" s="2" t="s">
        <v>107</v>
      </c>
      <c r="T2080" s="2" t="s">
        <v>133</v>
      </c>
    </row>
    <row r="2081" spans="1:20" x14ac:dyDescent="0.25">
      <c r="A2081" s="2" t="s">
        <v>3284</v>
      </c>
      <c r="B2081" s="3">
        <v>41703</v>
      </c>
      <c r="C2081" s="3">
        <v>41707</v>
      </c>
      <c r="D2081" s="2" t="s">
        <v>55</v>
      </c>
      <c r="E2081" s="2" t="s">
        <v>2732</v>
      </c>
      <c r="F2081" s="2" t="s">
        <v>2733</v>
      </c>
      <c r="G2081" s="2" t="s">
        <v>38</v>
      </c>
      <c r="H2081" s="2" t="s">
        <v>25</v>
      </c>
      <c r="I2081" s="2" t="s">
        <v>80</v>
      </c>
      <c r="J2081" s="2" t="s">
        <v>81</v>
      </c>
      <c r="K2081" s="2" t="s">
        <v>82</v>
      </c>
      <c r="L2081" s="2" t="s">
        <v>83</v>
      </c>
      <c r="M2081" s="2" t="s">
        <v>30</v>
      </c>
      <c r="N2081" s="2" t="s">
        <v>42</v>
      </c>
      <c r="O2081" s="2" t="s">
        <v>84</v>
      </c>
      <c r="P2081" s="4">
        <v>282.23820000000001</v>
      </c>
      <c r="Q2081" s="4">
        <v>4</v>
      </c>
      <c r="R2081" s="4">
        <v>-6.4259000000000004</v>
      </c>
      <c r="S2081" s="2" t="s">
        <v>75</v>
      </c>
      <c r="T2081" s="2" t="s">
        <v>44</v>
      </c>
    </row>
    <row r="2082" spans="1:20" x14ac:dyDescent="0.25">
      <c r="A2082" s="2" t="s">
        <v>3284</v>
      </c>
      <c r="B2082" s="3">
        <v>41703</v>
      </c>
      <c r="C2082" s="3">
        <v>41707</v>
      </c>
      <c r="D2082" s="2" t="s">
        <v>55</v>
      </c>
      <c r="E2082" s="2" t="s">
        <v>2732</v>
      </c>
      <c r="F2082" s="2" t="s">
        <v>2733</v>
      </c>
      <c r="G2082" s="2" t="s">
        <v>38</v>
      </c>
      <c r="H2082" s="2" t="s">
        <v>25</v>
      </c>
      <c r="I2082" s="2" t="s">
        <v>80</v>
      </c>
      <c r="J2082" s="2" t="s">
        <v>81</v>
      </c>
      <c r="K2082" s="2" t="s">
        <v>82</v>
      </c>
      <c r="L2082" s="2" t="s">
        <v>344</v>
      </c>
      <c r="M2082" s="2" t="s">
        <v>30</v>
      </c>
      <c r="N2082" s="2" t="s">
        <v>42</v>
      </c>
      <c r="O2082" s="2" t="s">
        <v>345</v>
      </c>
      <c r="P2082" s="4">
        <v>241.3306</v>
      </c>
      <c r="Q2082" s="4">
        <v>7</v>
      </c>
      <c r="R2082" s="4">
        <v>41.512099999999997</v>
      </c>
      <c r="S2082" s="2" t="s">
        <v>75</v>
      </c>
      <c r="T2082" s="2" t="s">
        <v>44</v>
      </c>
    </row>
    <row r="2083" spans="1:20" x14ac:dyDescent="0.25">
      <c r="A2083" s="2" t="s">
        <v>3285</v>
      </c>
      <c r="B2083" s="3">
        <v>41728</v>
      </c>
      <c r="C2083" s="3">
        <v>41729</v>
      </c>
      <c r="D2083" s="2" t="s">
        <v>48</v>
      </c>
      <c r="E2083" s="2" t="s">
        <v>1347</v>
      </c>
      <c r="F2083" s="2" t="s">
        <v>1348</v>
      </c>
      <c r="G2083" s="2" t="s">
        <v>58</v>
      </c>
      <c r="H2083" s="2" t="s">
        <v>25</v>
      </c>
      <c r="I2083" s="2" t="s">
        <v>105</v>
      </c>
      <c r="J2083" s="2" t="s">
        <v>106</v>
      </c>
      <c r="K2083" s="2" t="s">
        <v>61</v>
      </c>
      <c r="L2083" s="2" t="s">
        <v>45</v>
      </c>
      <c r="M2083" s="2" t="s">
        <v>30</v>
      </c>
      <c r="N2083" s="2" t="s">
        <v>31</v>
      </c>
      <c r="O2083" s="2" t="s">
        <v>46</v>
      </c>
      <c r="P2083" s="4">
        <v>42.975099999999998</v>
      </c>
      <c r="Q2083" s="4">
        <v>6</v>
      </c>
      <c r="R2083" s="4">
        <v>15.0016</v>
      </c>
      <c r="S2083" s="2" t="s">
        <v>33</v>
      </c>
      <c r="T2083" s="2" t="s">
        <v>44</v>
      </c>
    </row>
    <row r="2084" spans="1:20" x14ac:dyDescent="0.25">
      <c r="A2084" s="2" t="s">
        <v>3286</v>
      </c>
      <c r="B2084" s="3">
        <v>41930</v>
      </c>
      <c r="C2084" s="3">
        <v>41930</v>
      </c>
      <c r="D2084" s="2" t="s">
        <v>48</v>
      </c>
      <c r="E2084" s="2" t="s">
        <v>1178</v>
      </c>
      <c r="F2084" s="2" t="s">
        <v>1179</v>
      </c>
      <c r="G2084" s="2" t="s">
        <v>58</v>
      </c>
      <c r="H2084" s="2" t="s">
        <v>25</v>
      </c>
      <c r="I2084" s="2" t="s">
        <v>71</v>
      </c>
      <c r="J2084" s="2" t="s">
        <v>72</v>
      </c>
      <c r="K2084" s="2" t="s">
        <v>61</v>
      </c>
      <c r="L2084" s="2" t="s">
        <v>677</v>
      </c>
      <c r="M2084" s="2" t="s">
        <v>30</v>
      </c>
      <c r="N2084" s="2" t="s">
        <v>162</v>
      </c>
      <c r="O2084" s="2" t="s">
        <v>678</v>
      </c>
      <c r="P2084" s="4">
        <v>63.679299999999998</v>
      </c>
      <c r="Q2084" s="4">
        <v>1</v>
      </c>
      <c r="R2084" s="4">
        <v>-29.864699999999999</v>
      </c>
      <c r="S2084" s="2" t="s">
        <v>121</v>
      </c>
      <c r="T2084" s="2" t="s">
        <v>224</v>
      </c>
    </row>
    <row r="2085" spans="1:20" x14ac:dyDescent="0.25">
      <c r="A2085" s="2" t="s">
        <v>3287</v>
      </c>
      <c r="B2085" s="3">
        <v>42017</v>
      </c>
      <c r="C2085" s="3">
        <v>42019</v>
      </c>
      <c r="D2085" s="2" t="s">
        <v>48</v>
      </c>
      <c r="E2085" s="2" t="s">
        <v>2975</v>
      </c>
      <c r="F2085" s="2" t="s">
        <v>2976</v>
      </c>
      <c r="G2085" s="2" t="s">
        <v>38</v>
      </c>
      <c r="H2085" s="2" t="s">
        <v>25</v>
      </c>
      <c r="I2085" s="2" t="s">
        <v>917</v>
      </c>
      <c r="J2085" s="2" t="s">
        <v>120</v>
      </c>
      <c r="K2085" s="2" t="s">
        <v>61</v>
      </c>
      <c r="L2085" s="2" t="s">
        <v>933</v>
      </c>
      <c r="M2085" s="2" t="s">
        <v>30</v>
      </c>
      <c r="N2085" s="2" t="s">
        <v>162</v>
      </c>
      <c r="O2085" s="2" t="s">
        <v>934</v>
      </c>
      <c r="P2085" s="4">
        <v>237.41669999999999</v>
      </c>
      <c r="Q2085" s="4">
        <v>3</v>
      </c>
      <c r="R2085" s="4">
        <v>-60.1586</v>
      </c>
      <c r="S2085" s="2" t="s">
        <v>53</v>
      </c>
      <c r="T2085" s="2" t="s">
        <v>115</v>
      </c>
    </row>
    <row r="2086" spans="1:20" x14ac:dyDescent="0.25">
      <c r="A2086" s="2" t="s">
        <v>3288</v>
      </c>
      <c r="B2086" s="3">
        <v>42169</v>
      </c>
      <c r="C2086" s="3">
        <v>42171</v>
      </c>
      <c r="D2086" s="2" t="s">
        <v>21</v>
      </c>
      <c r="E2086" s="2" t="s">
        <v>2094</v>
      </c>
      <c r="F2086" s="2" t="s">
        <v>2095</v>
      </c>
      <c r="G2086" s="2" t="s">
        <v>58</v>
      </c>
      <c r="H2086" s="2" t="s">
        <v>25</v>
      </c>
      <c r="I2086" s="2" t="s">
        <v>288</v>
      </c>
      <c r="J2086" s="2" t="s">
        <v>289</v>
      </c>
      <c r="K2086" s="2" t="s">
        <v>82</v>
      </c>
      <c r="L2086" s="2" t="s">
        <v>193</v>
      </c>
      <c r="M2086" s="2" t="s">
        <v>30</v>
      </c>
      <c r="N2086" s="2" t="s">
        <v>42</v>
      </c>
      <c r="O2086" s="2" t="s">
        <v>194</v>
      </c>
      <c r="P2086" s="4">
        <v>525.72659999999996</v>
      </c>
      <c r="Q2086" s="4">
        <v>2</v>
      </c>
      <c r="R2086" s="4">
        <v>45.915199999999999</v>
      </c>
      <c r="S2086" s="2" t="s">
        <v>53</v>
      </c>
      <c r="T2086" s="2" t="s">
        <v>133</v>
      </c>
    </row>
    <row r="2087" spans="1:20" x14ac:dyDescent="0.25">
      <c r="A2087" s="2" t="s">
        <v>3289</v>
      </c>
      <c r="B2087" s="3">
        <v>42308</v>
      </c>
      <c r="C2087" s="3">
        <v>42315</v>
      </c>
      <c r="D2087" s="2" t="s">
        <v>55</v>
      </c>
      <c r="E2087" s="2" t="s">
        <v>1855</v>
      </c>
      <c r="F2087" s="2" t="s">
        <v>1856</v>
      </c>
      <c r="G2087" s="2" t="s">
        <v>24</v>
      </c>
      <c r="H2087" s="2" t="s">
        <v>25</v>
      </c>
      <c r="I2087" s="2" t="s">
        <v>1096</v>
      </c>
      <c r="J2087" s="2" t="s">
        <v>806</v>
      </c>
      <c r="K2087" s="2" t="s">
        <v>28</v>
      </c>
      <c r="L2087" s="2" t="s">
        <v>131</v>
      </c>
      <c r="M2087" s="2" t="s">
        <v>30</v>
      </c>
      <c r="N2087" s="2" t="s">
        <v>31</v>
      </c>
      <c r="O2087" s="2" t="s">
        <v>132</v>
      </c>
      <c r="P2087" s="4">
        <v>323.62970000000001</v>
      </c>
      <c r="Q2087" s="4">
        <v>4</v>
      </c>
      <c r="R2087" s="4">
        <v>157.98570000000001</v>
      </c>
      <c r="S2087" s="2" t="s">
        <v>107</v>
      </c>
      <c r="T2087" s="2" t="s">
        <v>224</v>
      </c>
    </row>
    <row r="2088" spans="1:20" x14ac:dyDescent="0.25">
      <c r="A2088" s="2" t="s">
        <v>3289</v>
      </c>
      <c r="B2088" s="3">
        <v>42308</v>
      </c>
      <c r="C2088" s="3">
        <v>42315</v>
      </c>
      <c r="D2088" s="2" t="s">
        <v>55</v>
      </c>
      <c r="E2088" s="2" t="s">
        <v>1855</v>
      </c>
      <c r="F2088" s="2" t="s">
        <v>1856</v>
      </c>
      <c r="G2088" s="2" t="s">
        <v>24</v>
      </c>
      <c r="H2088" s="2" t="s">
        <v>25</v>
      </c>
      <c r="I2088" s="2" t="s">
        <v>1096</v>
      </c>
      <c r="J2088" s="2" t="s">
        <v>806</v>
      </c>
      <c r="K2088" s="2" t="s">
        <v>28</v>
      </c>
      <c r="L2088" s="2" t="s">
        <v>245</v>
      </c>
      <c r="M2088" s="2" t="s">
        <v>30</v>
      </c>
      <c r="N2088" s="2" t="s">
        <v>42</v>
      </c>
      <c r="O2088" s="2" t="s">
        <v>246</v>
      </c>
      <c r="P2088" s="4">
        <v>293.97239999999999</v>
      </c>
      <c r="Q2088" s="4">
        <v>1</v>
      </c>
      <c r="R2088" s="4">
        <v>28.5672</v>
      </c>
      <c r="S2088" s="2" t="s">
        <v>107</v>
      </c>
      <c r="T2088" s="2" t="s">
        <v>224</v>
      </c>
    </row>
    <row r="2089" spans="1:20" x14ac:dyDescent="0.25">
      <c r="A2089" s="2" t="s">
        <v>3290</v>
      </c>
      <c r="B2089" s="3">
        <v>42086</v>
      </c>
      <c r="C2089" s="3">
        <v>42088</v>
      </c>
      <c r="D2089" s="2" t="s">
        <v>55</v>
      </c>
      <c r="E2089" s="2" t="s">
        <v>1265</v>
      </c>
      <c r="F2089" s="2" t="s">
        <v>1266</v>
      </c>
      <c r="G2089" s="2" t="s">
        <v>38</v>
      </c>
      <c r="H2089" s="2" t="s">
        <v>25</v>
      </c>
      <c r="I2089" s="2" t="s">
        <v>902</v>
      </c>
      <c r="J2089" s="2" t="s">
        <v>753</v>
      </c>
      <c r="K2089" s="2" t="s">
        <v>147</v>
      </c>
      <c r="L2089" s="2" t="s">
        <v>252</v>
      </c>
      <c r="M2089" s="2" t="s">
        <v>30</v>
      </c>
      <c r="N2089" s="2" t="s">
        <v>31</v>
      </c>
      <c r="O2089" s="2" t="s">
        <v>253</v>
      </c>
      <c r="P2089" s="4">
        <v>74.531400000000005</v>
      </c>
      <c r="Q2089" s="4">
        <v>8</v>
      </c>
      <c r="R2089" s="4">
        <v>26.710799999999999</v>
      </c>
      <c r="S2089" s="2" t="s">
        <v>53</v>
      </c>
      <c r="T2089" s="2" t="s">
        <v>44</v>
      </c>
    </row>
    <row r="2090" spans="1:20" x14ac:dyDescent="0.25">
      <c r="A2090" s="2" t="s">
        <v>3290</v>
      </c>
      <c r="B2090" s="3">
        <v>42086</v>
      </c>
      <c r="C2090" s="3">
        <v>42088</v>
      </c>
      <c r="D2090" s="2" t="s">
        <v>55</v>
      </c>
      <c r="E2090" s="2" t="s">
        <v>1265</v>
      </c>
      <c r="F2090" s="2" t="s">
        <v>1266</v>
      </c>
      <c r="G2090" s="2" t="s">
        <v>38</v>
      </c>
      <c r="H2090" s="2" t="s">
        <v>25</v>
      </c>
      <c r="I2090" s="2" t="s">
        <v>902</v>
      </c>
      <c r="J2090" s="2" t="s">
        <v>753</v>
      </c>
      <c r="K2090" s="2" t="s">
        <v>147</v>
      </c>
      <c r="L2090" s="2" t="s">
        <v>66</v>
      </c>
      <c r="M2090" s="2" t="s">
        <v>30</v>
      </c>
      <c r="N2090" s="2" t="s">
        <v>31</v>
      </c>
      <c r="O2090" s="2" t="s">
        <v>67</v>
      </c>
      <c r="P2090" s="4">
        <v>57.638399999999997</v>
      </c>
      <c r="Q2090" s="4">
        <v>2</v>
      </c>
      <c r="R2090" s="4">
        <v>33.979799999999997</v>
      </c>
      <c r="S2090" s="2" t="s">
        <v>53</v>
      </c>
      <c r="T2090" s="2" t="s">
        <v>44</v>
      </c>
    </row>
    <row r="2091" spans="1:20" x14ac:dyDescent="0.25">
      <c r="A2091" s="2" t="s">
        <v>3291</v>
      </c>
      <c r="B2091" s="3">
        <v>42125</v>
      </c>
      <c r="C2091" s="3">
        <v>42129</v>
      </c>
      <c r="D2091" s="2" t="s">
        <v>21</v>
      </c>
      <c r="E2091" s="2" t="s">
        <v>990</v>
      </c>
      <c r="F2091" s="2" t="s">
        <v>991</v>
      </c>
      <c r="G2091" s="2" t="s">
        <v>24</v>
      </c>
      <c r="H2091" s="2" t="s">
        <v>25</v>
      </c>
      <c r="I2091" s="2" t="s">
        <v>1319</v>
      </c>
      <c r="J2091" s="2" t="s">
        <v>632</v>
      </c>
      <c r="K2091" s="2" t="s">
        <v>82</v>
      </c>
      <c r="L2091" s="2" t="s">
        <v>29</v>
      </c>
      <c r="M2091" s="2" t="s">
        <v>30</v>
      </c>
      <c r="N2091" s="2" t="s">
        <v>31</v>
      </c>
      <c r="O2091" s="2" t="s">
        <v>32</v>
      </c>
      <c r="P2091" s="4">
        <v>30.588200000000001</v>
      </c>
      <c r="Q2091" s="4">
        <v>2</v>
      </c>
      <c r="R2091" s="4">
        <v>-2.0529000000000002</v>
      </c>
      <c r="S2091" s="2" t="s">
        <v>75</v>
      </c>
      <c r="T2091" s="2" t="s">
        <v>122</v>
      </c>
    </row>
    <row r="2092" spans="1:20" x14ac:dyDescent="0.25">
      <c r="A2092" s="2" t="s">
        <v>3292</v>
      </c>
      <c r="B2092" s="3">
        <v>42349</v>
      </c>
      <c r="C2092" s="3">
        <v>42353</v>
      </c>
      <c r="D2092" s="2" t="s">
        <v>55</v>
      </c>
      <c r="E2092" s="2" t="s">
        <v>1134</v>
      </c>
      <c r="F2092" s="2" t="s">
        <v>1135</v>
      </c>
      <c r="G2092" s="2" t="s">
        <v>58</v>
      </c>
      <c r="H2092" s="2" t="s">
        <v>25</v>
      </c>
      <c r="I2092" s="2" t="s">
        <v>1184</v>
      </c>
      <c r="J2092" s="2" t="s">
        <v>435</v>
      </c>
      <c r="K2092" s="2" t="s">
        <v>61</v>
      </c>
      <c r="L2092" s="2" t="s">
        <v>323</v>
      </c>
      <c r="M2092" s="2" t="s">
        <v>30</v>
      </c>
      <c r="N2092" s="2" t="s">
        <v>31</v>
      </c>
      <c r="O2092" s="2" t="s">
        <v>324</v>
      </c>
      <c r="P2092" s="4">
        <v>162.48390000000001</v>
      </c>
      <c r="Q2092" s="4">
        <v>2</v>
      </c>
      <c r="R2092" s="4">
        <v>88.331699999999998</v>
      </c>
      <c r="S2092" s="2" t="s">
        <v>75</v>
      </c>
      <c r="T2092" s="2" t="s">
        <v>76</v>
      </c>
    </row>
    <row r="2093" spans="1:20" x14ac:dyDescent="0.25">
      <c r="A2093" s="2" t="s">
        <v>3293</v>
      </c>
      <c r="B2093" s="3">
        <v>43099</v>
      </c>
      <c r="C2093" s="3">
        <v>43102</v>
      </c>
      <c r="D2093" s="2" t="s">
        <v>21</v>
      </c>
      <c r="E2093" s="2" t="s">
        <v>1986</v>
      </c>
      <c r="F2093" s="2" t="s">
        <v>1987</v>
      </c>
      <c r="G2093" s="2" t="s">
        <v>58</v>
      </c>
      <c r="H2093" s="2" t="s">
        <v>25</v>
      </c>
      <c r="I2093" s="2" t="s">
        <v>414</v>
      </c>
      <c r="J2093" s="2" t="s">
        <v>206</v>
      </c>
      <c r="K2093" s="2" t="s">
        <v>61</v>
      </c>
      <c r="L2093" s="2" t="s">
        <v>41</v>
      </c>
      <c r="M2093" s="2" t="s">
        <v>30</v>
      </c>
      <c r="N2093" s="2" t="s">
        <v>42</v>
      </c>
      <c r="O2093" s="2" t="s">
        <v>43</v>
      </c>
      <c r="P2093" s="4">
        <v>82.555899999999994</v>
      </c>
      <c r="Q2093" s="4">
        <v>2</v>
      </c>
      <c r="R2093" s="4">
        <v>24.6435</v>
      </c>
      <c r="S2093" s="2" t="s">
        <v>92</v>
      </c>
      <c r="T2093" s="2" t="s">
        <v>76</v>
      </c>
    </row>
    <row r="2094" spans="1:20" x14ac:dyDescent="0.25">
      <c r="A2094" s="2" t="s">
        <v>3294</v>
      </c>
      <c r="B2094" s="3">
        <v>42723</v>
      </c>
      <c r="C2094" s="3">
        <v>42727</v>
      </c>
      <c r="D2094" s="2" t="s">
        <v>55</v>
      </c>
      <c r="E2094" s="2" t="s">
        <v>3295</v>
      </c>
      <c r="F2094" s="2" t="s">
        <v>3296</v>
      </c>
      <c r="G2094" s="2" t="s">
        <v>58</v>
      </c>
      <c r="H2094" s="2" t="s">
        <v>25</v>
      </c>
      <c r="I2094" s="2" t="s">
        <v>259</v>
      </c>
      <c r="J2094" s="2" t="s">
        <v>260</v>
      </c>
      <c r="K2094" s="2" t="s">
        <v>147</v>
      </c>
      <c r="L2094" s="2" t="s">
        <v>235</v>
      </c>
      <c r="M2094" s="2" t="s">
        <v>30</v>
      </c>
      <c r="N2094" s="2" t="s">
        <v>31</v>
      </c>
      <c r="O2094" s="2" t="s">
        <v>236</v>
      </c>
      <c r="P2094" s="4">
        <v>56.917700000000004</v>
      </c>
      <c r="Q2094" s="4">
        <v>4</v>
      </c>
      <c r="R2094" s="4">
        <v>29.663</v>
      </c>
      <c r="S2094" s="2" t="s">
        <v>75</v>
      </c>
      <c r="T2094" s="2" t="s">
        <v>76</v>
      </c>
    </row>
    <row r="2095" spans="1:20" x14ac:dyDescent="0.25">
      <c r="A2095" s="2" t="s">
        <v>3297</v>
      </c>
      <c r="B2095" s="3">
        <v>42079</v>
      </c>
      <c r="C2095" s="3">
        <v>42083</v>
      </c>
      <c r="D2095" s="2" t="s">
        <v>55</v>
      </c>
      <c r="E2095" s="2" t="s">
        <v>2602</v>
      </c>
      <c r="F2095" s="2" t="s">
        <v>2603</v>
      </c>
      <c r="G2095" s="2" t="s">
        <v>58</v>
      </c>
      <c r="H2095" s="2" t="s">
        <v>25</v>
      </c>
      <c r="I2095" s="2" t="s">
        <v>59</v>
      </c>
      <c r="J2095" s="2" t="s">
        <v>60</v>
      </c>
      <c r="K2095" s="2" t="s">
        <v>61</v>
      </c>
      <c r="L2095" s="2" t="s">
        <v>66</v>
      </c>
      <c r="M2095" s="2" t="s">
        <v>30</v>
      </c>
      <c r="N2095" s="2" t="s">
        <v>31</v>
      </c>
      <c r="O2095" s="2" t="s">
        <v>67</v>
      </c>
      <c r="P2095" s="4">
        <v>17.092099999999999</v>
      </c>
      <c r="Q2095" s="4">
        <v>2</v>
      </c>
      <c r="R2095" s="4">
        <v>-1.9135</v>
      </c>
      <c r="S2095" s="2" t="s">
        <v>75</v>
      </c>
      <c r="T2095" s="2" t="s">
        <v>44</v>
      </c>
    </row>
    <row r="2096" spans="1:20" x14ac:dyDescent="0.25">
      <c r="A2096" s="2" t="s">
        <v>3298</v>
      </c>
      <c r="B2096" s="3">
        <v>42048</v>
      </c>
      <c r="C2096" s="3">
        <v>42048</v>
      </c>
      <c r="D2096" s="2" t="s">
        <v>55</v>
      </c>
      <c r="E2096" s="2" t="s">
        <v>2938</v>
      </c>
      <c r="F2096" s="2" t="s">
        <v>2939</v>
      </c>
      <c r="G2096" s="2" t="s">
        <v>24</v>
      </c>
      <c r="H2096" s="2" t="s">
        <v>25</v>
      </c>
      <c r="I2096" s="2" t="s">
        <v>605</v>
      </c>
      <c r="J2096" s="2" t="s">
        <v>424</v>
      </c>
      <c r="K2096" s="2" t="s">
        <v>28</v>
      </c>
      <c r="L2096" s="2" t="s">
        <v>228</v>
      </c>
      <c r="M2096" s="2" t="s">
        <v>30</v>
      </c>
      <c r="N2096" s="2" t="s">
        <v>42</v>
      </c>
      <c r="O2096" s="2" t="s">
        <v>229</v>
      </c>
      <c r="P2096" s="4">
        <v>167.6908</v>
      </c>
      <c r="Q2096" s="4">
        <v>2</v>
      </c>
      <c r="R2096" s="4">
        <v>-27.773800000000001</v>
      </c>
      <c r="S2096" s="2" t="s">
        <v>121</v>
      </c>
      <c r="T2096" s="2" t="s">
        <v>101</v>
      </c>
    </row>
    <row r="2097" spans="1:20" x14ac:dyDescent="0.25">
      <c r="A2097" s="2" t="s">
        <v>3299</v>
      </c>
      <c r="B2097" s="3">
        <v>42502</v>
      </c>
      <c r="C2097" s="3">
        <v>42502</v>
      </c>
      <c r="D2097" s="2" t="s">
        <v>55</v>
      </c>
      <c r="E2097" s="2" t="s">
        <v>2664</v>
      </c>
      <c r="F2097" s="2" t="s">
        <v>2665</v>
      </c>
      <c r="G2097" s="2" t="s">
        <v>38</v>
      </c>
      <c r="H2097" s="2" t="s">
        <v>25</v>
      </c>
      <c r="I2097" s="2" t="s">
        <v>26</v>
      </c>
      <c r="J2097" s="2" t="s">
        <v>27</v>
      </c>
      <c r="K2097" s="2" t="s">
        <v>28</v>
      </c>
      <c r="L2097" s="2" t="s">
        <v>677</v>
      </c>
      <c r="M2097" s="2" t="s">
        <v>30</v>
      </c>
      <c r="N2097" s="2" t="s">
        <v>162</v>
      </c>
      <c r="O2097" s="2" t="s">
        <v>678</v>
      </c>
      <c r="P2097" s="4">
        <v>463.93709999999999</v>
      </c>
      <c r="Q2097" s="4">
        <v>2</v>
      </c>
      <c r="R2097" s="4">
        <v>-4.9488000000000003</v>
      </c>
      <c r="S2097" s="2" t="s">
        <v>121</v>
      </c>
      <c r="T2097" s="2" t="s">
        <v>122</v>
      </c>
    </row>
    <row r="2098" spans="1:20" x14ac:dyDescent="0.25">
      <c r="A2098" s="2" t="s">
        <v>3300</v>
      </c>
      <c r="B2098" s="3">
        <v>42780</v>
      </c>
      <c r="C2098" s="3">
        <v>42784</v>
      </c>
      <c r="D2098" s="2" t="s">
        <v>55</v>
      </c>
      <c r="E2098" s="2" t="s">
        <v>1130</v>
      </c>
      <c r="F2098" s="2" t="s">
        <v>1131</v>
      </c>
      <c r="G2098" s="2" t="s">
        <v>38</v>
      </c>
      <c r="H2098" s="2" t="s">
        <v>25</v>
      </c>
      <c r="I2098" s="2" t="s">
        <v>639</v>
      </c>
      <c r="J2098" s="2" t="s">
        <v>192</v>
      </c>
      <c r="K2098" s="2" t="s">
        <v>82</v>
      </c>
      <c r="L2098" s="2" t="s">
        <v>283</v>
      </c>
      <c r="M2098" s="2" t="s">
        <v>30</v>
      </c>
      <c r="N2098" s="2" t="s">
        <v>162</v>
      </c>
      <c r="O2098" s="2" t="s">
        <v>284</v>
      </c>
      <c r="P2098" s="4">
        <v>610.47630000000004</v>
      </c>
      <c r="Q2098" s="4">
        <v>4</v>
      </c>
      <c r="R2098" s="4">
        <v>-58.489100000000001</v>
      </c>
      <c r="S2098" s="2" t="s">
        <v>75</v>
      </c>
      <c r="T2098" s="2" t="s">
        <v>101</v>
      </c>
    </row>
    <row r="2099" spans="1:20" x14ac:dyDescent="0.25">
      <c r="A2099" s="2" t="s">
        <v>3300</v>
      </c>
      <c r="B2099" s="3">
        <v>42780</v>
      </c>
      <c r="C2099" s="3">
        <v>42784</v>
      </c>
      <c r="D2099" s="2" t="s">
        <v>55</v>
      </c>
      <c r="E2099" s="2" t="s">
        <v>1130</v>
      </c>
      <c r="F2099" s="2" t="s">
        <v>1131</v>
      </c>
      <c r="G2099" s="2" t="s">
        <v>38</v>
      </c>
      <c r="H2099" s="2" t="s">
        <v>25</v>
      </c>
      <c r="I2099" s="2" t="s">
        <v>639</v>
      </c>
      <c r="J2099" s="2" t="s">
        <v>192</v>
      </c>
      <c r="K2099" s="2" t="s">
        <v>82</v>
      </c>
      <c r="L2099" s="2" t="s">
        <v>186</v>
      </c>
      <c r="M2099" s="2" t="s">
        <v>30</v>
      </c>
      <c r="N2099" s="2" t="s">
        <v>31</v>
      </c>
      <c r="O2099" s="2" t="s">
        <v>187</v>
      </c>
      <c r="P2099" s="4">
        <v>226.24459999999999</v>
      </c>
      <c r="Q2099" s="4">
        <v>4</v>
      </c>
      <c r="R2099" s="4">
        <v>106.4879</v>
      </c>
      <c r="S2099" s="2" t="s">
        <v>75</v>
      </c>
      <c r="T2099" s="2" t="s">
        <v>101</v>
      </c>
    </row>
    <row r="2100" spans="1:20" x14ac:dyDescent="0.25">
      <c r="A2100" s="2" t="s">
        <v>3301</v>
      </c>
      <c r="B2100" s="3">
        <v>42011</v>
      </c>
      <c r="C2100" s="3">
        <v>42013</v>
      </c>
      <c r="D2100" s="2" t="s">
        <v>48</v>
      </c>
      <c r="E2100" s="2" t="s">
        <v>3302</v>
      </c>
      <c r="F2100" s="2" t="s">
        <v>3303</v>
      </c>
      <c r="G2100" s="2" t="s">
        <v>38</v>
      </c>
      <c r="H2100" s="2" t="s">
        <v>25</v>
      </c>
      <c r="I2100" s="2" t="s">
        <v>80</v>
      </c>
      <c r="J2100" s="2" t="s">
        <v>81</v>
      </c>
      <c r="K2100" s="2" t="s">
        <v>82</v>
      </c>
      <c r="L2100" s="2" t="s">
        <v>113</v>
      </c>
      <c r="M2100" s="2" t="s">
        <v>30</v>
      </c>
      <c r="N2100" s="2" t="s">
        <v>31</v>
      </c>
      <c r="O2100" s="2" t="s">
        <v>114</v>
      </c>
      <c r="P2100" s="4">
        <v>23.867799999999999</v>
      </c>
      <c r="Q2100" s="4">
        <v>9</v>
      </c>
      <c r="R2100" s="4">
        <v>9.6075999999999997</v>
      </c>
      <c r="S2100" s="2" t="s">
        <v>53</v>
      </c>
      <c r="T2100" s="2" t="s">
        <v>115</v>
      </c>
    </row>
    <row r="2101" spans="1:20" x14ac:dyDescent="0.25">
      <c r="A2101" s="2" t="s">
        <v>3304</v>
      </c>
      <c r="B2101" s="3">
        <v>41742</v>
      </c>
      <c r="C2101" s="3">
        <v>41743</v>
      </c>
      <c r="D2101" s="2" t="s">
        <v>21</v>
      </c>
      <c r="E2101" s="2" t="s">
        <v>1529</v>
      </c>
      <c r="F2101" s="2" t="s">
        <v>1530</v>
      </c>
      <c r="G2101" s="2" t="s">
        <v>38</v>
      </c>
      <c r="H2101" s="2" t="s">
        <v>25</v>
      </c>
      <c r="I2101" s="2" t="s">
        <v>350</v>
      </c>
      <c r="J2101" s="2" t="s">
        <v>351</v>
      </c>
      <c r="K2101" s="2" t="s">
        <v>147</v>
      </c>
      <c r="L2101" s="2" t="s">
        <v>66</v>
      </c>
      <c r="M2101" s="2" t="s">
        <v>30</v>
      </c>
      <c r="N2101" s="2" t="s">
        <v>31</v>
      </c>
      <c r="O2101" s="2" t="s">
        <v>67</v>
      </c>
      <c r="P2101" s="4">
        <v>437.59879999999998</v>
      </c>
      <c r="Q2101" s="4">
        <v>2</v>
      </c>
      <c r="R2101" s="4">
        <v>69.393000000000001</v>
      </c>
      <c r="S2101" s="2" t="s">
        <v>33</v>
      </c>
      <c r="T2101" s="2" t="s">
        <v>108</v>
      </c>
    </row>
    <row r="2102" spans="1:20" x14ac:dyDescent="0.25">
      <c r="A2102" s="2" t="s">
        <v>3305</v>
      </c>
      <c r="B2102" s="3">
        <v>41819</v>
      </c>
      <c r="C2102" s="3">
        <v>41820</v>
      </c>
      <c r="D2102" s="2" t="s">
        <v>55</v>
      </c>
      <c r="E2102" s="2" t="s">
        <v>1175</v>
      </c>
      <c r="F2102" s="2" t="s">
        <v>1176</v>
      </c>
      <c r="G2102" s="2" t="s">
        <v>38</v>
      </c>
      <c r="H2102" s="2" t="s">
        <v>25</v>
      </c>
      <c r="I2102" s="2" t="s">
        <v>441</v>
      </c>
      <c r="J2102" s="2" t="s">
        <v>40</v>
      </c>
      <c r="K2102" s="2" t="s">
        <v>28</v>
      </c>
      <c r="L2102" s="2" t="s">
        <v>193</v>
      </c>
      <c r="M2102" s="2" t="s">
        <v>30</v>
      </c>
      <c r="N2102" s="2" t="s">
        <v>42</v>
      </c>
      <c r="O2102" s="2" t="s">
        <v>194</v>
      </c>
      <c r="P2102" s="4">
        <v>319.58390000000003</v>
      </c>
      <c r="Q2102" s="4">
        <v>5</v>
      </c>
      <c r="R2102" s="4">
        <v>84.391000000000005</v>
      </c>
      <c r="S2102" s="2" t="s">
        <v>33</v>
      </c>
      <c r="T2102" s="2" t="s">
        <v>133</v>
      </c>
    </row>
    <row r="2103" spans="1:20" x14ac:dyDescent="0.25">
      <c r="A2103" s="2" t="s">
        <v>3305</v>
      </c>
      <c r="B2103" s="3">
        <v>41819</v>
      </c>
      <c r="C2103" s="3">
        <v>41820</v>
      </c>
      <c r="D2103" s="2" t="s">
        <v>55</v>
      </c>
      <c r="E2103" s="2" t="s">
        <v>1175</v>
      </c>
      <c r="F2103" s="2" t="s">
        <v>1176</v>
      </c>
      <c r="G2103" s="2" t="s">
        <v>38</v>
      </c>
      <c r="H2103" s="2" t="s">
        <v>25</v>
      </c>
      <c r="I2103" s="2" t="s">
        <v>441</v>
      </c>
      <c r="J2103" s="2" t="s">
        <v>40</v>
      </c>
      <c r="K2103" s="2" t="s">
        <v>28</v>
      </c>
      <c r="L2103" s="2" t="s">
        <v>344</v>
      </c>
      <c r="M2103" s="2" t="s">
        <v>30</v>
      </c>
      <c r="N2103" s="2" t="s">
        <v>42</v>
      </c>
      <c r="O2103" s="2" t="s">
        <v>345</v>
      </c>
      <c r="P2103" s="4">
        <v>654.29110000000003</v>
      </c>
      <c r="Q2103" s="4">
        <v>6</v>
      </c>
      <c r="R2103" s="4">
        <v>63.959499999999998</v>
      </c>
      <c r="S2103" s="2" t="s">
        <v>33</v>
      </c>
      <c r="T2103" s="2" t="s">
        <v>133</v>
      </c>
    </row>
    <row r="2104" spans="1:20" x14ac:dyDescent="0.25">
      <c r="A2104" s="2" t="s">
        <v>3305</v>
      </c>
      <c r="B2104" s="3">
        <v>41819</v>
      </c>
      <c r="C2104" s="3">
        <v>41820</v>
      </c>
      <c r="D2104" s="2" t="s">
        <v>55</v>
      </c>
      <c r="E2104" s="2" t="s">
        <v>1175</v>
      </c>
      <c r="F2104" s="2" t="s">
        <v>1176</v>
      </c>
      <c r="G2104" s="2" t="s">
        <v>38</v>
      </c>
      <c r="H2104" s="2" t="s">
        <v>25</v>
      </c>
      <c r="I2104" s="2" t="s">
        <v>441</v>
      </c>
      <c r="J2104" s="2" t="s">
        <v>40</v>
      </c>
      <c r="K2104" s="2" t="s">
        <v>28</v>
      </c>
      <c r="L2104" s="2" t="s">
        <v>45</v>
      </c>
      <c r="M2104" s="2" t="s">
        <v>30</v>
      </c>
      <c r="N2104" s="2" t="s">
        <v>31</v>
      </c>
      <c r="O2104" s="2" t="s">
        <v>46</v>
      </c>
      <c r="P2104" s="4">
        <v>37.918300000000002</v>
      </c>
      <c r="Q2104" s="4">
        <v>4</v>
      </c>
      <c r="R2104" s="4">
        <v>-11.0123</v>
      </c>
      <c r="S2104" s="2" t="s">
        <v>33</v>
      </c>
      <c r="T2104" s="2" t="s">
        <v>133</v>
      </c>
    </row>
    <row r="2105" spans="1:20" x14ac:dyDescent="0.25">
      <c r="A2105" s="2" t="s">
        <v>3306</v>
      </c>
      <c r="B2105" s="3">
        <v>42928</v>
      </c>
      <c r="C2105" s="3">
        <v>42928</v>
      </c>
      <c r="D2105" s="2" t="s">
        <v>55</v>
      </c>
      <c r="E2105" s="2" t="s">
        <v>3239</v>
      </c>
      <c r="F2105" s="2" t="s">
        <v>3240</v>
      </c>
      <c r="G2105" s="2" t="s">
        <v>24</v>
      </c>
      <c r="H2105" s="2" t="s">
        <v>25</v>
      </c>
      <c r="I2105" s="2" t="s">
        <v>1098</v>
      </c>
      <c r="J2105" s="2" t="s">
        <v>595</v>
      </c>
      <c r="K2105" s="2" t="s">
        <v>61</v>
      </c>
      <c r="L2105" s="2" t="s">
        <v>453</v>
      </c>
      <c r="M2105" s="2" t="s">
        <v>30</v>
      </c>
      <c r="N2105" s="2" t="s">
        <v>42</v>
      </c>
      <c r="O2105" s="2" t="s">
        <v>454</v>
      </c>
      <c r="P2105" s="4">
        <v>254.10130000000001</v>
      </c>
      <c r="Q2105" s="4">
        <v>4</v>
      </c>
      <c r="R2105" s="4">
        <v>6.3028000000000004</v>
      </c>
      <c r="S2105" s="2" t="s">
        <v>121</v>
      </c>
      <c r="T2105" s="2" t="s">
        <v>86</v>
      </c>
    </row>
    <row r="2106" spans="1:20" x14ac:dyDescent="0.25">
      <c r="A2106" s="2" t="s">
        <v>3307</v>
      </c>
      <c r="B2106" s="3">
        <v>42859</v>
      </c>
      <c r="C2106" s="3">
        <v>42861</v>
      </c>
      <c r="D2106" s="2" t="s">
        <v>48</v>
      </c>
      <c r="E2106" s="2" t="s">
        <v>2191</v>
      </c>
      <c r="F2106" s="2" t="s">
        <v>2192</v>
      </c>
      <c r="G2106" s="2" t="s">
        <v>58</v>
      </c>
      <c r="H2106" s="2" t="s">
        <v>25</v>
      </c>
      <c r="I2106" s="2" t="s">
        <v>402</v>
      </c>
      <c r="J2106" s="2" t="s">
        <v>403</v>
      </c>
      <c r="K2106" s="2" t="s">
        <v>147</v>
      </c>
      <c r="L2106" s="2" t="s">
        <v>154</v>
      </c>
      <c r="M2106" s="2" t="s">
        <v>30</v>
      </c>
      <c r="N2106" s="2" t="s">
        <v>42</v>
      </c>
      <c r="O2106" s="2" t="s">
        <v>155</v>
      </c>
      <c r="P2106" s="4">
        <v>2257.3087</v>
      </c>
      <c r="Q2106" s="4">
        <v>5</v>
      </c>
      <c r="R2106" s="4">
        <v>643.14250000000004</v>
      </c>
      <c r="S2106" s="2" t="s">
        <v>53</v>
      </c>
      <c r="T2106" s="2" t="s">
        <v>122</v>
      </c>
    </row>
    <row r="2107" spans="1:20" x14ac:dyDescent="0.25">
      <c r="A2107" s="2" t="s">
        <v>3308</v>
      </c>
      <c r="B2107" s="3">
        <v>41814</v>
      </c>
      <c r="C2107" s="3">
        <v>41818</v>
      </c>
      <c r="D2107" s="2" t="s">
        <v>55</v>
      </c>
      <c r="E2107" s="2" t="s">
        <v>3309</v>
      </c>
      <c r="F2107" s="2" t="s">
        <v>3310</v>
      </c>
      <c r="G2107" s="2" t="s">
        <v>38</v>
      </c>
      <c r="H2107" s="2" t="s">
        <v>25</v>
      </c>
      <c r="I2107" s="2" t="s">
        <v>531</v>
      </c>
      <c r="J2107" s="2" t="s">
        <v>435</v>
      </c>
      <c r="K2107" s="2" t="s">
        <v>61</v>
      </c>
      <c r="L2107" s="2" t="s">
        <v>235</v>
      </c>
      <c r="M2107" s="2" t="s">
        <v>30</v>
      </c>
      <c r="N2107" s="2" t="s">
        <v>31</v>
      </c>
      <c r="O2107" s="2" t="s">
        <v>236</v>
      </c>
      <c r="P2107" s="4">
        <v>41.9313</v>
      </c>
      <c r="Q2107" s="4">
        <v>3</v>
      </c>
      <c r="R2107" s="4">
        <v>-6.7274000000000003</v>
      </c>
      <c r="S2107" s="2" t="s">
        <v>75</v>
      </c>
      <c r="T2107" s="2" t="s">
        <v>133</v>
      </c>
    </row>
    <row r="2108" spans="1:20" x14ac:dyDescent="0.25">
      <c r="A2108" s="2" t="s">
        <v>3311</v>
      </c>
      <c r="B2108" s="3">
        <v>42899</v>
      </c>
      <c r="C2108" s="3">
        <v>42900</v>
      </c>
      <c r="D2108" s="2" t="s">
        <v>48</v>
      </c>
      <c r="E2108" s="2" t="s">
        <v>2219</v>
      </c>
      <c r="F2108" s="2" t="s">
        <v>2220</v>
      </c>
      <c r="G2108" s="2" t="s">
        <v>58</v>
      </c>
      <c r="H2108" s="2" t="s">
        <v>25</v>
      </c>
      <c r="I2108" s="2" t="s">
        <v>1053</v>
      </c>
      <c r="J2108" s="2" t="s">
        <v>806</v>
      </c>
      <c r="K2108" s="2" t="s">
        <v>28</v>
      </c>
      <c r="L2108" s="2" t="s">
        <v>186</v>
      </c>
      <c r="M2108" s="2" t="s">
        <v>30</v>
      </c>
      <c r="N2108" s="2" t="s">
        <v>31</v>
      </c>
      <c r="O2108" s="2" t="s">
        <v>187</v>
      </c>
      <c r="P2108" s="4">
        <v>2</v>
      </c>
      <c r="Q2108" s="4">
        <v>3</v>
      </c>
      <c r="R2108" s="4">
        <v>0.30909999999999999</v>
      </c>
      <c r="S2108" s="2" t="s">
        <v>33</v>
      </c>
      <c r="T2108" s="2" t="s">
        <v>133</v>
      </c>
    </row>
    <row r="2109" spans="1:20" x14ac:dyDescent="0.25">
      <c r="A2109" s="2" t="s">
        <v>3312</v>
      </c>
      <c r="B2109" s="3">
        <v>42704</v>
      </c>
      <c r="C2109" s="3">
        <v>42711</v>
      </c>
      <c r="D2109" s="2" t="s">
        <v>55</v>
      </c>
      <c r="E2109" s="2" t="s">
        <v>1551</v>
      </c>
      <c r="F2109" s="2" t="s">
        <v>1552</v>
      </c>
      <c r="G2109" s="2" t="s">
        <v>38</v>
      </c>
      <c r="H2109" s="2" t="s">
        <v>25</v>
      </c>
      <c r="I2109" s="2" t="s">
        <v>152</v>
      </c>
      <c r="J2109" s="2" t="s">
        <v>153</v>
      </c>
      <c r="K2109" s="2" t="s">
        <v>147</v>
      </c>
      <c r="L2109" s="2" t="s">
        <v>235</v>
      </c>
      <c r="M2109" s="2" t="s">
        <v>30</v>
      </c>
      <c r="N2109" s="2" t="s">
        <v>31</v>
      </c>
      <c r="O2109" s="2" t="s">
        <v>236</v>
      </c>
      <c r="P2109" s="4">
        <v>14.7415</v>
      </c>
      <c r="Q2109" s="4">
        <v>2</v>
      </c>
      <c r="R2109" s="4">
        <v>-0.437</v>
      </c>
      <c r="S2109" s="2" t="s">
        <v>107</v>
      </c>
      <c r="T2109" s="2" t="s">
        <v>93</v>
      </c>
    </row>
    <row r="2110" spans="1:20" x14ac:dyDescent="0.25">
      <c r="A2110" s="2" t="s">
        <v>3313</v>
      </c>
      <c r="B2110" s="3">
        <v>42932</v>
      </c>
      <c r="C2110" s="3">
        <v>42933</v>
      </c>
      <c r="D2110" s="2" t="s">
        <v>48</v>
      </c>
      <c r="E2110" s="2" t="s">
        <v>585</v>
      </c>
      <c r="F2110" s="2" t="s">
        <v>586</v>
      </c>
      <c r="G2110" s="2" t="s">
        <v>58</v>
      </c>
      <c r="H2110" s="2" t="s">
        <v>25</v>
      </c>
      <c r="I2110" s="2" t="s">
        <v>649</v>
      </c>
      <c r="J2110" s="2" t="s">
        <v>279</v>
      </c>
      <c r="K2110" s="2" t="s">
        <v>28</v>
      </c>
      <c r="L2110" s="2" t="s">
        <v>283</v>
      </c>
      <c r="M2110" s="2" t="s">
        <v>30</v>
      </c>
      <c r="N2110" s="2" t="s">
        <v>162</v>
      </c>
      <c r="O2110" s="2" t="s">
        <v>284</v>
      </c>
      <c r="P2110" s="4">
        <v>337.46069999999997</v>
      </c>
      <c r="Q2110" s="4">
        <v>7</v>
      </c>
      <c r="R2110" s="4">
        <v>75.877399999999994</v>
      </c>
      <c r="S2110" s="2" t="s">
        <v>33</v>
      </c>
      <c r="T2110" s="2" t="s">
        <v>86</v>
      </c>
    </row>
    <row r="2111" spans="1:20" x14ac:dyDescent="0.25">
      <c r="A2111" s="2" t="s">
        <v>3313</v>
      </c>
      <c r="B2111" s="3">
        <v>42932</v>
      </c>
      <c r="C2111" s="3">
        <v>42933</v>
      </c>
      <c r="D2111" s="2" t="s">
        <v>48</v>
      </c>
      <c r="E2111" s="2" t="s">
        <v>585</v>
      </c>
      <c r="F2111" s="2" t="s">
        <v>586</v>
      </c>
      <c r="G2111" s="2" t="s">
        <v>58</v>
      </c>
      <c r="H2111" s="2" t="s">
        <v>25</v>
      </c>
      <c r="I2111" s="2" t="s">
        <v>649</v>
      </c>
      <c r="J2111" s="2" t="s">
        <v>279</v>
      </c>
      <c r="K2111" s="2" t="s">
        <v>28</v>
      </c>
      <c r="L2111" s="2" t="s">
        <v>113</v>
      </c>
      <c r="M2111" s="2" t="s">
        <v>30</v>
      </c>
      <c r="N2111" s="2" t="s">
        <v>31</v>
      </c>
      <c r="O2111" s="2" t="s">
        <v>114</v>
      </c>
      <c r="P2111" s="4">
        <v>187.5864</v>
      </c>
      <c r="Q2111" s="4">
        <v>1</v>
      </c>
      <c r="R2111" s="4">
        <v>-7.9923000000000002</v>
      </c>
      <c r="S2111" s="2" t="s">
        <v>33</v>
      </c>
      <c r="T2111" s="2" t="s">
        <v>86</v>
      </c>
    </row>
    <row r="2112" spans="1:20" x14ac:dyDescent="0.25">
      <c r="A2112" s="2" t="s">
        <v>3314</v>
      </c>
      <c r="B2112" s="3">
        <v>42252</v>
      </c>
      <c r="C2112" s="3">
        <v>42254</v>
      </c>
      <c r="D2112" s="2" t="s">
        <v>55</v>
      </c>
      <c r="E2112" s="2" t="s">
        <v>1652</v>
      </c>
      <c r="F2112" s="2" t="s">
        <v>1653</v>
      </c>
      <c r="G2112" s="2" t="s">
        <v>24</v>
      </c>
      <c r="H2112" s="2" t="s">
        <v>25</v>
      </c>
      <c r="I2112" s="2" t="s">
        <v>119</v>
      </c>
      <c r="J2112" s="2" t="s">
        <v>120</v>
      </c>
      <c r="K2112" s="2" t="s">
        <v>61</v>
      </c>
      <c r="L2112" s="2" t="s">
        <v>453</v>
      </c>
      <c r="M2112" s="2" t="s">
        <v>30</v>
      </c>
      <c r="N2112" s="2" t="s">
        <v>42</v>
      </c>
      <c r="O2112" s="2" t="s">
        <v>454</v>
      </c>
      <c r="P2112" s="4">
        <v>344.65260000000001</v>
      </c>
      <c r="Q2112" s="4">
        <v>9</v>
      </c>
      <c r="R2112" s="4">
        <v>22.231400000000001</v>
      </c>
      <c r="S2112" s="2" t="s">
        <v>53</v>
      </c>
      <c r="T2112" s="2" t="s">
        <v>148</v>
      </c>
    </row>
    <row r="2113" spans="1:20" x14ac:dyDescent="0.25">
      <c r="A2113" s="2" t="s">
        <v>3315</v>
      </c>
      <c r="B2113" s="3">
        <v>41854</v>
      </c>
      <c r="C2113" s="3">
        <v>41860</v>
      </c>
      <c r="D2113" s="2" t="s">
        <v>55</v>
      </c>
      <c r="E2113" s="2" t="s">
        <v>2479</v>
      </c>
      <c r="F2113" s="2" t="s">
        <v>2480</v>
      </c>
      <c r="G2113" s="2" t="s">
        <v>38</v>
      </c>
      <c r="H2113" s="2" t="s">
        <v>25</v>
      </c>
      <c r="I2113" s="2" t="s">
        <v>250</v>
      </c>
      <c r="J2113" s="2" t="s">
        <v>251</v>
      </c>
      <c r="K2113" s="2" t="s">
        <v>147</v>
      </c>
      <c r="L2113" s="2" t="s">
        <v>73</v>
      </c>
      <c r="M2113" s="2" t="s">
        <v>30</v>
      </c>
      <c r="N2113" s="2" t="s">
        <v>42</v>
      </c>
      <c r="O2113" s="2" t="s">
        <v>74</v>
      </c>
      <c r="P2113" s="4">
        <v>392.75700000000001</v>
      </c>
      <c r="Q2113" s="4">
        <v>4</v>
      </c>
      <c r="R2113" s="4">
        <v>-69.526799999999994</v>
      </c>
      <c r="S2113" s="2" t="s">
        <v>65</v>
      </c>
      <c r="T2113" s="2" t="s">
        <v>34</v>
      </c>
    </row>
    <row r="2114" spans="1:20" x14ac:dyDescent="0.25">
      <c r="A2114" s="2" t="s">
        <v>3315</v>
      </c>
      <c r="B2114" s="3">
        <v>41854</v>
      </c>
      <c r="C2114" s="3">
        <v>41860</v>
      </c>
      <c r="D2114" s="2" t="s">
        <v>55</v>
      </c>
      <c r="E2114" s="2" t="s">
        <v>2479</v>
      </c>
      <c r="F2114" s="2" t="s">
        <v>2480</v>
      </c>
      <c r="G2114" s="2" t="s">
        <v>38</v>
      </c>
      <c r="H2114" s="2" t="s">
        <v>25</v>
      </c>
      <c r="I2114" s="2" t="s">
        <v>250</v>
      </c>
      <c r="J2114" s="2" t="s">
        <v>251</v>
      </c>
      <c r="K2114" s="2" t="s">
        <v>147</v>
      </c>
      <c r="L2114" s="2" t="s">
        <v>29</v>
      </c>
      <c r="M2114" s="2" t="s">
        <v>30</v>
      </c>
      <c r="N2114" s="2" t="s">
        <v>31</v>
      </c>
      <c r="O2114" s="2" t="s">
        <v>32</v>
      </c>
      <c r="P2114" s="4">
        <v>149.23249999999999</v>
      </c>
      <c r="Q2114" s="4">
        <v>5</v>
      </c>
      <c r="R2114" s="4">
        <v>26.853300000000001</v>
      </c>
      <c r="S2114" s="2" t="s">
        <v>65</v>
      </c>
      <c r="T2114" s="2" t="s">
        <v>34</v>
      </c>
    </row>
    <row r="2115" spans="1:20" x14ac:dyDescent="0.25">
      <c r="A2115" s="2" t="s">
        <v>3316</v>
      </c>
      <c r="B2115" s="3">
        <v>42646</v>
      </c>
      <c r="C2115" s="3">
        <v>42646</v>
      </c>
      <c r="D2115" s="2" t="s">
        <v>48</v>
      </c>
      <c r="E2115" s="2" t="s">
        <v>3061</v>
      </c>
      <c r="F2115" s="2" t="s">
        <v>3062</v>
      </c>
      <c r="G2115" s="2" t="s">
        <v>24</v>
      </c>
      <c r="H2115" s="2" t="s">
        <v>25</v>
      </c>
      <c r="I2115" s="2" t="s">
        <v>533</v>
      </c>
      <c r="J2115" s="2" t="s">
        <v>72</v>
      </c>
      <c r="K2115" s="2" t="s">
        <v>61</v>
      </c>
      <c r="L2115" s="2" t="s">
        <v>218</v>
      </c>
      <c r="M2115" s="2" t="s">
        <v>30</v>
      </c>
      <c r="N2115" s="2" t="s">
        <v>31</v>
      </c>
      <c r="O2115" s="2" t="s">
        <v>219</v>
      </c>
      <c r="P2115" s="4">
        <v>9.1031999999999993</v>
      </c>
      <c r="Q2115" s="4">
        <v>2</v>
      </c>
      <c r="R2115" s="4">
        <v>-1.1529</v>
      </c>
      <c r="S2115" s="2" t="s">
        <v>121</v>
      </c>
      <c r="T2115" s="2" t="s">
        <v>224</v>
      </c>
    </row>
    <row r="2116" spans="1:20" x14ac:dyDescent="0.25">
      <c r="A2116" s="2" t="s">
        <v>3317</v>
      </c>
      <c r="B2116" s="3">
        <v>42813</v>
      </c>
      <c r="C2116" s="3">
        <v>42819</v>
      </c>
      <c r="D2116" s="2" t="s">
        <v>55</v>
      </c>
      <c r="E2116" s="2" t="s">
        <v>2130</v>
      </c>
      <c r="F2116" s="2" t="s">
        <v>2131</v>
      </c>
      <c r="G2116" s="2" t="s">
        <v>58</v>
      </c>
      <c r="H2116" s="2" t="s">
        <v>25</v>
      </c>
      <c r="I2116" s="2" t="s">
        <v>350</v>
      </c>
      <c r="J2116" s="2" t="s">
        <v>351</v>
      </c>
      <c r="K2116" s="2" t="s">
        <v>147</v>
      </c>
      <c r="L2116" s="2" t="s">
        <v>207</v>
      </c>
      <c r="M2116" s="2" t="s">
        <v>30</v>
      </c>
      <c r="N2116" s="2" t="s">
        <v>31</v>
      </c>
      <c r="O2116" s="2" t="s">
        <v>208</v>
      </c>
      <c r="P2116" s="4">
        <v>32.6462</v>
      </c>
      <c r="Q2116" s="4">
        <v>2</v>
      </c>
      <c r="R2116" s="4">
        <v>6.8399000000000001</v>
      </c>
      <c r="S2116" s="2" t="s">
        <v>65</v>
      </c>
      <c r="T2116" s="2" t="s">
        <v>44</v>
      </c>
    </row>
    <row r="2117" spans="1:20" x14ac:dyDescent="0.25">
      <c r="A2117" s="2" t="s">
        <v>3317</v>
      </c>
      <c r="B2117" s="3">
        <v>42813</v>
      </c>
      <c r="C2117" s="3">
        <v>42819</v>
      </c>
      <c r="D2117" s="2" t="s">
        <v>55</v>
      </c>
      <c r="E2117" s="2" t="s">
        <v>2130</v>
      </c>
      <c r="F2117" s="2" t="s">
        <v>2131</v>
      </c>
      <c r="G2117" s="2" t="s">
        <v>58</v>
      </c>
      <c r="H2117" s="2" t="s">
        <v>25</v>
      </c>
      <c r="I2117" s="2" t="s">
        <v>350</v>
      </c>
      <c r="J2117" s="2" t="s">
        <v>351</v>
      </c>
      <c r="K2117" s="2" t="s">
        <v>147</v>
      </c>
      <c r="L2117" s="2" t="s">
        <v>186</v>
      </c>
      <c r="M2117" s="2" t="s">
        <v>30</v>
      </c>
      <c r="N2117" s="2" t="s">
        <v>31</v>
      </c>
      <c r="O2117" s="2" t="s">
        <v>187</v>
      </c>
      <c r="P2117" s="4">
        <v>55.7517</v>
      </c>
      <c r="Q2117" s="4">
        <v>2</v>
      </c>
      <c r="R2117" s="4">
        <v>2.1495000000000002</v>
      </c>
      <c r="S2117" s="2" t="s">
        <v>65</v>
      </c>
      <c r="T2117" s="2" t="s">
        <v>44</v>
      </c>
    </row>
    <row r="2118" spans="1:20" x14ac:dyDescent="0.25">
      <c r="A2118" s="2" t="s">
        <v>3318</v>
      </c>
      <c r="B2118" s="3">
        <v>41823</v>
      </c>
      <c r="C2118" s="3">
        <v>41823</v>
      </c>
      <c r="D2118" s="2" t="s">
        <v>142</v>
      </c>
      <c r="E2118" s="2" t="s">
        <v>1581</v>
      </c>
      <c r="F2118" s="2" t="s">
        <v>1582</v>
      </c>
      <c r="G2118" s="2" t="s">
        <v>38</v>
      </c>
      <c r="H2118" s="2" t="s">
        <v>25</v>
      </c>
      <c r="I2118" s="2" t="s">
        <v>779</v>
      </c>
      <c r="J2118" s="2" t="s">
        <v>356</v>
      </c>
      <c r="K2118" s="2" t="s">
        <v>147</v>
      </c>
      <c r="L2118" s="2" t="s">
        <v>186</v>
      </c>
      <c r="M2118" s="2" t="s">
        <v>30</v>
      </c>
      <c r="N2118" s="2" t="s">
        <v>31</v>
      </c>
      <c r="O2118" s="2" t="s">
        <v>187</v>
      </c>
      <c r="P2118" s="4">
        <v>58.533700000000003</v>
      </c>
      <c r="Q2118" s="4">
        <v>3</v>
      </c>
      <c r="R2118" s="4">
        <v>15.949299999999999</v>
      </c>
      <c r="S2118" s="2" t="s">
        <v>121</v>
      </c>
      <c r="T2118" s="2" t="s">
        <v>86</v>
      </c>
    </row>
    <row r="2119" spans="1:20" x14ac:dyDescent="0.25">
      <c r="A2119" s="2" t="s">
        <v>3319</v>
      </c>
      <c r="B2119" s="3">
        <v>42039</v>
      </c>
      <c r="C2119" s="3">
        <v>42040</v>
      </c>
      <c r="D2119" s="2" t="s">
        <v>55</v>
      </c>
      <c r="E2119" s="2" t="s">
        <v>765</v>
      </c>
      <c r="F2119" s="2" t="s">
        <v>766</v>
      </c>
      <c r="G2119" s="2" t="s">
        <v>58</v>
      </c>
      <c r="H2119" s="2" t="s">
        <v>25</v>
      </c>
      <c r="I2119" s="2" t="s">
        <v>527</v>
      </c>
      <c r="J2119" s="2" t="s">
        <v>496</v>
      </c>
      <c r="K2119" s="2" t="s">
        <v>147</v>
      </c>
      <c r="L2119" s="2" t="s">
        <v>113</v>
      </c>
      <c r="M2119" s="2" t="s">
        <v>30</v>
      </c>
      <c r="N2119" s="2" t="s">
        <v>31</v>
      </c>
      <c r="O2119" s="2" t="s">
        <v>114</v>
      </c>
      <c r="P2119" s="4">
        <v>6.2548000000000004</v>
      </c>
      <c r="Q2119" s="4">
        <v>4</v>
      </c>
      <c r="R2119" s="4">
        <v>-0.2717</v>
      </c>
      <c r="S2119" s="2" t="s">
        <v>33</v>
      </c>
      <c r="T2119" s="2" t="s">
        <v>101</v>
      </c>
    </row>
    <row r="2120" spans="1:20" x14ac:dyDescent="0.25">
      <c r="A2120" s="2" t="s">
        <v>3320</v>
      </c>
      <c r="B2120" s="3">
        <v>41897</v>
      </c>
      <c r="C2120" s="3">
        <v>41903</v>
      </c>
      <c r="D2120" s="2" t="s">
        <v>55</v>
      </c>
      <c r="E2120" s="2" t="s">
        <v>2094</v>
      </c>
      <c r="F2120" s="2" t="s">
        <v>2095</v>
      </c>
      <c r="G2120" s="2" t="s">
        <v>58</v>
      </c>
      <c r="H2120" s="2" t="s">
        <v>25</v>
      </c>
      <c r="I2120" s="2" t="s">
        <v>1366</v>
      </c>
      <c r="J2120" s="2" t="s">
        <v>244</v>
      </c>
      <c r="K2120" s="2" t="s">
        <v>61</v>
      </c>
      <c r="L2120" s="2" t="s">
        <v>513</v>
      </c>
      <c r="M2120" s="2" t="s">
        <v>30</v>
      </c>
      <c r="N2120" s="2" t="s">
        <v>63</v>
      </c>
      <c r="O2120" s="2" t="s">
        <v>514</v>
      </c>
      <c r="P2120" s="4">
        <v>322.72109999999998</v>
      </c>
      <c r="Q2120" s="4">
        <v>3</v>
      </c>
      <c r="R2120" s="4">
        <v>-71.379499999999993</v>
      </c>
      <c r="S2120" s="2" t="s">
        <v>65</v>
      </c>
      <c r="T2120" s="2" t="s">
        <v>148</v>
      </c>
    </row>
    <row r="2121" spans="1:20" x14ac:dyDescent="0.25">
      <c r="A2121" s="2" t="s">
        <v>3321</v>
      </c>
      <c r="B2121" s="3">
        <v>42311</v>
      </c>
      <c r="C2121" s="3">
        <v>42313</v>
      </c>
      <c r="D2121" s="2" t="s">
        <v>55</v>
      </c>
      <c r="E2121" s="2" t="s">
        <v>1999</v>
      </c>
      <c r="F2121" s="2" t="s">
        <v>2000</v>
      </c>
      <c r="G2121" s="2" t="s">
        <v>38</v>
      </c>
      <c r="H2121" s="2" t="s">
        <v>25</v>
      </c>
      <c r="I2121" s="2" t="s">
        <v>259</v>
      </c>
      <c r="J2121" s="2" t="s">
        <v>260</v>
      </c>
      <c r="K2121" s="2" t="s">
        <v>147</v>
      </c>
      <c r="L2121" s="2" t="s">
        <v>207</v>
      </c>
      <c r="M2121" s="2" t="s">
        <v>30</v>
      </c>
      <c r="N2121" s="2" t="s">
        <v>31</v>
      </c>
      <c r="O2121" s="2" t="s">
        <v>208</v>
      </c>
      <c r="P2121" s="4">
        <v>97.388499999999993</v>
      </c>
      <c r="Q2121" s="4">
        <v>3</v>
      </c>
      <c r="R2121" s="4">
        <v>-36.363599999999998</v>
      </c>
      <c r="S2121" s="2" t="s">
        <v>53</v>
      </c>
      <c r="T2121" s="2" t="s">
        <v>93</v>
      </c>
    </row>
    <row r="2122" spans="1:20" x14ac:dyDescent="0.25">
      <c r="A2122" s="2" t="s">
        <v>3322</v>
      </c>
      <c r="B2122" s="3">
        <v>42460</v>
      </c>
      <c r="C2122" s="3">
        <v>42461</v>
      </c>
      <c r="D2122" s="2" t="s">
        <v>21</v>
      </c>
      <c r="E2122" s="2" t="s">
        <v>972</v>
      </c>
      <c r="F2122" s="2" t="s">
        <v>973</v>
      </c>
      <c r="G2122" s="2" t="s">
        <v>24</v>
      </c>
      <c r="H2122" s="2" t="s">
        <v>25</v>
      </c>
      <c r="I2122" s="2" t="s">
        <v>216</v>
      </c>
      <c r="J2122" s="2" t="s">
        <v>217</v>
      </c>
      <c r="K2122" s="2" t="s">
        <v>82</v>
      </c>
      <c r="L2122" s="2" t="s">
        <v>793</v>
      </c>
      <c r="M2122" s="2" t="s">
        <v>30</v>
      </c>
      <c r="N2122" s="2" t="s">
        <v>63</v>
      </c>
      <c r="O2122" s="2" t="s">
        <v>794</v>
      </c>
      <c r="P2122" s="4">
        <v>287.78890000000001</v>
      </c>
      <c r="Q2122" s="4">
        <v>6</v>
      </c>
      <c r="R2122" s="4">
        <v>123.9144</v>
      </c>
      <c r="S2122" s="2" t="s">
        <v>33</v>
      </c>
      <c r="T2122" s="2" t="s">
        <v>44</v>
      </c>
    </row>
  </sheetData>
  <autoFilter ref="A1:T2122" xr:uid="{00000000-0001-0000-0000-000000000000}"/>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B8B03-2158-408B-94A3-EA7ABCEC4EF8}">
  <sheetPr codeName="Sheet2"/>
  <dimension ref="A1:S83"/>
  <sheetViews>
    <sheetView zoomScale="85" zoomScaleNormal="85" workbookViewId="0">
      <selection activeCell="A5" sqref="A5"/>
    </sheetView>
  </sheetViews>
  <sheetFormatPr defaultRowHeight="15" x14ac:dyDescent="0.25"/>
  <cols>
    <col min="1" max="1" width="19.5703125" bestFit="1" customWidth="1"/>
    <col min="2" max="2" width="12.140625" bestFit="1" customWidth="1"/>
    <col min="3" max="3" width="15.42578125" bestFit="1" customWidth="1"/>
    <col min="4" max="4" width="12.5703125" bestFit="1" customWidth="1"/>
    <col min="5" max="5" width="12.5703125" customWidth="1"/>
    <col min="6" max="6" width="13.28515625" bestFit="1" customWidth="1"/>
    <col min="7" max="7" width="12.140625" bestFit="1" customWidth="1"/>
    <col min="8" max="8" width="15.42578125" bestFit="1" customWidth="1"/>
    <col min="9" max="9" width="8.85546875" bestFit="1" customWidth="1"/>
    <col min="10" max="10" width="8.140625" bestFit="1" customWidth="1"/>
    <col min="11" max="11" width="12.5703125" customWidth="1"/>
    <col min="12" max="12" width="13.28515625" bestFit="1" customWidth="1"/>
    <col min="13" max="13" width="19" bestFit="1" customWidth="1"/>
    <col min="14" max="14" width="19" customWidth="1"/>
    <col min="15" max="15" width="11" bestFit="1" customWidth="1"/>
    <col min="16" max="16" width="14.28515625" bestFit="1" customWidth="1"/>
    <col min="17" max="18" width="16.5703125" bestFit="1" customWidth="1"/>
    <col min="19" max="19" width="16.85546875" bestFit="1" customWidth="1"/>
    <col min="20" max="20" width="12.140625" bestFit="1" customWidth="1"/>
    <col min="21" max="21" width="15.42578125" bestFit="1" customWidth="1"/>
    <col min="22" max="22" width="12.5703125" bestFit="1" customWidth="1"/>
  </cols>
  <sheetData>
    <row r="1" spans="1:19" x14ac:dyDescent="0.25">
      <c r="L1" s="8" t="s">
        <v>3327</v>
      </c>
      <c r="M1" s="10" t="s">
        <v>3333</v>
      </c>
      <c r="N1" s="10"/>
    </row>
    <row r="2" spans="1:19" x14ac:dyDescent="0.25">
      <c r="L2" s="9" t="s">
        <v>3329</v>
      </c>
      <c r="M2">
        <f>COUNTA(L2:L5)</f>
        <v>4</v>
      </c>
    </row>
    <row r="3" spans="1:19" x14ac:dyDescent="0.25">
      <c r="A3" t="s">
        <v>3323</v>
      </c>
      <c r="B3" t="s">
        <v>3324</v>
      </c>
      <c r="C3" t="s">
        <v>3325</v>
      </c>
      <c r="L3" s="9" t="s">
        <v>3330</v>
      </c>
    </row>
    <row r="4" spans="1:19" x14ac:dyDescent="0.25">
      <c r="A4" s="5">
        <v>742064.12719999976</v>
      </c>
      <c r="B4" s="5">
        <v>7419</v>
      </c>
      <c r="C4" s="5">
        <v>22100.651099999966</v>
      </c>
      <c r="L4" s="9" t="s">
        <v>3331</v>
      </c>
      <c r="Q4" s="20"/>
      <c r="R4" s="21"/>
      <c r="S4" s="22"/>
    </row>
    <row r="5" spans="1:19" x14ac:dyDescent="0.25">
      <c r="A5" s="23">
        <f>GETPIVOTDATA("Sum of Sales",$A$3)</f>
        <v>742064.12719999976</v>
      </c>
      <c r="B5">
        <f>GETPIVOTDATA("Sum of Quantity",$A$3)</f>
        <v>7419</v>
      </c>
      <c r="C5" s="23">
        <f>GETPIVOTDATA("Sum of Profit",$A$3)</f>
        <v>22100.651099999966</v>
      </c>
      <c r="F5" t="s">
        <v>3345</v>
      </c>
      <c r="L5" s="9" t="s">
        <v>3332</v>
      </c>
      <c r="Q5" s="24"/>
      <c r="R5" s="25"/>
      <c r="S5" s="26"/>
    </row>
    <row r="6" spans="1:19" x14ac:dyDescent="0.25">
      <c r="F6" t="str">
        <f>"Top Selling City: " &amp; INDEX(F8:F12, MATCH(MAX(G8:G12),G8:G12,0))&amp; " (" &amp; TEXT(MAX(G8:G12),"#,##0" &amp; ")")</f>
        <v>Top Selling City: Washington (19,878)</v>
      </c>
      <c r="Q6" s="24"/>
      <c r="R6" s="25"/>
      <c r="S6" s="26"/>
    </row>
    <row r="7" spans="1:19" x14ac:dyDescent="0.25">
      <c r="A7" s="17" t="s">
        <v>3327</v>
      </c>
      <c r="B7" t="s">
        <v>3323</v>
      </c>
      <c r="C7" t="s">
        <v>3324</v>
      </c>
      <c r="D7" t="s">
        <v>3325</v>
      </c>
      <c r="F7" s="8" t="s">
        <v>3327</v>
      </c>
      <c r="G7" t="s">
        <v>3323</v>
      </c>
      <c r="J7" s="6" cm="1">
        <f t="array" ref="J7">MAX(I8:I12*1.2)</f>
        <v>23854.170840000006</v>
      </c>
      <c r="L7" s="11" t="s">
        <v>3334</v>
      </c>
      <c r="M7" s="11" t="s">
        <v>3335</v>
      </c>
      <c r="N7" s="11" t="s">
        <v>17</v>
      </c>
      <c r="O7" s="11" t="s">
        <v>3336</v>
      </c>
      <c r="P7" s="19"/>
      <c r="Q7" s="24"/>
      <c r="R7" s="25"/>
      <c r="S7" s="26"/>
    </row>
    <row r="8" spans="1:19" x14ac:dyDescent="0.25">
      <c r="A8" s="18" t="s">
        <v>3329</v>
      </c>
      <c r="B8" s="5">
        <v>185377.28289999993</v>
      </c>
      <c r="C8" s="5">
        <v>1870</v>
      </c>
      <c r="D8" s="5">
        <v>2298.5556000000006</v>
      </c>
      <c r="E8" s="5"/>
      <c r="F8" s="9" t="s">
        <v>394</v>
      </c>
      <c r="G8" s="6">
        <v>14620.6808</v>
      </c>
      <c r="H8" t="str">
        <f t="shared" ref="H8:I12" si="0">F8</f>
        <v>Billings</v>
      </c>
      <c r="I8" s="6">
        <f t="shared" si="0"/>
        <v>14620.6808</v>
      </c>
      <c r="J8" s="6">
        <f>$J$7-I8</f>
        <v>9233.490040000006</v>
      </c>
      <c r="K8" s="5"/>
      <c r="L8" s="12" t="s">
        <v>3337</v>
      </c>
      <c r="M8" s="15">
        <f>IF(M2=1,L2,0)</f>
        <v>0</v>
      </c>
      <c r="N8" s="12">
        <f>IFERROR(VLOOKUP(TEXT(M8,"0"),Lookup,4,0),0)</f>
        <v>0</v>
      </c>
      <c r="O8" s="13">
        <f>IFERROR(N8/SUM($N$8:$N$9),0)</f>
        <v>0</v>
      </c>
      <c r="Q8" s="24"/>
      <c r="R8" s="25"/>
      <c r="S8" s="26"/>
    </row>
    <row r="9" spans="1:19" x14ac:dyDescent="0.25">
      <c r="A9" s="18" t="s">
        <v>3330</v>
      </c>
      <c r="B9" s="5">
        <v>175382.46630000006</v>
      </c>
      <c r="C9" s="5">
        <v>1853</v>
      </c>
      <c r="D9" s="5">
        <v>10202.856599999988</v>
      </c>
      <c r="E9" s="5"/>
      <c r="F9" s="9" t="s">
        <v>216</v>
      </c>
      <c r="G9" s="6">
        <v>14282.862100000004</v>
      </c>
      <c r="H9" t="str">
        <f t="shared" si="0"/>
        <v>Meridian</v>
      </c>
      <c r="I9" s="6">
        <f t="shared" si="0"/>
        <v>14282.862100000004</v>
      </c>
      <c r="J9" s="6">
        <f>$J$7-I9</f>
        <v>9571.3087400000022</v>
      </c>
      <c r="K9" s="5"/>
      <c r="L9" s="12" t="s">
        <v>3338</v>
      </c>
      <c r="M9" s="12">
        <f>L2-1</f>
        <v>2013</v>
      </c>
      <c r="N9" s="12">
        <f>IFERROR(VLOOKUP(TEXT(M9,"0"),Lookup,4,0),0)</f>
        <v>0</v>
      </c>
      <c r="O9" s="13">
        <f>IFERROR(N9/SUM($N$8:$N$9),0)</f>
        <v>0</v>
      </c>
      <c r="P9" s="7"/>
      <c r="Q9" s="24"/>
      <c r="R9" s="25"/>
      <c r="S9" s="26"/>
    </row>
    <row r="10" spans="1:19" x14ac:dyDescent="0.25">
      <c r="A10" s="18" t="s">
        <v>3331</v>
      </c>
      <c r="B10" s="5">
        <v>203351.25140000015</v>
      </c>
      <c r="C10" s="5">
        <v>1946</v>
      </c>
      <c r="D10" s="5">
        <v>8497.3055000000022</v>
      </c>
      <c r="E10" s="5"/>
      <c r="F10" s="9" t="s">
        <v>474</v>
      </c>
      <c r="G10" s="6">
        <v>16935.590199999999</v>
      </c>
      <c r="H10" t="str">
        <f t="shared" si="0"/>
        <v>Providence</v>
      </c>
      <c r="I10" s="6">
        <f t="shared" si="0"/>
        <v>16935.590199999999</v>
      </c>
      <c r="J10" s="6">
        <f>$J$7-I10</f>
        <v>6918.5806400000074</v>
      </c>
      <c r="K10" s="5"/>
      <c r="Q10" s="24"/>
      <c r="R10" s="25"/>
      <c r="S10" s="26"/>
    </row>
    <row r="11" spans="1:19" x14ac:dyDescent="0.25">
      <c r="A11" s="18" t="s">
        <v>3332</v>
      </c>
      <c r="B11" s="5">
        <v>177953.12659999999</v>
      </c>
      <c r="C11" s="5">
        <v>1750</v>
      </c>
      <c r="D11" s="5">
        <v>1101.933399999999</v>
      </c>
      <c r="E11" s="5"/>
      <c r="F11" s="9" t="s">
        <v>861</v>
      </c>
      <c r="G11" s="6">
        <v>14694.423399999998</v>
      </c>
      <c r="H11" t="str">
        <f t="shared" si="0"/>
        <v>Tulsa</v>
      </c>
      <c r="I11" s="6">
        <f t="shared" si="0"/>
        <v>14694.423399999998</v>
      </c>
      <c r="J11" s="6">
        <f>$J$7-I11</f>
        <v>9159.7474400000083</v>
      </c>
      <c r="K11" s="5"/>
      <c r="L11" s="11" t="s">
        <v>3339</v>
      </c>
      <c r="M11" s="11"/>
      <c r="N11" s="11"/>
      <c r="O11" s="14">
        <f>O8-O9</f>
        <v>0</v>
      </c>
      <c r="P11" t="str">
        <f>IF(O11&gt;0,"▲","▼")&amp;TEXT(ABS(O11),"0%")&amp;" YoY"</f>
        <v>▼0% YoY</v>
      </c>
      <c r="Q11" s="24"/>
      <c r="R11" s="25"/>
      <c r="S11" s="26"/>
    </row>
    <row r="12" spans="1:19" x14ac:dyDescent="0.25">
      <c r="E12" s="5"/>
      <c r="F12" s="9" t="s">
        <v>138</v>
      </c>
      <c r="G12" s="6">
        <v>19878.475700000006</v>
      </c>
      <c r="H12" t="str">
        <f t="shared" si="0"/>
        <v>Washington</v>
      </c>
      <c r="I12" s="6">
        <f t="shared" si="0"/>
        <v>19878.475700000006</v>
      </c>
      <c r="J12" s="6">
        <f>$J$7-I12</f>
        <v>3975.6951399999998</v>
      </c>
      <c r="K12" s="5"/>
      <c r="Q12" s="24"/>
      <c r="R12" s="25"/>
      <c r="S12" s="26"/>
    </row>
    <row r="13" spans="1:19" x14ac:dyDescent="0.25">
      <c r="F13" s="9" t="s">
        <v>3328</v>
      </c>
      <c r="G13" s="6">
        <v>80412.032200000016</v>
      </c>
      <c r="J13" s="5"/>
      <c r="L13" s="11" t="s">
        <v>3340</v>
      </c>
      <c r="M13" s="11" t="s">
        <v>3335</v>
      </c>
      <c r="N13" s="11" t="s">
        <v>15</v>
      </c>
      <c r="O13" s="11" t="s">
        <v>3336</v>
      </c>
      <c r="Q13" s="24"/>
      <c r="R13" s="25"/>
      <c r="S13" s="26"/>
    </row>
    <row r="14" spans="1:19" x14ac:dyDescent="0.25">
      <c r="L14" s="12" t="s">
        <v>3337</v>
      </c>
      <c r="M14" s="15">
        <f>IF(M2=1,L2,0)</f>
        <v>0</v>
      </c>
      <c r="N14" s="12">
        <f>IFERROR(VLOOKUP(TEXT(M14,"0"),Lookup,2,0),0)</f>
        <v>0</v>
      </c>
      <c r="O14" s="13">
        <f>IFERROR(N14/SUM(N14:N15),0)</f>
        <v>0</v>
      </c>
      <c r="Q14" s="24"/>
      <c r="R14" s="25"/>
      <c r="S14" s="26"/>
    </row>
    <row r="15" spans="1:19" x14ac:dyDescent="0.25">
      <c r="A15" s="9" t="s">
        <v>3342</v>
      </c>
      <c r="F15" s="9" t="s">
        <v>3346</v>
      </c>
      <c r="L15" s="12" t="s">
        <v>3338</v>
      </c>
      <c r="M15" s="12">
        <f>L2-1</f>
        <v>2013</v>
      </c>
      <c r="N15" s="12">
        <f>IFERROR(VLOOKUP(TEXT(M15,"0"),Lookup,2,0),0)</f>
        <v>0</v>
      </c>
      <c r="O15" s="13">
        <f>IFERROR(N15/SUM(N14:N15),0)</f>
        <v>0</v>
      </c>
      <c r="Q15" s="24"/>
      <c r="R15" s="25"/>
      <c r="S15" s="26"/>
    </row>
    <row r="16" spans="1:19" x14ac:dyDescent="0.25">
      <c r="A16" s="9" t="str">
        <f>"Peak Sales Month: " &amp; INDEX(A18:A29,MATCH(MAX(B18:B29),B18:B29,0)) &amp; " with " &amp; TEXT(MAX(B18:B29),"$#,##0") &amp;" in Sales"</f>
        <v>Peak Sales Month: Oct with $75,497 in Sales</v>
      </c>
      <c r="F16" t="str">
        <f>"Most orders "&amp;TEXT(MAX(G18:G25),"0%") &amp; " were delivered in "&amp;INDEX(F18:F25,MATCH(MAX(G18:G25),G18:G25,0))</f>
        <v>Most orders 21% were delivered in 0- days</v>
      </c>
      <c r="Q16" s="24"/>
      <c r="R16" s="25"/>
      <c r="S16" s="26"/>
    </row>
    <row r="17" spans="1:19" x14ac:dyDescent="0.25">
      <c r="A17" s="8" t="s">
        <v>3327</v>
      </c>
      <c r="B17" t="s">
        <v>3323</v>
      </c>
      <c r="F17" s="8" t="s">
        <v>3327</v>
      </c>
      <c r="G17" t="s">
        <v>3347</v>
      </c>
      <c r="I17" t="s">
        <v>12</v>
      </c>
      <c r="J17" t="s">
        <v>3350</v>
      </c>
      <c r="L17" s="11" t="s">
        <v>3339</v>
      </c>
      <c r="M17" s="11"/>
      <c r="N17" s="11"/>
      <c r="O17" s="14">
        <f>O14-O15</f>
        <v>0</v>
      </c>
      <c r="P17" t="str">
        <f>IF(O17&gt;0,"▲","▼")&amp;TEXT(ABS(O17),"0%")&amp;" YoY"</f>
        <v>▼0% YoY</v>
      </c>
      <c r="Q17" s="24"/>
      <c r="R17" s="25"/>
      <c r="S17" s="26"/>
    </row>
    <row r="18" spans="1:19" x14ac:dyDescent="0.25">
      <c r="A18" s="9" t="s">
        <v>115</v>
      </c>
      <c r="B18" s="6">
        <v>51260.194500000005</v>
      </c>
      <c r="F18" s="9" t="s">
        <v>121</v>
      </c>
      <c r="G18" s="16">
        <v>0.21404997642621404</v>
      </c>
      <c r="I18" t="str">
        <f t="shared" ref="I18:J25" si="1">F18</f>
        <v>0- days</v>
      </c>
      <c r="J18" s="16">
        <f t="shared" si="1"/>
        <v>0.21404997642621404</v>
      </c>
      <c r="Q18" s="24"/>
      <c r="R18" s="25"/>
      <c r="S18" s="26"/>
    </row>
    <row r="19" spans="1:19" x14ac:dyDescent="0.25">
      <c r="A19" s="9" t="s">
        <v>101</v>
      </c>
      <c r="B19" s="6">
        <v>68609.704699999987</v>
      </c>
      <c r="F19" s="9" t="s">
        <v>33</v>
      </c>
      <c r="G19" s="16">
        <v>0.15794436586515795</v>
      </c>
      <c r="I19" t="str">
        <f t="shared" si="1"/>
        <v>1- days</v>
      </c>
      <c r="J19" s="16">
        <f t="shared" si="1"/>
        <v>0.15794436586515795</v>
      </c>
      <c r="L19" s="11" t="s">
        <v>3341</v>
      </c>
      <c r="M19" s="11" t="s">
        <v>3335</v>
      </c>
      <c r="N19" s="11" t="s">
        <v>16</v>
      </c>
      <c r="O19" s="11" t="s">
        <v>3336</v>
      </c>
      <c r="Q19" s="24"/>
      <c r="R19" s="25"/>
      <c r="S19" s="26"/>
    </row>
    <row r="20" spans="1:19" x14ac:dyDescent="0.25">
      <c r="A20" s="9" t="s">
        <v>44</v>
      </c>
      <c r="B20" s="6">
        <v>55957.389900000016</v>
      </c>
      <c r="F20" s="9" t="s">
        <v>53</v>
      </c>
      <c r="G20" s="16">
        <v>0.17114568599717114</v>
      </c>
      <c r="I20" t="str">
        <f t="shared" si="1"/>
        <v>2- days</v>
      </c>
      <c r="J20" s="16">
        <f t="shared" si="1"/>
        <v>0.17114568599717114</v>
      </c>
      <c r="L20" s="12" t="s">
        <v>3337</v>
      </c>
      <c r="M20" s="15">
        <f>IF(M2=1,L2,0)</f>
        <v>0</v>
      </c>
      <c r="N20" s="12">
        <f>IFERROR(VLOOKUP(TEXT(M20,"0"),Lookup,3,0),0)</f>
        <v>0</v>
      </c>
      <c r="O20" s="13">
        <f>IFERROR(N20/SUM(N20:N21),0)</f>
        <v>0</v>
      </c>
      <c r="Q20" s="24"/>
      <c r="R20" s="25"/>
      <c r="S20" s="26"/>
    </row>
    <row r="21" spans="1:19" x14ac:dyDescent="0.25">
      <c r="A21" s="9" t="s">
        <v>108</v>
      </c>
      <c r="B21" s="6">
        <v>70015.573299999975</v>
      </c>
      <c r="F21" s="9" t="s">
        <v>92</v>
      </c>
      <c r="G21" s="16">
        <v>0.11315417256011315</v>
      </c>
      <c r="I21" t="str">
        <f t="shared" si="1"/>
        <v>3- days</v>
      </c>
      <c r="J21" s="16">
        <f t="shared" si="1"/>
        <v>0.11315417256011315</v>
      </c>
      <c r="L21" s="12" t="s">
        <v>3338</v>
      </c>
      <c r="M21" s="12">
        <f>L2-1</f>
        <v>2013</v>
      </c>
      <c r="N21" s="12">
        <f>IFERROR(VLOOKUP(TEXT(M21,"0"),Lookup,3,0),0)</f>
        <v>0</v>
      </c>
      <c r="O21" s="13">
        <f>IFERROR(N21/SUM(N20:N21),0)</f>
        <v>0</v>
      </c>
      <c r="Q21" s="27"/>
      <c r="R21" s="28"/>
      <c r="S21" s="29"/>
    </row>
    <row r="22" spans="1:19" x14ac:dyDescent="0.25">
      <c r="A22" s="9" t="s">
        <v>122</v>
      </c>
      <c r="B22" s="6">
        <v>65823.646000000022</v>
      </c>
      <c r="F22" s="9" t="s">
        <v>75</v>
      </c>
      <c r="G22" s="16">
        <v>0.11504007543611504</v>
      </c>
      <c r="I22" t="str">
        <f t="shared" si="1"/>
        <v>4- days</v>
      </c>
      <c r="J22" s="16">
        <f t="shared" si="1"/>
        <v>0.11504007543611504</v>
      </c>
    </row>
    <row r="23" spans="1:19" x14ac:dyDescent="0.25">
      <c r="A23" s="9" t="s">
        <v>133</v>
      </c>
      <c r="B23" s="6">
        <v>69109.172299999977</v>
      </c>
      <c r="F23" s="9" t="s">
        <v>85</v>
      </c>
      <c r="G23" s="16">
        <v>8.0622347949080617E-2</v>
      </c>
      <c r="I23" t="str">
        <f t="shared" si="1"/>
        <v>5- days</v>
      </c>
      <c r="J23" s="16">
        <f t="shared" si="1"/>
        <v>8.0622347949080617E-2</v>
      </c>
      <c r="L23" s="11" t="s">
        <v>3339</v>
      </c>
      <c r="M23" s="11"/>
      <c r="N23" s="11"/>
      <c r="O23" s="14">
        <f>O20-O21</f>
        <v>0</v>
      </c>
      <c r="P23" t="str">
        <f>IF(O23&gt;0,"▲","▼")&amp;TEXT(ABS(O23),"0%")&amp;" YoY"</f>
        <v>▼0% YoY</v>
      </c>
    </row>
    <row r="24" spans="1:19" x14ac:dyDescent="0.25">
      <c r="A24" s="9" t="s">
        <v>86</v>
      </c>
      <c r="B24" s="6">
        <v>55360.315700000043</v>
      </c>
      <c r="F24" s="9" t="s">
        <v>65</v>
      </c>
      <c r="G24" s="16">
        <v>7.6850542197076849E-2</v>
      </c>
      <c r="I24" t="str">
        <f t="shared" si="1"/>
        <v>6- days</v>
      </c>
      <c r="J24" s="16">
        <f t="shared" si="1"/>
        <v>7.6850542197076849E-2</v>
      </c>
    </row>
    <row r="25" spans="1:19" x14ac:dyDescent="0.25">
      <c r="A25" s="9" t="s">
        <v>34</v>
      </c>
      <c r="B25" s="6">
        <v>51453.507300000012</v>
      </c>
      <c r="F25" s="9" t="s">
        <v>107</v>
      </c>
      <c r="G25" s="16">
        <v>7.119283356907119E-2</v>
      </c>
      <c r="I25" t="str">
        <f t="shared" si="1"/>
        <v>7- days</v>
      </c>
      <c r="J25" s="16">
        <f t="shared" si="1"/>
        <v>7.119283356907119E-2</v>
      </c>
    </row>
    <row r="26" spans="1:19" x14ac:dyDescent="0.25">
      <c r="A26" s="9" t="s">
        <v>148</v>
      </c>
      <c r="B26" s="6">
        <v>56100.978300000024</v>
      </c>
      <c r="F26" s="9" t="s">
        <v>3328</v>
      </c>
      <c r="G26" s="16">
        <v>1</v>
      </c>
    </row>
    <row r="27" spans="1:19" x14ac:dyDescent="0.25">
      <c r="A27" s="9" t="s">
        <v>224</v>
      </c>
      <c r="B27" s="6">
        <v>75497.139300000039</v>
      </c>
    </row>
    <row r="28" spans="1:19" x14ac:dyDescent="0.25">
      <c r="A28" s="9" t="s">
        <v>93</v>
      </c>
      <c r="B28" s="6">
        <v>59645.013199999994</v>
      </c>
      <c r="F28" s="9" t="s">
        <v>3348</v>
      </c>
    </row>
    <row r="29" spans="1:19" x14ac:dyDescent="0.25">
      <c r="A29" s="9" t="s">
        <v>76</v>
      </c>
      <c r="B29" s="6">
        <v>63231.492699999995</v>
      </c>
      <c r="F29" t="str">
        <f>"Most orders used "&amp;INDEX(F31:F34,MATCH(MAX(G31:G34),G31:G34,0))&amp;" ("&amp;TEXT(MAX(G31:G34),"0%")&amp;")"</f>
        <v>Most orders used Standard Class (61%)</v>
      </c>
    </row>
    <row r="30" spans="1:19" x14ac:dyDescent="0.25">
      <c r="A30" s="9" t="s">
        <v>3328</v>
      </c>
      <c r="B30" s="6">
        <v>742064.1272000001</v>
      </c>
      <c r="F30" s="8" t="s">
        <v>3327</v>
      </c>
      <c r="G30" t="s">
        <v>3347</v>
      </c>
    </row>
    <row r="31" spans="1:19" x14ac:dyDescent="0.25">
      <c r="F31" s="9" t="s">
        <v>48</v>
      </c>
      <c r="G31" s="16">
        <v>0.14757190004714757</v>
      </c>
    </row>
    <row r="32" spans="1:19" x14ac:dyDescent="0.25">
      <c r="F32" s="9" t="s">
        <v>142</v>
      </c>
      <c r="G32" s="16">
        <v>5.3748231966053751E-2</v>
      </c>
    </row>
    <row r="33" spans="1:10" x14ac:dyDescent="0.25">
      <c r="A33" s="9" t="s">
        <v>3343</v>
      </c>
      <c r="F33" s="9" t="s">
        <v>21</v>
      </c>
      <c r="G33" s="16">
        <v>0.18906176331918906</v>
      </c>
    </row>
    <row r="34" spans="1:10" x14ac:dyDescent="0.25">
      <c r="A34" s="8" t="s">
        <v>3327</v>
      </c>
      <c r="B34" t="s">
        <v>3323</v>
      </c>
      <c r="C34" t="s">
        <v>3344</v>
      </c>
      <c r="D34" t="s">
        <v>3326</v>
      </c>
      <c r="F34" s="9" t="s">
        <v>55</v>
      </c>
      <c r="G34" s="16">
        <v>0.60961810466760957</v>
      </c>
    </row>
    <row r="35" spans="1:10" x14ac:dyDescent="0.25">
      <c r="A35" s="9" t="s">
        <v>595</v>
      </c>
      <c r="B35" s="6">
        <v>10106.904800000002</v>
      </c>
      <c r="C35" t="str">
        <f>A35</f>
        <v>Alabama</v>
      </c>
      <c r="D35" s="6">
        <f>B35</f>
        <v>10106.904800000002</v>
      </c>
      <c r="F35" s="9" t="s">
        <v>3328</v>
      </c>
      <c r="G35" s="16">
        <v>1</v>
      </c>
    </row>
    <row r="36" spans="1:10" x14ac:dyDescent="0.25">
      <c r="A36" s="9" t="s">
        <v>234</v>
      </c>
      <c r="B36" s="6">
        <v>14351.898799999997</v>
      </c>
      <c r="C36" t="str">
        <f t="shared" ref="C36:C82" si="2">A36</f>
        <v>Arizona</v>
      </c>
      <c r="D36" s="6">
        <f t="shared" ref="D36:D82" si="3">B36</f>
        <v>14351.898799999997</v>
      </c>
    </row>
    <row r="37" spans="1:10" x14ac:dyDescent="0.25">
      <c r="A37" s="9" t="s">
        <v>60</v>
      </c>
      <c r="B37" s="6">
        <v>17498.271800000006</v>
      </c>
      <c r="C37" t="str">
        <f t="shared" si="2"/>
        <v>Arkansas</v>
      </c>
      <c r="D37" s="6">
        <f t="shared" si="3"/>
        <v>17498.271800000006</v>
      </c>
      <c r="F37" s="9" t="s">
        <v>3349</v>
      </c>
    </row>
    <row r="38" spans="1:10" x14ac:dyDescent="0.25">
      <c r="A38" s="9" t="s">
        <v>127</v>
      </c>
      <c r="B38" s="6">
        <v>10357.290500000003</v>
      </c>
      <c r="C38" t="str">
        <f t="shared" si="2"/>
        <v>California</v>
      </c>
      <c r="D38" s="6">
        <f t="shared" si="3"/>
        <v>10357.290500000003</v>
      </c>
      <c r="F38" t="str">
        <f>"Highest Sales from Category: "&amp;INDEX(F40:F43,MATCH(MAX(G40:G43),G40:G43,0))&amp;" ("&amp;TEXT(MAX(G40:G43),"$#,##0")&amp;")"</f>
        <v>Highest Sales from Category: Chairs ($335,007)</v>
      </c>
    </row>
    <row r="39" spans="1:10" x14ac:dyDescent="0.25">
      <c r="A39" s="9" t="s">
        <v>632</v>
      </c>
      <c r="B39" s="6">
        <v>30163.190699999996</v>
      </c>
      <c r="C39" t="str">
        <f t="shared" si="2"/>
        <v>Colorado</v>
      </c>
      <c r="D39" s="6">
        <f t="shared" si="3"/>
        <v>30163.190699999996</v>
      </c>
      <c r="F39" s="8" t="s">
        <v>3327</v>
      </c>
      <c r="G39" t="s">
        <v>3323</v>
      </c>
      <c r="J39" s="6">
        <f>MAX(I40:I43)*1.2</f>
        <v>402007.98251999984</v>
      </c>
    </row>
    <row r="40" spans="1:10" x14ac:dyDescent="0.25">
      <c r="A40" s="9" t="s">
        <v>424</v>
      </c>
      <c r="B40" s="6">
        <v>15069.048399999996</v>
      </c>
      <c r="C40" t="str">
        <f t="shared" si="2"/>
        <v>Connecticut</v>
      </c>
      <c r="D40" s="6">
        <f t="shared" si="3"/>
        <v>15069.048399999996</v>
      </c>
      <c r="F40" s="9" t="s">
        <v>63</v>
      </c>
      <c r="G40" s="6">
        <v>127238.31660000009</v>
      </c>
      <c r="H40" t="str">
        <f t="shared" ref="H40:I43" si="4">F40</f>
        <v>Bookcases</v>
      </c>
      <c r="I40" s="6">
        <f t="shared" si="4"/>
        <v>127238.31660000009</v>
      </c>
      <c r="J40" s="6">
        <f>$J$39-I40</f>
        <v>274769.66591999977</v>
      </c>
    </row>
    <row r="41" spans="1:10" x14ac:dyDescent="0.25">
      <c r="A41" s="9" t="s">
        <v>52</v>
      </c>
      <c r="B41" s="6">
        <v>12301.525900000002</v>
      </c>
      <c r="C41" t="str">
        <f t="shared" si="2"/>
        <v>Delaware</v>
      </c>
      <c r="D41" s="6">
        <f t="shared" si="3"/>
        <v>12301.525900000002</v>
      </c>
      <c r="F41" s="9" t="s">
        <v>42</v>
      </c>
      <c r="G41" s="6">
        <v>335006.65209999989</v>
      </c>
      <c r="H41" t="str">
        <f t="shared" si="4"/>
        <v>Chairs</v>
      </c>
      <c r="I41" s="6">
        <f t="shared" si="4"/>
        <v>335006.65209999989</v>
      </c>
      <c r="J41" s="6">
        <f>$J$39-I41</f>
        <v>67001.330419999955</v>
      </c>
    </row>
    <row r="42" spans="1:10" x14ac:dyDescent="0.25">
      <c r="A42" s="9" t="s">
        <v>407</v>
      </c>
      <c r="B42" s="6">
        <v>19878.475700000006</v>
      </c>
      <c r="C42" t="str">
        <f t="shared" si="2"/>
        <v>District of Columbia</v>
      </c>
      <c r="D42" s="6">
        <f t="shared" si="3"/>
        <v>19878.475700000006</v>
      </c>
      <c r="F42" s="9" t="s">
        <v>31</v>
      </c>
      <c r="G42" s="6">
        <v>97269.515800000067</v>
      </c>
      <c r="H42" t="str">
        <f t="shared" si="4"/>
        <v>Furnishings</v>
      </c>
      <c r="I42" s="6">
        <f t="shared" si="4"/>
        <v>97269.515800000067</v>
      </c>
      <c r="J42" s="6">
        <f>$J$39-I42</f>
        <v>304738.46671999979</v>
      </c>
    </row>
    <row r="43" spans="1:10" x14ac:dyDescent="0.25">
      <c r="A43" s="9" t="s">
        <v>435</v>
      </c>
      <c r="B43" s="6">
        <v>18063.537800000002</v>
      </c>
      <c r="C43" t="str">
        <f t="shared" si="2"/>
        <v>Florida</v>
      </c>
      <c r="D43" s="6">
        <f t="shared" si="3"/>
        <v>18063.537800000002</v>
      </c>
      <c r="F43" s="9" t="s">
        <v>162</v>
      </c>
      <c r="G43" s="6">
        <v>182549.64270000003</v>
      </c>
      <c r="H43" t="str">
        <f t="shared" si="4"/>
        <v>Tables</v>
      </c>
      <c r="I43" s="6">
        <f t="shared" si="4"/>
        <v>182549.64270000003</v>
      </c>
      <c r="J43" s="6">
        <f>$J$39-I43</f>
        <v>219458.33981999982</v>
      </c>
    </row>
    <row r="44" spans="1:10" x14ac:dyDescent="0.25">
      <c r="A44" s="9" t="s">
        <v>120</v>
      </c>
      <c r="B44" s="6">
        <v>15071.2587</v>
      </c>
      <c r="C44" t="str">
        <f t="shared" si="2"/>
        <v>Georgia</v>
      </c>
      <c r="D44" s="6">
        <f t="shared" si="3"/>
        <v>15071.2587</v>
      </c>
      <c r="F44" s="9" t="s">
        <v>3328</v>
      </c>
      <c r="G44" s="6">
        <v>742064.12719999999</v>
      </c>
    </row>
    <row r="45" spans="1:10" x14ac:dyDescent="0.25">
      <c r="A45" s="9" t="s">
        <v>217</v>
      </c>
      <c r="B45" s="6">
        <v>17169.380900000004</v>
      </c>
      <c r="C45" t="str">
        <f t="shared" si="2"/>
        <v>Idaho</v>
      </c>
      <c r="D45" s="6">
        <f t="shared" si="3"/>
        <v>17169.380900000004</v>
      </c>
    </row>
    <row r="46" spans="1:10" x14ac:dyDescent="0.25">
      <c r="A46" s="9" t="s">
        <v>753</v>
      </c>
      <c r="B46" s="6">
        <v>12566.157499999998</v>
      </c>
      <c r="C46" t="str">
        <f t="shared" si="2"/>
        <v>Illinois</v>
      </c>
      <c r="D46" s="6">
        <f t="shared" si="3"/>
        <v>12566.157499999998</v>
      </c>
    </row>
    <row r="47" spans="1:10" x14ac:dyDescent="0.25">
      <c r="A47" s="9" t="s">
        <v>496</v>
      </c>
      <c r="B47" s="6">
        <v>19948.993599999998</v>
      </c>
      <c r="C47" t="str">
        <f t="shared" si="2"/>
        <v>Indiana</v>
      </c>
      <c r="D47" s="6">
        <f t="shared" si="3"/>
        <v>19948.993599999998</v>
      </c>
    </row>
    <row r="48" spans="1:10" x14ac:dyDescent="0.25">
      <c r="A48" s="9" t="s">
        <v>153</v>
      </c>
      <c r="B48" s="6">
        <v>23728.484299999996</v>
      </c>
      <c r="C48" t="str">
        <f t="shared" si="2"/>
        <v>Iowa</v>
      </c>
      <c r="D48" s="6">
        <f t="shared" si="3"/>
        <v>23728.484299999996</v>
      </c>
    </row>
    <row r="49" spans="1:4" x14ac:dyDescent="0.25">
      <c r="A49" s="9" t="s">
        <v>251</v>
      </c>
      <c r="B49" s="6">
        <v>11525.375300000002</v>
      </c>
      <c r="C49" t="str">
        <f t="shared" si="2"/>
        <v>Kansas</v>
      </c>
      <c r="D49" s="6">
        <f t="shared" si="3"/>
        <v>11525.375300000002</v>
      </c>
    </row>
    <row r="50" spans="1:4" x14ac:dyDescent="0.25">
      <c r="A50" s="9" t="s">
        <v>387</v>
      </c>
      <c r="B50" s="6">
        <v>10214.803099999999</v>
      </c>
      <c r="C50" t="str">
        <f t="shared" si="2"/>
        <v>Kentucky</v>
      </c>
      <c r="D50" s="6">
        <f t="shared" si="3"/>
        <v>10214.803099999999</v>
      </c>
    </row>
    <row r="51" spans="1:4" x14ac:dyDescent="0.25">
      <c r="A51" s="9" t="s">
        <v>244</v>
      </c>
      <c r="B51" s="6">
        <v>20294.235200000003</v>
      </c>
      <c r="C51" t="str">
        <f t="shared" si="2"/>
        <v>Louisiana</v>
      </c>
      <c r="D51" s="6">
        <f t="shared" si="3"/>
        <v>20294.235200000003</v>
      </c>
    </row>
    <row r="52" spans="1:4" x14ac:dyDescent="0.25">
      <c r="A52" s="9" t="s">
        <v>112</v>
      </c>
      <c r="B52" s="6">
        <v>15887.355800000001</v>
      </c>
      <c r="C52" t="str">
        <f t="shared" si="2"/>
        <v>Maine</v>
      </c>
      <c r="D52" s="6">
        <f t="shared" si="3"/>
        <v>15887.355800000001</v>
      </c>
    </row>
    <row r="53" spans="1:4" x14ac:dyDescent="0.25">
      <c r="A53" s="9" t="s">
        <v>470</v>
      </c>
      <c r="B53" s="6">
        <v>9119.3106000000007</v>
      </c>
      <c r="C53" t="str">
        <f t="shared" si="2"/>
        <v>Maryland</v>
      </c>
      <c r="D53" s="6">
        <f t="shared" si="3"/>
        <v>9119.3106000000007</v>
      </c>
    </row>
    <row r="54" spans="1:4" x14ac:dyDescent="0.25">
      <c r="A54" s="9" t="s">
        <v>322</v>
      </c>
      <c r="B54" s="6">
        <v>12033.1422</v>
      </c>
      <c r="C54" t="str">
        <f t="shared" si="2"/>
        <v>Massachusetts</v>
      </c>
      <c r="D54" s="6">
        <f t="shared" si="3"/>
        <v>12033.1422</v>
      </c>
    </row>
    <row r="55" spans="1:4" x14ac:dyDescent="0.25">
      <c r="A55" s="9" t="s">
        <v>260</v>
      </c>
      <c r="B55" s="6">
        <v>12781.010399999996</v>
      </c>
      <c r="C55" t="str">
        <f t="shared" si="2"/>
        <v>Michigan</v>
      </c>
      <c r="D55" s="6">
        <f t="shared" si="3"/>
        <v>12781.010399999996</v>
      </c>
    </row>
    <row r="56" spans="1:4" x14ac:dyDescent="0.25">
      <c r="A56" s="9" t="s">
        <v>351</v>
      </c>
      <c r="B56" s="6">
        <v>19637.128199999996</v>
      </c>
      <c r="C56" t="str">
        <f t="shared" si="2"/>
        <v>Minnesota</v>
      </c>
      <c r="D56" s="6">
        <f t="shared" si="3"/>
        <v>19637.128199999996</v>
      </c>
    </row>
    <row r="57" spans="1:4" x14ac:dyDescent="0.25">
      <c r="A57" s="9" t="s">
        <v>106</v>
      </c>
      <c r="B57" s="6">
        <v>19452.339000000004</v>
      </c>
      <c r="C57" t="str">
        <f t="shared" si="2"/>
        <v>Mississippi</v>
      </c>
      <c r="D57" s="6">
        <f t="shared" si="3"/>
        <v>19452.339000000004</v>
      </c>
    </row>
    <row r="58" spans="1:4" x14ac:dyDescent="0.25">
      <c r="A58" s="9" t="s">
        <v>728</v>
      </c>
      <c r="B58" s="6">
        <v>10276.0345</v>
      </c>
      <c r="C58" t="str">
        <f t="shared" si="2"/>
        <v>Missouri</v>
      </c>
      <c r="D58" s="6">
        <f t="shared" si="3"/>
        <v>10276.0345</v>
      </c>
    </row>
    <row r="59" spans="1:4" x14ac:dyDescent="0.25">
      <c r="A59" s="9" t="s">
        <v>289</v>
      </c>
      <c r="B59" s="6">
        <v>22620.408099999993</v>
      </c>
      <c r="C59" t="str">
        <f t="shared" si="2"/>
        <v>Montana</v>
      </c>
      <c r="D59" s="6">
        <f t="shared" si="3"/>
        <v>22620.408099999993</v>
      </c>
    </row>
    <row r="60" spans="1:4" x14ac:dyDescent="0.25">
      <c r="A60" s="9" t="s">
        <v>185</v>
      </c>
      <c r="B60" s="6">
        <v>18453.525800000003</v>
      </c>
      <c r="C60" t="str">
        <f t="shared" si="2"/>
        <v>Nebraska</v>
      </c>
      <c r="D60" s="6">
        <f t="shared" si="3"/>
        <v>18453.525800000003</v>
      </c>
    </row>
    <row r="61" spans="1:4" x14ac:dyDescent="0.25">
      <c r="A61" s="9" t="s">
        <v>81</v>
      </c>
      <c r="B61" s="6">
        <v>12819.096699999996</v>
      </c>
      <c r="C61" t="str">
        <f t="shared" si="2"/>
        <v>Nevada</v>
      </c>
      <c r="D61" s="6">
        <f t="shared" si="3"/>
        <v>12819.096699999996</v>
      </c>
    </row>
    <row r="62" spans="1:4" x14ac:dyDescent="0.25">
      <c r="A62" s="9" t="s">
        <v>667</v>
      </c>
      <c r="B62" s="6">
        <v>11304.517400000001</v>
      </c>
      <c r="C62" t="str">
        <f t="shared" si="2"/>
        <v>New Hampshire</v>
      </c>
      <c r="D62" s="6">
        <f t="shared" si="3"/>
        <v>11304.517400000001</v>
      </c>
    </row>
    <row r="63" spans="1:4" x14ac:dyDescent="0.25">
      <c r="A63" s="9" t="s">
        <v>310</v>
      </c>
      <c r="B63" s="6">
        <v>16845.784399999997</v>
      </c>
      <c r="C63" t="str">
        <f t="shared" si="2"/>
        <v>New Jersey</v>
      </c>
      <c r="D63" s="6">
        <f t="shared" si="3"/>
        <v>16845.784399999997</v>
      </c>
    </row>
    <row r="64" spans="1:4" x14ac:dyDescent="0.25">
      <c r="A64" s="9" t="s">
        <v>199</v>
      </c>
      <c r="B64" s="6">
        <v>15189.914999999999</v>
      </c>
      <c r="C64" t="str">
        <f t="shared" si="2"/>
        <v>New Mexico</v>
      </c>
      <c r="D64" s="6">
        <f t="shared" si="3"/>
        <v>15189.914999999999</v>
      </c>
    </row>
    <row r="65" spans="1:4" x14ac:dyDescent="0.25">
      <c r="A65" s="9" t="s">
        <v>806</v>
      </c>
      <c r="B65" s="6">
        <v>7587.5422999999992</v>
      </c>
      <c r="C65" t="str">
        <f t="shared" si="2"/>
        <v>New York</v>
      </c>
      <c r="D65" s="6">
        <f t="shared" si="3"/>
        <v>7587.5422999999992</v>
      </c>
    </row>
    <row r="66" spans="1:4" x14ac:dyDescent="0.25">
      <c r="A66" s="9" t="s">
        <v>206</v>
      </c>
      <c r="B66" s="6">
        <v>12607.831399999995</v>
      </c>
      <c r="C66" t="str">
        <f t="shared" si="2"/>
        <v>North Carolina</v>
      </c>
      <c r="D66" s="6">
        <f t="shared" si="3"/>
        <v>12607.831399999995</v>
      </c>
    </row>
    <row r="67" spans="1:4" x14ac:dyDescent="0.25">
      <c r="A67" s="9" t="s">
        <v>40</v>
      </c>
      <c r="B67" s="6">
        <v>10264.6103</v>
      </c>
      <c r="C67" t="str">
        <f t="shared" si="2"/>
        <v>Ohio</v>
      </c>
      <c r="D67" s="6">
        <f t="shared" si="3"/>
        <v>10264.6103</v>
      </c>
    </row>
    <row r="68" spans="1:4" x14ac:dyDescent="0.25">
      <c r="A68" s="9" t="s">
        <v>403</v>
      </c>
      <c r="B68" s="6">
        <v>23013.602299999995</v>
      </c>
      <c r="C68" t="str">
        <f t="shared" si="2"/>
        <v>Oklahoma</v>
      </c>
      <c r="D68" s="6">
        <f t="shared" si="3"/>
        <v>23013.602299999995</v>
      </c>
    </row>
    <row r="69" spans="1:4" x14ac:dyDescent="0.25">
      <c r="A69" s="9" t="s">
        <v>98</v>
      </c>
      <c r="B69" s="6">
        <v>18970.787100000009</v>
      </c>
      <c r="C69" t="str">
        <f t="shared" si="2"/>
        <v>Oregon</v>
      </c>
      <c r="D69" s="6">
        <f t="shared" si="3"/>
        <v>18970.787100000009</v>
      </c>
    </row>
    <row r="70" spans="1:4" x14ac:dyDescent="0.25">
      <c r="A70" s="9" t="s">
        <v>279</v>
      </c>
      <c r="B70" s="6">
        <v>16064.121099999998</v>
      </c>
      <c r="C70" t="str">
        <f t="shared" si="2"/>
        <v>Pennsylvania</v>
      </c>
      <c r="D70" s="6">
        <f t="shared" si="3"/>
        <v>16064.121099999998</v>
      </c>
    </row>
    <row r="71" spans="1:4" x14ac:dyDescent="0.25">
      <c r="A71" s="9" t="s">
        <v>475</v>
      </c>
      <c r="B71" s="6">
        <v>22507.737499999999</v>
      </c>
      <c r="C71" t="str">
        <f t="shared" si="2"/>
        <v>Rhode Island</v>
      </c>
      <c r="D71" s="6">
        <f t="shared" si="3"/>
        <v>22507.737499999999</v>
      </c>
    </row>
    <row r="72" spans="1:4" x14ac:dyDescent="0.25">
      <c r="A72" s="9" t="s">
        <v>91</v>
      </c>
      <c r="B72" s="6">
        <v>16104.415999999997</v>
      </c>
      <c r="C72" t="str">
        <f t="shared" si="2"/>
        <v>South Carolina</v>
      </c>
      <c r="D72" s="6">
        <f t="shared" si="3"/>
        <v>16104.415999999997</v>
      </c>
    </row>
    <row r="73" spans="1:4" x14ac:dyDescent="0.25">
      <c r="A73" s="9" t="s">
        <v>146</v>
      </c>
      <c r="B73" s="6">
        <v>13778.375300000003</v>
      </c>
      <c r="C73" t="str">
        <f t="shared" si="2"/>
        <v>South Dakota</v>
      </c>
      <c r="D73" s="6">
        <f t="shared" si="3"/>
        <v>13778.375300000003</v>
      </c>
    </row>
    <row r="74" spans="1:4" x14ac:dyDescent="0.25">
      <c r="A74" s="9" t="s">
        <v>72</v>
      </c>
      <c r="B74" s="6">
        <v>13619.7222</v>
      </c>
      <c r="C74" t="str">
        <f t="shared" si="2"/>
        <v>Tennessee</v>
      </c>
      <c r="D74" s="6">
        <f t="shared" si="3"/>
        <v>13619.7222</v>
      </c>
    </row>
    <row r="75" spans="1:4" x14ac:dyDescent="0.25">
      <c r="A75" s="9" t="s">
        <v>180</v>
      </c>
      <c r="B75" s="6">
        <v>11284.8752</v>
      </c>
      <c r="C75" t="str">
        <f t="shared" si="2"/>
        <v>Texas</v>
      </c>
      <c r="D75" s="6">
        <f t="shared" si="3"/>
        <v>11284.8752</v>
      </c>
    </row>
    <row r="76" spans="1:4" x14ac:dyDescent="0.25">
      <c r="A76" s="9" t="s">
        <v>192</v>
      </c>
      <c r="B76" s="6">
        <v>17625.813899999994</v>
      </c>
      <c r="C76" t="str">
        <f t="shared" si="2"/>
        <v>Utah</v>
      </c>
      <c r="D76" s="6">
        <f t="shared" si="3"/>
        <v>17625.813899999994</v>
      </c>
    </row>
    <row r="77" spans="1:4" x14ac:dyDescent="0.25">
      <c r="A77" s="9" t="s">
        <v>168</v>
      </c>
      <c r="B77" s="6">
        <v>8523.8660000000018</v>
      </c>
      <c r="C77" t="str">
        <f t="shared" si="2"/>
        <v>Vermont</v>
      </c>
      <c r="D77" s="6">
        <f t="shared" si="3"/>
        <v>8523.8660000000018</v>
      </c>
    </row>
    <row r="78" spans="1:4" x14ac:dyDescent="0.25">
      <c r="A78" s="9" t="s">
        <v>160</v>
      </c>
      <c r="B78" s="6">
        <v>22263.953799999996</v>
      </c>
      <c r="C78" t="str">
        <f t="shared" si="2"/>
        <v>Virginia</v>
      </c>
      <c r="D78" s="6">
        <f t="shared" si="3"/>
        <v>22263.953799999996</v>
      </c>
    </row>
    <row r="79" spans="1:4" x14ac:dyDescent="0.25">
      <c r="A79" s="9" t="s">
        <v>138</v>
      </c>
      <c r="B79" s="6">
        <v>15996.964400000001</v>
      </c>
      <c r="C79" t="str">
        <f t="shared" si="2"/>
        <v>Washington</v>
      </c>
      <c r="D79" s="6">
        <f t="shared" si="3"/>
        <v>15996.964400000001</v>
      </c>
    </row>
    <row r="80" spans="1:4" x14ac:dyDescent="0.25">
      <c r="A80" s="9" t="s">
        <v>27</v>
      </c>
      <c r="B80" s="6">
        <v>11741.432700000001</v>
      </c>
      <c r="C80" t="str">
        <f t="shared" si="2"/>
        <v>West Virginia</v>
      </c>
      <c r="D80" s="6">
        <f t="shared" si="3"/>
        <v>11741.432700000001</v>
      </c>
    </row>
    <row r="81" spans="1:4" x14ac:dyDescent="0.25">
      <c r="A81" s="9" t="s">
        <v>356</v>
      </c>
      <c r="B81" s="6">
        <v>11914.7112</v>
      </c>
      <c r="C81" t="str">
        <f t="shared" si="2"/>
        <v>Wisconsin</v>
      </c>
      <c r="D81" s="6">
        <f t="shared" si="3"/>
        <v>11914.7112</v>
      </c>
    </row>
    <row r="82" spans="1:4" x14ac:dyDescent="0.25">
      <c r="A82" s="9" t="s">
        <v>339</v>
      </c>
      <c r="B82" s="6">
        <v>13465.363399999998</v>
      </c>
      <c r="C82" t="str">
        <f t="shared" si="2"/>
        <v>Wyoming</v>
      </c>
      <c r="D82" s="6">
        <f t="shared" si="3"/>
        <v>13465.363399999998</v>
      </c>
    </row>
    <row r="83" spans="1:4" x14ac:dyDescent="0.25">
      <c r="A83" s="9" t="s">
        <v>3328</v>
      </c>
      <c r="B83" s="6">
        <v>742064.12719999999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3DA21-11BF-45EA-93A4-A68B814A6BE7}">
  <sheetPr codeName="Sheet3"/>
  <dimension ref="A1"/>
  <sheetViews>
    <sheetView showGridLines="0" showRowColHeaders="0" tabSelected="1" zoomScale="80" zoomScaleNormal="80" zoomScaleSheetLayoutView="70" workbookViewId="0">
      <selection activeCell="AA19" sqref="AA19"/>
    </sheetView>
  </sheetViews>
  <sheetFormatPr defaultRowHeight="15" x14ac:dyDescent="0.25"/>
  <sheetData/>
  <pageMargins left="0.7" right="0.7" top="0.75" bottom="0.75" header="0.3" footer="0.3"/>
  <pageSetup scale="38"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Furniture_data</vt:lpstr>
      <vt:lpstr>ANALYSIS</vt:lpstr>
      <vt:lpstr>DASHBOARD</vt:lpstr>
      <vt:lpstr>Lookup</vt:lpstr>
      <vt:lpstr>LookupTable</vt:lpstr>
      <vt:lpstr>Ltable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Ogunleye Rapheal</cp:lastModifiedBy>
  <dcterms:created xsi:type="dcterms:W3CDTF">2026-07-18T18:50:43Z</dcterms:created>
  <dcterms:modified xsi:type="dcterms:W3CDTF">2026-07-31T00:29:59Z</dcterms:modified>
</cp:coreProperties>
</file>